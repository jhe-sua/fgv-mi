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dm\SetupLAB\"/>
    </mc:Choice>
  </mc:AlternateContent>
  <bookViews>
    <workbookView xWindow="0" yWindow="0" windowWidth="28800" windowHeight="12330" activeTab="1"/>
  </bookViews>
  <sheets>
    <sheet name="Sheet1" sheetId="1" r:id="rId1"/>
    <sheet name="lendo DW" sheetId="2" r:id="rId2"/>
    <sheet name="OLAP q1" sheetId="3" r:id="rId3"/>
    <sheet name="OLAP q2" sheetId="4" r:id="rId4"/>
    <sheet name="OLAP q3" sheetId="5" r:id="rId5"/>
    <sheet name="OLAP q4" sheetId="6" r:id="rId6"/>
  </sheets>
  <definedNames>
    <definedName name="RDPAZUCPR0003_DWZAGI_FatoVendas" localSheetId="1" hidden="1">'lendo DW'!$A$2:$Y$26</definedName>
  </definedNames>
  <calcPr calcId="162913"/>
  <pivotCaches>
    <pivotCache cacheId="1" r:id="rId7"/>
    <pivotCache cacheId="15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bdadm01\Documents\My Data Sources\RDPAZUCPR0003 DW197990112 FatoVendas.odc" keepAlive="1" name="RDPAZUCPR0003 DW197990112 FatoVendas" type="5" refreshedVersion="0" new="1" background="1">
    <dbPr connection="Provider=SQLOLEDB.1;Persist Security Info=True;User ID=197990112;Data Source=RDPAZUCPR0003;Use Procedure for Prepare=1;Auto Translate=True;Packet Size=4096;Workstation ID=RDPAZUCPR0003;Use Encryption for Data=False;Tag with column collation when possible=False;Initial Catalog=DW197990112" command="&quot;DW197990112&quot;.&quot;dbo&quot;.&quot;FatoVendas&quot;" commandType="3"/>
  </connection>
  <connection id="2" keepAlive="1" name="RDPAZUCPR0003 DWZAGI FatoVendas" type="5" refreshedVersion="6" deleted="1" background="1" saveData="1">
    <dbPr connection="" command="" commandType="3"/>
  </connection>
  <connection id="3" keepAlive="1" name="RDPAZUCPR0003 MultidimensionalZAGI Vendas" type="5" refreshedVersion="6" deleted="1" background="1">
    <dbPr connection="" command="" commandType="1"/>
    <olapPr sendLocale="1" rowDrillCount="1000"/>
  </connection>
</connections>
</file>

<file path=xl/sharedStrings.xml><?xml version="1.0" encoding="utf-8"?>
<sst xmlns="http://schemas.openxmlformats.org/spreadsheetml/2006/main" count="452" uniqueCount="131">
  <si>
    <t>Row Labels</t>
  </si>
  <si>
    <t>Adega Brastemp 12 Garrafas com painel touch - 110V</t>
  </si>
  <si>
    <t>Aparador de Pelos Mondial, Super Groom - 06, Preto/Verde, Bivolt - BG-04</t>
  </si>
  <si>
    <t>Apoquel 16Mg, 20Compr Zoetis Para Cães</t>
  </si>
  <si>
    <t>BAW WAW AREIA SANITÁRIA PERFUMADA PARA GATOS 4kg</t>
  </si>
  <si>
    <t>Coleira Antipulgas e Carrapatos Bayer Seresto para Cães e Gatos de até 8kg</t>
  </si>
  <si>
    <t>Composto Lácteo Milnutri Premium Danone Nutricia 400g</t>
  </si>
  <si>
    <t>Depurador de ar Slim branco com manta 80cm 110V Suggar</t>
  </si>
  <si>
    <t>Fogão 5 bocas Dako Supreme Timer Glass Titanium com mesa de vidro</t>
  </si>
  <si>
    <t>Frigobar, 45L, Branco, 110v, Midea</t>
  </si>
  <si>
    <t>Hugo Boss Bottled Eau De Toilette 30Ml</t>
  </si>
  <si>
    <t>Leite Integral Piracanjuba 1L</t>
  </si>
  <si>
    <t>Licor Amarula 375 ml</t>
  </si>
  <si>
    <t>Limpa e Hidrata Couro Proauto 150 g</t>
  </si>
  <si>
    <t>Liquidificador Mini portátil USB,verde</t>
  </si>
  <si>
    <t>Máscara Super Hidratante Morte Súbita, Lola Cosmetics, 450g</t>
  </si>
  <si>
    <t>Milagre Creme Pentear 450G, Lola Cosmetics</t>
  </si>
  <si>
    <t>Multilaser Luva Em Microfibra Dupla Face Limpeza E Polimento 100% Poliester - Au309</t>
  </si>
  <si>
    <t>Tapete Higiênico Tico Pads, 30 Unidades</t>
  </si>
  <si>
    <t>Toalha De Microfibra Vonder 45 X 38 Cm</t>
  </si>
  <si>
    <t>Grand Total</t>
  </si>
  <si>
    <t>Reais Vendidos</t>
  </si>
  <si>
    <t>Hora</t>
  </si>
  <si>
    <t>Vendas Count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</si>
  <si>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</si>
  <si>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</si>
  <si>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</si>
  <si>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</si>
  <si>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</si>
  <si>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</si>
  <si>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</si>
  <si>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</si>
  <si>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</si>
  <si>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</si>
  <si>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</si>
  <si>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</si>
  <si>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</si>
  <si>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</si>
  <si>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2021-09-25</t>
  </si>
  <si>
    <t>Carolina Santos Correia</t>
  </si>
  <si>
    <t>Daniel Gomes Rodrigues</t>
  </si>
  <si>
    <t>Danilo Araujo Almeida</t>
  </si>
  <si>
    <t>Danilo Sousa Fernandes</t>
  </si>
  <si>
    <t>Giovanna Carvalho Sousa</t>
  </si>
  <si>
    <t>Isabela Pinto Castro</t>
  </si>
  <si>
    <t>Isabella Souza Oliveira</t>
  </si>
  <si>
    <t>Julian Costa Silva</t>
  </si>
  <si>
    <t>Luis Ribeiro Rocha</t>
  </si>
  <si>
    <t>Nicole Almeida Martins</t>
  </si>
  <si>
    <t>Thiago Alves Sousa</t>
  </si>
  <si>
    <t>Moderno</t>
  </si>
  <si>
    <t>Tradicional</t>
  </si>
  <si>
    <t>Caixa</t>
  </si>
  <si>
    <t>Auto-serviço</t>
  </si>
  <si>
    <t>Misto</t>
  </si>
  <si>
    <t>ReaisVendidos</t>
  </si>
  <si>
    <t>TID</t>
  </si>
  <si>
    <t>UnidadesVendidas</t>
  </si>
  <si>
    <t>NomeProduto</t>
  </si>
  <si>
    <t>NomeCategoriaProduto</t>
  </si>
  <si>
    <t>NomeFornecedorProduto</t>
  </si>
  <si>
    <t>PrecoProduto</t>
  </si>
  <si>
    <t>Ano</t>
  </si>
  <si>
    <t>DataCompleta</t>
  </si>
  <si>
    <t>DiaMes</t>
  </si>
  <si>
    <t>DiaSemana</t>
  </si>
  <si>
    <t>Mes</t>
  </si>
  <si>
    <t>Trimestre</t>
  </si>
  <si>
    <t>CEPCliente</t>
  </si>
  <si>
    <t>CreditoPracaCliente</t>
  </si>
  <si>
    <t>EstadoMaritalCliente</t>
  </si>
  <si>
    <t>GeneroCliente</t>
  </si>
  <si>
    <t>NivelEducacionalCliente</t>
  </si>
  <si>
    <t>NomeCliente</t>
  </si>
  <si>
    <t>CEPLoja</t>
  </si>
  <si>
    <t>CheckoutLoja</t>
  </si>
  <si>
    <t>LayoutLoja</t>
  </si>
  <si>
    <t>NomeRegiaoLoja</t>
  </si>
  <si>
    <t>TamanhoLoja</t>
  </si>
  <si>
    <t>Alimentos e Bebidas</t>
  </si>
  <si>
    <t>Bento &amp; Marcos Ltda</t>
  </si>
  <si>
    <t>Friday</t>
  </si>
  <si>
    <t>27338-000</t>
  </si>
  <si>
    <t>Solteiro</t>
  </si>
  <si>
    <t>M</t>
  </si>
  <si>
    <t>Graduação</t>
  </si>
  <si>
    <t>25260-130</t>
  </si>
  <si>
    <t>Sudeste</t>
  </si>
  <si>
    <t>Saturday</t>
  </si>
  <si>
    <t>09770-030</t>
  </si>
  <si>
    <t>F</t>
  </si>
  <si>
    <t>Mestrado</t>
  </si>
  <si>
    <t>24360-540</t>
  </si>
  <si>
    <t>Diogo &amp; Tiago Ltda</t>
  </si>
  <si>
    <t>04802-190</t>
  </si>
  <si>
    <t>Casado</t>
  </si>
  <si>
    <t>24734-220</t>
  </si>
  <si>
    <t>Automotivo</t>
  </si>
  <si>
    <t>37716-005</t>
  </si>
  <si>
    <t>Doutorado</t>
  </si>
  <si>
    <t>09240-650</t>
  </si>
  <si>
    <t>59127-200</t>
  </si>
  <si>
    <t>Primário</t>
  </si>
  <si>
    <t>06804-220</t>
  </si>
  <si>
    <t>Danile &amp; Miguel ME</t>
  </si>
  <si>
    <t>29148-130</t>
  </si>
  <si>
    <t>Beleza</t>
  </si>
  <si>
    <t>Sunday</t>
  </si>
  <si>
    <t>09120-680</t>
  </si>
  <si>
    <t>Monday</t>
  </si>
  <si>
    <t>77440-020</t>
  </si>
  <si>
    <t>Tuesday</t>
  </si>
  <si>
    <t>13845-090</t>
  </si>
  <si>
    <t>Parvum agunus Ltda</t>
  </si>
  <si>
    <t>Wednesday</t>
  </si>
  <si>
    <t>40730-520</t>
  </si>
  <si>
    <t>Eletrodomésticos</t>
  </si>
  <si>
    <t>Thursday</t>
  </si>
  <si>
    <t>27232-600</t>
  </si>
  <si>
    <t>Magna vita Ltda</t>
  </si>
  <si>
    <t>Orbes terrarum ME</t>
  </si>
  <si>
    <t>Claudia e Joaquim ME</t>
  </si>
  <si>
    <t>PetShop</t>
  </si>
  <si>
    <t>Alba &amp; Associados SA</t>
  </si>
  <si>
    <t>Bernardo e Sophia Ltda</t>
  </si>
  <si>
    <t>Luan e Ricardo Ltda</t>
  </si>
  <si>
    <t>(blank)</t>
  </si>
  <si>
    <t>Sum of UnidadesVendidas</t>
  </si>
  <si>
    <t>Column Labels</t>
  </si>
  <si>
    <t>Crie aqui uma nova tabela com a sua tabela de fato</t>
  </si>
  <si>
    <t>Apague esses screenshots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</si>
</sst>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">
    <dxf>
      <alignment horizontal="left" vertical="bottom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[ZAGI BR Cubo Vendas.xlsx]OLAP q4!PivotTable2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'OLAP q4'!$B$4:$B$6</c:f>
              <c:strCache>
                <c:ptCount val="1"/>
                <c:pt idx="0">
                  <c:v>Alimentos e Bebidas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'OLAP q4'!$A$7:$A$24</c:f>
              <c:multiLvlStrCache>
                <c:ptCount val="12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(blank)</c:v>
                  </c:pt>
                  <c:pt idx="9">
                    <c:v>F</c:v>
                  </c:pt>
                  <c:pt idx="10">
                    <c:v>M</c:v>
                  </c:pt>
                  <c:pt idx="11">
                    <c:v>(blank)</c:v>
                  </c:pt>
                </c:lvl>
                <c:lvl>
                  <c:pt idx="0">
                    <c:v>06804-220</c:v>
                  </c:pt>
                  <c:pt idx="2">
                    <c:v>09240-650</c:v>
                  </c:pt>
                  <c:pt idx="4">
                    <c:v>24360-540</c:v>
                  </c:pt>
                  <c:pt idx="6">
                    <c:v>24734-220</c:v>
                  </c:pt>
                  <c:pt idx="9">
                    <c:v>25260-130</c:v>
                  </c:pt>
                </c:lvl>
              </c:multiLvlStrCache>
            </c:multiLvlStrRef>
          </c:cat>
          <c:val>
            <c:numRef>
              <c:f>'OLAP q4'!$B$7:$B$24</c:f>
              <c:numCache>
                <c:formatCode>General</c:formatCode>
                <c:ptCount val="12"/>
                <c:pt idx="4">
                  <c:v>1</c:v>
                </c:pt>
                <c:pt idx="6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C-47AD-BA32-4D2FE904997C}"/>
            </c:ext>
          </c:extLst>
        </c:ser>
        <c:ser>
          <c:idx val="1"/>
          <c:order val="1"/>
          <c:tx>
            <c:strRef>
              <c:f>'OLAP q4'!$C$4:$C$6</c:f>
              <c:strCache>
                <c:ptCount val="1"/>
                <c:pt idx="0">
                  <c:v>Automotivo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'OLAP q4'!$A$7:$A$24</c:f>
              <c:multiLvlStrCache>
                <c:ptCount val="12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(blank)</c:v>
                  </c:pt>
                  <c:pt idx="9">
                    <c:v>F</c:v>
                  </c:pt>
                  <c:pt idx="10">
                    <c:v>M</c:v>
                  </c:pt>
                  <c:pt idx="11">
                    <c:v>(blank)</c:v>
                  </c:pt>
                </c:lvl>
                <c:lvl>
                  <c:pt idx="0">
                    <c:v>06804-220</c:v>
                  </c:pt>
                  <c:pt idx="2">
                    <c:v>09240-650</c:v>
                  </c:pt>
                  <c:pt idx="4">
                    <c:v>24360-540</c:v>
                  </c:pt>
                  <c:pt idx="6">
                    <c:v>24734-220</c:v>
                  </c:pt>
                  <c:pt idx="9">
                    <c:v>25260-130</c:v>
                  </c:pt>
                </c:lvl>
              </c:multiLvlStrCache>
            </c:multiLvlStrRef>
          </c:cat>
          <c:val>
            <c:numRef>
              <c:f>'OLAP q4'!$C$7:$C$24</c:f>
              <c:numCache>
                <c:formatCode>General</c:formatCode>
                <c:ptCount val="12"/>
                <c:pt idx="1">
                  <c:v>1</c:v>
                </c:pt>
                <c:pt idx="2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C-47AD-BA32-4D2FE904997C}"/>
            </c:ext>
          </c:extLst>
        </c:ser>
        <c:ser>
          <c:idx val="2"/>
          <c:order val="2"/>
          <c:tx>
            <c:strRef>
              <c:f>'OLAP q4'!$D$4:$D$6</c:f>
              <c:strCache>
                <c:ptCount val="1"/>
                <c:pt idx="0">
                  <c:v>Beleza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'OLAP q4'!$A$7:$A$24</c:f>
              <c:multiLvlStrCache>
                <c:ptCount val="12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(blank)</c:v>
                  </c:pt>
                  <c:pt idx="9">
                    <c:v>F</c:v>
                  </c:pt>
                  <c:pt idx="10">
                    <c:v>M</c:v>
                  </c:pt>
                  <c:pt idx="11">
                    <c:v>(blank)</c:v>
                  </c:pt>
                </c:lvl>
                <c:lvl>
                  <c:pt idx="0">
                    <c:v>06804-220</c:v>
                  </c:pt>
                  <c:pt idx="2">
                    <c:v>09240-650</c:v>
                  </c:pt>
                  <c:pt idx="4">
                    <c:v>24360-540</c:v>
                  </c:pt>
                  <c:pt idx="6">
                    <c:v>24734-220</c:v>
                  </c:pt>
                  <c:pt idx="9">
                    <c:v>25260-130</c:v>
                  </c:pt>
                </c:lvl>
              </c:multiLvlStrCache>
            </c:multiLvlStrRef>
          </c:cat>
          <c:val>
            <c:numRef>
              <c:f>'OLAP q4'!$D$7:$D$24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3">
                  <c:v>4</c:v>
                </c:pt>
                <c:pt idx="5">
                  <c:v>1</c:v>
                </c:pt>
                <c:pt idx="7">
                  <c:v>1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9C-47AD-BA32-4D2FE904997C}"/>
            </c:ext>
          </c:extLst>
        </c:ser>
        <c:ser>
          <c:idx val="3"/>
          <c:order val="3"/>
          <c:tx>
            <c:strRef>
              <c:f>'OLAP q4'!$E$4:$E$6</c:f>
              <c:strCache>
                <c:ptCount val="1"/>
                <c:pt idx="0">
                  <c:v>Eletrodomésticos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'OLAP q4'!$A$7:$A$24</c:f>
              <c:multiLvlStrCache>
                <c:ptCount val="12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(blank)</c:v>
                  </c:pt>
                  <c:pt idx="9">
                    <c:v>F</c:v>
                  </c:pt>
                  <c:pt idx="10">
                    <c:v>M</c:v>
                  </c:pt>
                  <c:pt idx="11">
                    <c:v>(blank)</c:v>
                  </c:pt>
                </c:lvl>
                <c:lvl>
                  <c:pt idx="0">
                    <c:v>06804-220</c:v>
                  </c:pt>
                  <c:pt idx="2">
                    <c:v>09240-650</c:v>
                  </c:pt>
                  <c:pt idx="4">
                    <c:v>24360-540</c:v>
                  </c:pt>
                  <c:pt idx="6">
                    <c:v>24734-220</c:v>
                  </c:pt>
                  <c:pt idx="9">
                    <c:v>25260-130</c:v>
                  </c:pt>
                </c:lvl>
              </c:multiLvlStrCache>
            </c:multiLvlStrRef>
          </c:cat>
          <c:val>
            <c:numRef>
              <c:f>'OLAP q4'!$E$7:$E$24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5">
                  <c:v>2</c:v>
                </c:pt>
                <c:pt idx="6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9C-47AD-BA32-4D2FE904997C}"/>
            </c:ext>
          </c:extLst>
        </c:ser>
        <c:ser>
          <c:idx val="4"/>
          <c:order val="4"/>
          <c:tx>
            <c:strRef>
              <c:f>'OLAP q4'!$F$4:$F$6</c:f>
              <c:strCache>
                <c:ptCount val="1"/>
                <c:pt idx="0">
                  <c:v>PetShop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'OLAP q4'!$A$7:$A$24</c:f>
              <c:multiLvlStrCache>
                <c:ptCount val="12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(blank)</c:v>
                  </c:pt>
                  <c:pt idx="9">
                    <c:v>F</c:v>
                  </c:pt>
                  <c:pt idx="10">
                    <c:v>M</c:v>
                  </c:pt>
                  <c:pt idx="11">
                    <c:v>(blank)</c:v>
                  </c:pt>
                </c:lvl>
                <c:lvl>
                  <c:pt idx="0">
                    <c:v>06804-220</c:v>
                  </c:pt>
                  <c:pt idx="2">
                    <c:v>09240-650</c:v>
                  </c:pt>
                  <c:pt idx="4">
                    <c:v>24360-540</c:v>
                  </c:pt>
                  <c:pt idx="6">
                    <c:v>24734-220</c:v>
                  </c:pt>
                  <c:pt idx="9">
                    <c:v>25260-130</c:v>
                  </c:pt>
                </c:lvl>
              </c:multiLvlStrCache>
            </c:multiLvlStrRef>
          </c:cat>
          <c:val>
            <c:numRef>
              <c:f>'OLAP q4'!$F$7:$F$24</c:f>
              <c:numCache>
                <c:formatCode>General</c:formatCode>
                <c:ptCount val="12"/>
                <c:pt idx="1">
                  <c:v>3</c:v>
                </c:pt>
                <c:pt idx="3">
                  <c:v>1</c:v>
                </c:pt>
                <c:pt idx="4">
                  <c:v>1</c:v>
                </c:pt>
                <c:pt idx="7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9C-47AD-BA32-4D2FE9049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858095"/>
        <c:axId val="371858511"/>
      </c:barChart>
      <c:catAx>
        <c:axId val="37185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858511"/>
        <c:crosses val="autoZero"/>
        <c:auto val="1"/>
        <c:lblAlgn val="ctr"/>
        <c:lblOffset val="100"/>
        <c:noMultiLvlLbl val="0"/>
      </c:catAx>
      <c:valAx>
        <c:axId val="37185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85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1295400</xdr:colOff>
      <xdr:row>27</xdr:row>
      <xdr:rowOff>19050</xdr:rowOff>
    </xdr:from>
    <xdr:to>
      <xdr:col>12</xdr:col>
      <xdr:colOff>38743</xdr:colOff>
      <xdr:row>47</xdr:row>
      <xdr:rowOff>172003</xdr:rowOff>
    </xdr:to>
    <xdr:pic>
      <xdr:nvPicPr>
        <xdr:cNvPr id="2" name="Imagem 16">
          <a:extLst>
            <a:ext uri="{FF2B5EF4-FFF2-40B4-BE49-F238E27FC236}">
              <a16:creationId xmlns:a16="http://schemas.microsoft.com/office/drawing/2014/main" id="{74E2011C-5610-28D8-A9DC-38C07B8FA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075" y="5162550"/>
          <a:ext cx="4610743" cy="3962953"/>
        </a:xfrm>
        <a:prstGeom prst="rect">
          <a:avLst/>
        </a:prstGeom>
      </xdr:spPr>
    </xdr:pic>
    <xdr:clientData/>
  </xdr:twoCellAnchor>
  <xdr:twoCellAnchor editAs="oneCell">
    <xdr:from>
      <xdr:col>6</xdr:col>
      <xdr:colOff>1390650</xdr:colOff>
      <xdr:row>47</xdr:row>
      <xdr:rowOff>142875</xdr:rowOff>
    </xdr:from>
    <xdr:to>
      <xdr:col>11</xdr:col>
      <xdr:colOff>524451</xdr:colOff>
      <xdr:row>65</xdr:row>
      <xdr:rowOff>76669</xdr:rowOff>
    </xdr:to>
    <xdr:pic>
      <xdr:nvPicPr>
        <xdr:cNvPr id="3" name="Imagem 7">
          <a:extLst>
            <a:ext uri="{FF2B5EF4-FFF2-40B4-BE49-F238E27FC236}">
              <a16:creationId xmlns:a16="http://schemas.microsoft.com/office/drawing/2014/main" id="{F0479BC2-4781-B404-261E-135E5CE8A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3325" y="9096375"/>
          <a:ext cx="4124901" cy="3362794"/>
        </a:xfrm>
        <a:prstGeom prst="rect">
          <a:avLst/>
        </a:prstGeom>
      </xdr:spPr>
    </xdr:pic>
    <xdr:clientData/>
  </xdr:twoCellAnchor>
  <xdr:twoCellAnchor editAs="oneCell">
    <xdr:from>
      <xdr:col>6</xdr:col>
      <xdr:colOff>1495425</xdr:colOff>
      <xdr:row>66</xdr:row>
      <xdr:rowOff>9525</xdr:rowOff>
    </xdr:from>
    <xdr:to>
      <xdr:col>12</xdr:col>
      <xdr:colOff>105400</xdr:colOff>
      <xdr:row>83</xdr:row>
      <xdr:rowOff>152872</xdr:rowOff>
    </xdr:to>
    <xdr:pic>
      <xdr:nvPicPr>
        <xdr:cNvPr id="4" name="Imagem 9">
          <a:extLst>
            <a:ext uri="{FF2B5EF4-FFF2-40B4-BE49-F238E27FC236}">
              <a16:creationId xmlns:a16="http://schemas.microsoft.com/office/drawing/2014/main" id="{A8CF62D7-0FCE-2214-B674-DF2E33C0B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58100" y="12582525"/>
          <a:ext cx="4477375" cy="33818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43549" cy="609013"/>
    <xdr:sp macro="" textlink="">
      <xdr:nvSpPr>
        <xdr:cNvPr id="2" name="TextBox 1"/>
        <xdr:cNvSpPr txBox="1"/>
      </xdr:nvSpPr>
      <xdr:spPr>
        <a:xfrm>
          <a:off x="0" y="0"/>
          <a:ext cx="5543549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1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Para cada loja individual, mostre separadamente por compradores do sexo masculino e feminino o número de unidades de produto vendidas para cada categoria de produto</a:t>
          </a:r>
          <a:endParaRPr lang="en-US" sz="1100" b="0" i="1" u="none" strike="noStrike" baseline="0" smtClean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247651</xdr:colOff>
      <xdr:row>2</xdr:row>
      <xdr:rowOff>104775</xdr:rowOff>
    </xdr:from>
    <xdr:ext cx="5543549" cy="436786"/>
    <xdr:sp macro="" textlink="">
      <xdr:nvSpPr>
        <xdr:cNvPr id="2" name="TextBox 1"/>
        <xdr:cNvSpPr txBox="1"/>
      </xdr:nvSpPr>
      <xdr:spPr>
        <a:xfrm>
          <a:off x="4381501" y="485775"/>
          <a:ext cx="554354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1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Para as lojas 1 e 2, mostre separadamente para compradores do sexo masculino e feminino o número de unidades de produto vendidas para cada categoria de produto</a:t>
          </a:r>
          <a:endParaRPr lang="en-US" sz="1100" i="1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133351</xdr:colOff>
      <xdr:row>2</xdr:row>
      <xdr:rowOff>19050</xdr:rowOff>
    </xdr:from>
    <xdr:ext cx="7600949" cy="436786"/>
    <xdr:sp macro="" textlink="">
      <xdr:nvSpPr>
        <xdr:cNvPr id="2" name="TextBox 1"/>
        <xdr:cNvSpPr txBox="1"/>
      </xdr:nvSpPr>
      <xdr:spPr>
        <a:xfrm>
          <a:off x="7105651" y="400050"/>
          <a:ext cx="760094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1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Para cada loja individual, mostre separadamente para compradores do sexo masculino e feminino o número de unidades de produto vendidas nos dias úteis e nos fins de semana / feriados</a:t>
          </a:r>
          <a:endParaRPr lang="en-US" sz="1100" i="1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57150</xdr:rowOff>
    </xdr:from>
    <xdr:ext cx="7600949" cy="436786"/>
    <xdr:sp macro="" textlink="">
      <xdr:nvSpPr>
        <xdr:cNvPr id="2" name="TextBox 1"/>
        <xdr:cNvSpPr txBox="1"/>
      </xdr:nvSpPr>
      <xdr:spPr>
        <a:xfrm>
          <a:off x="1" y="57150"/>
          <a:ext cx="760094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1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Para cada loja individual, mostre separadamente para compradores do sexo masculino e feminino o número de unidades de produto vendidas para cada produto individual em cada categoria.</a:t>
          </a:r>
          <a:endParaRPr lang="en-US" sz="1100" i="1"/>
        </a:p>
      </xdr:txBody>
    </xdr:sp>
    <xdr:clientData/>
  </xdr:oneCellAnchor>
  <xdr:twoCellAnchor>
    <xdr:from>
      <xdr:col>0</xdr:col>
      <xdr:colOff>1581150</xdr:colOff>
      <xdr:row>28</xdr:row>
      <xdr:rowOff>171450</xdr:rowOff>
    </xdr:from>
    <xdr:to>
      <xdr:col>7</xdr:col>
      <xdr:colOff>3562350</xdr:colOff>
      <xdr:row>60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BDADM01" refreshedDate="44476.424063078703" backgroundQuery="1" createdVersion="6" refreshedVersion="6" minRefreshableVersion="3" recordCount="0" supportSubquery="1" supportAdvancedDrill="1">
  <cacheSource type="external" connectionId="3"/>
  <cacheFields count="4">
    <cacheField name="[Produto].[Nome Produto].[Nome Produto]" caption="Nome Produto" numFmtId="0" hierarchy="27" level="1">
      <sharedItems count="19">
        <s v="[Produto].[Nome Produto].&amp;[Adega Brastemp 12 Garrafas com painel touch - 110V]" c="Adega Brastemp 12 Garrafas com painel touch - 110V"/>
        <s v="[Produto].[Nome Produto].&amp;[Aparador de Pelos Mondial, Super Groom - 06, Preto/Verde, Bivolt - BG-04]" c="Aparador de Pelos Mondial, Super Groom - 06, Preto/Verde, Bivolt - BG-04"/>
        <s v="[Produto].[Nome Produto].&amp;[Apoquel 16Mg, 20Compr Zoetis Para Cães]" c="Apoquel 16Mg, 20Compr Zoetis Para Cães"/>
        <s v="[Produto].[Nome Produto].&amp;[BAW WAW AREIA SANITÁRIA PERFUMADA PARA GATOS 4kg]" c="BAW WAW AREIA SANITÁRIA PERFUMADA PARA GATOS 4kg"/>
        <s v="[Produto].[Nome Produto].&amp;[Coleira Antipulgas e Carrapatos Bayer Seresto para Cães e Gatos de até 8kg]" c="Coleira Antipulgas e Carrapatos Bayer Seresto para Cães e Gatos de até 8kg"/>
        <s v="[Produto].[Nome Produto].&amp;[Composto Lácteo Milnutri Premium Danone Nutricia 400g]" c="Composto Lácteo Milnutri Premium Danone Nutricia 400g"/>
        <s v="[Produto].[Nome Produto].&amp;[Depurador de ar Slim branco com manta 80cm 110V Suggar]" c="Depurador de ar Slim branco com manta 80cm 110V Suggar"/>
        <s v="[Produto].[Nome Produto].&amp;[Fogão 5 bocas Dako Supreme Timer Glass Titanium com mesa de vidro]" c="Fogão 5 bocas Dako Supreme Timer Glass Titanium com mesa de vidro"/>
        <s v="[Produto].[Nome Produto].&amp;[Frigobar, 45L, Branco, 110v, Midea]" c="Frigobar, 45L, Branco, 110v, Midea"/>
        <s v="[Produto].[Nome Produto].&amp;[Hugo Boss Bottled Eau De Toilette 30Ml]" c="Hugo Boss Bottled Eau De Toilette 30Ml"/>
        <s v="[Produto].[Nome Produto].&amp;[Leite Integral Piracanjuba 1L]" c="Leite Integral Piracanjuba 1L"/>
        <s v="[Produto].[Nome Produto].&amp;[Licor Amarula 375 ml]" c="Licor Amarula 375 ml"/>
        <s v="[Produto].[Nome Produto].&amp;[Limpa e Hidrata Couro Proauto 150 g]" c="Limpa e Hidrata Couro Proauto 150 g"/>
        <s v="[Produto].[Nome Produto].&amp;[Liquidificador Mini portátil USB,verde]" c="Liquidificador Mini portátil USB,verde"/>
        <s v="[Produto].[Nome Produto].&amp;[Máscara Super Hidratante Morte Súbita, Lola Cosmetics, 450g]" c="Máscara Super Hidratante Morte Súbita, Lola Cosmetics, 450g"/>
        <s v="[Produto].[Nome Produto].&amp;[Milagre Creme Pentear 450G, Lola Cosmetics]" c="Milagre Creme Pentear 450G, Lola Cosmetics"/>
        <s v="[Produto].[Nome Produto].&amp;[Multilaser Luva Em Microfibra Dupla Face Limpeza E Polimento 100% Poliester - Au309]" c="Multilaser Luva Em Microfibra Dupla Face Limpeza E Polimento 100% Poliester - Au309"/>
        <s v="[Produto].[Nome Produto].&amp;[Tapete Higiênico Tico Pads, 30 Unidades]" c="Tapete Higiênico Tico Pads, 30 Unidades"/>
        <s v="[Produto].[Nome Produto].&amp;[Toalha De Microfibra Vonder 45 X 38 Cm]" c="Toalha De Microfibra Vonder 45 X 38 Cm"/>
      </sharedItems>
    </cacheField>
    <cacheField name="[Measures].[Hora]" caption="Hora" numFmtId="0" hierarchy="29" level="32767"/>
    <cacheField name="[Measures].[Vendas Count]" caption="Vendas Count" numFmtId="0" hierarchy="32" level="32767"/>
    <cacheField name="[Measures].[Reais Vendidos]" caption="Reais Vendidos" numFmtId="0" hierarchy="30" level="32767"/>
  </cacheFields>
  <cacheHierarchies count="33">
    <cacheHierarchy uniqueName="[Calendario].[Ano]" caption="Ano" attribute="1" defaultMemberUniqueName="[Calendario].[Ano].[All]" allUniqueName="[Calendario].[Ano].[All]" dimensionUniqueName="[Calendario]" displayFolder="" count="2" unbalanced="0"/>
    <cacheHierarchy uniqueName="[Calendario].[Chave Calendario]" caption="Chave Calendario" attribute="1" keyAttribute="1" defaultMemberUniqueName="[Calendario].[Chave Calendario].[All]" allUniqueName="[Calendario].[Chave Calendario].[All]" dimensionUniqueName="[Calendario]" displayFolder="" count="0" unbalanced="0"/>
    <cacheHierarchy uniqueName="[Calendario].[Data Completa]" caption="Data Completa" attribute="1" defaultMemberUniqueName="[Calendario].[Data Completa].[All]" allUniqueName="[Calendario].[Data Completa].[All]" dimensionUniqueName="[Calendario]" displayFolder="" count="0" unbalanced="0"/>
    <cacheHierarchy uniqueName="[Calendario].[Dia Mes]" caption="Dia Mes" attribute="1" defaultMemberUniqueName="[Calendario].[Dia Mes].[All]" allUniqueName="[Calendario].[Dia Mes].[All]" dimensionUniqueName="[Calendario]" displayFolder="" count="0" unbalanced="0"/>
    <cacheHierarchy uniqueName="[Calendario].[Dia Semana]" caption="Dia Semana" attribute="1" defaultMemberUniqueName="[Calendario].[Dia Semana].[All]" allUniqueName="[Calendario].[Dia Semana].[All]" dimensionUniqueName="[Calendario]" displayFolder="" count="0" unbalanced="0"/>
    <cacheHierarchy uniqueName="[Calendario].[Mes]" caption="Mes" attribute="1" defaultMemberUniqueName="[Calendario].[Mes].[All]" allUniqueName="[Calendario].[Mes].[All]" dimensionUniqueName="[Calendario]" displayFolder="" count="0" unbalanced="0"/>
    <cacheHierarchy uniqueName="[Calendario].[Trimestre]" caption="Trimestre" attribute="1" defaultMemberUniqueName="[Calendario].[Trimestre].[All]" allUniqueName="[Calendario].[Trimestre].[All]" dimensionUniqueName="[Calendario]" displayFolder="" count="2" unbalanced="0"/>
    <cacheHierarchy uniqueName="[Cliente].[CEP Cliente]" caption="CEP Cliente" attribute="1" defaultMemberUniqueName="[Cliente].[CEP Cliente].[All]" allUniqueName="[Cliente].[CEP Cliente].[All]" dimensionUniqueName="[Cliente]" displayFolder="" count="0" unbalanced="0"/>
    <cacheHierarchy uniqueName="[Cliente].[Chave Cliente]" caption="Chave Cliente" attribute="1" keyAttribute="1" defaultMemberUniqueName="[Cliente].[Chave Cliente].[All]" allUniqueName="[Cliente].[Chave Cliente].[All]" dimensionUniqueName="[Cliente]" displayFolder="" count="0" unbalanced="0"/>
    <cacheHierarchy uniqueName="[Cliente].[Credito Praca Cliente]" caption="Credito Praca Cliente" attribute="1" defaultMemberUniqueName="[Cliente].[Credito Praca Cliente].[All]" allUniqueName="[Cliente].[Credito Praca Cliente].[All]" dimensionUniqueName="[Cliente]" displayFolder="" count="0" unbalanced="0"/>
    <cacheHierarchy uniqueName="[Cliente].[Estado Marital Cliente]" caption="Estado Marital Cliente" attribute="1" defaultMemberUniqueName="[Cliente].[Estado Marital Cliente].[All]" allUniqueName="[Cliente].[Estado Marital Cliente].[All]" dimensionUniqueName="[Cliente]" displayFolder="" count="0" unbalanced="0"/>
    <cacheHierarchy uniqueName="[Cliente].[Genero Cliente]" caption="Genero Cliente" attribute="1" defaultMemberUniqueName="[Cliente].[Genero Cliente].[All]" allUniqueName="[Cliente].[Genero Cliente].[All]" dimensionUniqueName="[Cliente]" displayFolder="" count="0" unbalanced="0"/>
    <cacheHierarchy uniqueName="[Cliente].[Hierarchy]" caption="Hierarchy" defaultMemberUniqueName="[Cliente].[Hierarchy].[All]" allUniqueName="[Cliente].[Hierarchy].[All]" dimensionUniqueName="[Cliente]" displayFolder="" count="0" unbalanced="0"/>
    <cacheHierarchy uniqueName="[Cliente].[ID Cliente]" caption="ID Cliente" attribute="1" defaultMemberUniqueName="[Cliente].[ID Cliente].[All]" allUniqueName="[Cliente].[ID Cliente].[All]" dimensionUniqueName="[Cliente]" displayFolder="" count="0" unbalanced="0"/>
    <cacheHierarchy uniqueName="[Cliente].[Nivel Educacional Cliente]" caption="Nivel Educacional Cliente" attribute="1" defaultMemberUniqueName="[Cliente].[Nivel Educacional Cliente].[All]" allUniqueName="[Cliente].[Nivel Educacional Cliente].[All]" dimensionUniqueName="[Cliente]" displayFolder="" count="0" unbalanced="0"/>
    <cacheHierarchy uniqueName="[Cliente].[Nome Cliente]" caption="Nome Cliente" attribute="1" defaultMemberUniqueName="[Cliente].[Nome Cliente].[All]" allUniqueName="[Cliente].[Nome Cliente].[All]" dimensionUniqueName="[Cliente]" displayFolder="" count="0" unbalanced="0"/>
    <cacheHierarchy uniqueName="[Loja].[CEP Loja]" caption="CEP Loja" attribute="1" defaultMemberUniqueName="[Loja].[CEP Loja].[All]" allUniqueName="[Loja].[CEP Loja].[All]" dimensionUniqueName="[Loja]" displayFolder="" count="0" unbalanced="0"/>
    <cacheHierarchy uniqueName="[Loja].[Chave Loja]" caption="Chave Loja" attribute="1" keyAttribute="1" defaultMemberUniqueName="[Loja].[Chave Loja].[All]" allUniqueName="[Loja].[Chave Loja].[All]" dimensionUniqueName="[Loja]" displayFolder="" count="0" unbalanced="0"/>
    <cacheHierarchy uniqueName="[Loja].[Checkout Loja]" caption="Checkout Loja" attribute="1" defaultMemberUniqueName="[Loja].[Checkout Loja].[All]" allUniqueName="[Loja].[Checkout Loja].[All]" dimensionUniqueName="[Loja]" displayFolder="" count="0" unbalanced="0"/>
    <cacheHierarchy uniqueName="[Loja].[ID Loja]" caption="ID Loja" attribute="1" defaultMemberUniqueName="[Loja].[ID Loja].[All]" allUniqueName="[Loja].[ID Loja].[All]" dimensionUniqueName="[Loja]" displayFolder="" count="0" unbalanced="0"/>
    <cacheHierarchy uniqueName="[Loja].[Layout Loja]" caption="Layout Loja" attribute="1" defaultMemberUniqueName="[Loja].[Layout Loja].[All]" allUniqueName="[Loja].[Layout Loja].[All]" dimensionUniqueName="[Loja]" displayFolder="" count="0" unbalanced="0"/>
    <cacheHierarchy uniqueName="[Loja].[Nome Regiao Loja]" caption="Nome Regiao Loja" attribute="1" defaultMemberUniqueName="[Loja].[Nome Regiao Loja].[All]" allUniqueName="[Loja].[Nome Regiao Loja].[All]" dimensionUniqueName="[Loja]" displayFolder="" count="0" unbalanced="0"/>
    <cacheHierarchy uniqueName="[Loja].[Tamanho Loja]" caption="Tamanho Loja" attribute="1" defaultMemberUniqueName="[Loja].[Tamanho Loja].[All]" allUniqueName="[Loja].[Tamanho Loja].[All]" dimensionUniqueName="[Loja]" displayFolder="" count="0" unbalanced="0"/>
    <cacheHierarchy uniqueName="[Produto].[Chave Produto]" caption="Chave Produto" attribute="1" keyAttribute="1" defaultMemberUniqueName="[Produto].[Chave Produto].[All]" allUniqueName="[Produto].[Chave Produto].[All]" dimensionUniqueName="[Produto]" displayFolder="" count="0" unbalanced="0"/>
    <cacheHierarchy uniqueName="[Produto].[ID Produto]" caption="ID Produto" attribute="1" defaultMemberUniqueName="[Produto].[ID Produto].[All]" allUniqueName="[Produto].[ID Produto].[All]" dimensionUniqueName="[Produto]" displayFolder="" count="0" unbalanced="0"/>
    <cacheHierarchy uniqueName="[Produto].[Nome Categoria Produto]" caption="Nome Categoria Produto" attribute="1" defaultMemberUniqueName="[Produto].[Nome Categoria Produto].[All]" allUniqueName="[Produto].[Nome Categoria Produto].[All]" dimensionUniqueName="[Produto]" displayFolder="" count="0" unbalanced="0"/>
    <cacheHierarchy uniqueName="[Produto].[Nome Fornecedor Produto]" caption="Nome Fornecedor Produto" attribute="1" defaultMemberUniqueName="[Produto].[Nome Fornecedor Produto].[All]" allUniqueName="[Produto].[Nome Fornecedor Produto].[All]" dimensionUniqueName="[Produto]" displayFolder="" count="0" unbalanced="0"/>
    <cacheHierarchy uniqueName="[Produto].[Nome Produto]" caption="Nome Produto" attribute="1" defaultMemberUniqueName="[Produto].[Nome Produto].[All]" allUniqueName="[Produto].[Nome Produto].[All]" dimensionUniqueName="[Produto]" displayFolder="" count="2" unbalanced="0">
      <fieldsUsage count="2">
        <fieldUsage x="-1"/>
        <fieldUsage x="0"/>
      </fieldsUsage>
    </cacheHierarchy>
    <cacheHierarchy uniqueName="[Produto].[Preco Produto]" caption="Preco Produto" attribute="1" defaultMemberUniqueName="[Produto].[Preco Produto].[All]" allUniqueName="[Produto].[Preco Produto].[All]" dimensionUniqueName="[Produto]" displayFolder="" count="0" unbalanced="0"/>
    <cacheHierarchy uniqueName="[Measures].[Hora]" caption="Hora" measure="1" displayFolder="" measureGroup="Vendas" count="0" oneField="1">
      <fieldsUsage count="1">
        <fieldUsage x="1"/>
      </fieldsUsage>
    </cacheHierarchy>
    <cacheHierarchy uniqueName="[Measures].[Reais Vendidos]" caption="Reais Vendidos" measure="1" displayFolder="" measureGroup="Vendas" count="0" oneField="1">
      <fieldsUsage count="1">
        <fieldUsage x="3"/>
      </fieldsUsage>
    </cacheHierarchy>
    <cacheHierarchy uniqueName="[Measures].[Unidades Vendidas]" caption="Unidades Vendidas" measure="1" displayFolder="" measureGroup="Vendas" count="0"/>
    <cacheHierarchy uniqueName="[Measures].[Vendas Count]" caption="Vendas Count" measure="1" displayFolder="" measureGroup="Vendas" count="0" oneField="1">
      <fieldsUsage count="1">
        <fieldUsage x="2"/>
      </fieldsUsage>
    </cacheHierarchy>
  </cacheHierarchies>
  <kpis count="0"/>
  <dimensions count="5">
    <dimension name="Calendario" uniqueName="[Calendario]" caption="Calendario"/>
    <dimension name="Cliente" uniqueName="[Cliente]" caption="Cliente"/>
    <dimension name="Loja" uniqueName="[Loja]" caption="Loja"/>
    <dimension measure="1" name="Measures" uniqueName="[Measures]" caption="Measures"/>
    <dimension name="Produto" uniqueName="[Produto]" caption="Produto"/>
  </dimensions>
  <measureGroups count="1">
    <measureGroup name="Vendas" caption="Vendas"/>
  </measureGroups>
  <maps count="4">
    <map measureGroup="0" dimension="0"/>
    <map measureGroup="0" dimension="1"/>
    <map measureGroup="0" dimension="2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DADM01" refreshedDate="45006.32691585648" createdVersion="6" refreshedVersion="6" minRefreshableVersion="3" recordCount="24">
  <cacheSource type="worksheet">
    <worksheetSource name="Table_RDPAZUCPR0003_DWZAGI_FatoVendas"/>
  </cacheSource>
  <cacheFields count="25">
    <cacheField name="Hora" numFmtId="0">
      <sharedItems containsSemiMixedTypes="0" containsString="0" containsNumber="1" containsInteger="1" minValue="8" maxValue="19"/>
    </cacheField>
    <cacheField name="ReaisVendidos" numFmtId="0">
      <sharedItems containsSemiMixedTypes="0" containsString="0" containsNumber="1" minValue="3.99" maxValue="3398"/>
    </cacheField>
    <cacheField name="TID" numFmtId="0">
      <sharedItems containsSemiMixedTypes="0" containsString="0" containsNumber="1" containsInteger="1" minValue="1" maxValue="22"/>
    </cacheField>
    <cacheField name="UnidadesVendidas" numFmtId="0">
      <sharedItems containsSemiMixedTypes="0" containsString="0" containsNumber="1" containsInteger="1" minValue="1" maxValue="5"/>
    </cacheField>
    <cacheField name="NomeProduto" numFmtId="0">
      <sharedItems count="19">
        <s v="Licor Amarula 375 ml"/>
        <s v="Leite Integral Piracanjuba 1L"/>
        <s v="Composto Lácteo Milnutri Premium Danone Nutricia 400g"/>
        <s v="Multilaser Luva Em Microfibra Dupla Face Limpeza E Polimento 100% Poliester - Au309"/>
        <s v="Limpa e Hidrata Couro Proauto 150 g"/>
        <s v="Toalha De Microfibra Vonder 45 X 38 Cm"/>
        <s v="Máscara Super Hidratante Morte Súbita, Lola Cosmetics, 450g"/>
        <s v="Aparador de Pelos Mondial, Super Groom - 06, Preto/Verde, Bivolt - BG-04"/>
        <s v="Hugo Boss Bottled Eau De Toilette 30Ml"/>
        <s v="Milagre Creme Pentear 450G, Lola Cosmetics"/>
        <s v="Depurador de ar Slim branco com manta 80cm 110V Suggar"/>
        <s v="Frigobar, 45L, Branco, 110v, Midea"/>
        <s v="Adega Brastemp 12 Garrafas com painel touch - 110V"/>
        <s v="Liquidificador Mini portátil USB,verde"/>
        <s v="Fogão 5 bocas Dako Supreme Timer Glass Titanium com mesa de vidro"/>
        <s v="Tapete Higiênico Tico Pads, 30 Unidades"/>
        <s v="Apoquel 16Mg, 20Compr Zoetis Para Cães"/>
        <s v="BAW WAW AREIA SANITÁRIA PERFUMADA PARA GATOS 4kg"/>
        <s v="Coleira Antipulgas e Carrapatos Bayer Seresto para Cães e Gatos de até 8kg"/>
      </sharedItems>
    </cacheField>
    <cacheField name="NomeCategoriaProduto" numFmtId="0">
      <sharedItems count="5">
        <s v="Alimentos e Bebidas"/>
        <s v="Automotivo"/>
        <s v="Beleza"/>
        <s v="Eletrodomésticos"/>
        <s v="PetShop"/>
      </sharedItems>
    </cacheField>
    <cacheField name="NomeFornecedorProduto" numFmtId="0">
      <sharedItems/>
    </cacheField>
    <cacheField name="PrecoProduto" numFmtId="0">
      <sharedItems containsSemiMixedTypes="0" containsString="0" containsNumber="1" minValue="3.99" maxValue="1699"/>
    </cacheField>
    <cacheField name="Ano" numFmtId="0">
      <sharedItems containsSemiMixedTypes="0" containsString="0" containsNumber="1" containsInteger="1" minValue="2021" maxValue="2021"/>
    </cacheField>
    <cacheField name="DataCompleta" numFmtId="0">
      <sharedItems/>
    </cacheField>
    <cacheField name="DiaMes" numFmtId="0">
      <sharedItems containsSemiMixedTypes="0" containsString="0" containsNumber="1" containsInteger="1" minValue="1" maxValue="30"/>
    </cacheField>
    <cacheField name="DiaSemana" numFmtId="0">
      <sharedItems count="7">
        <s v="Friday"/>
        <s v="Saturday"/>
        <s v="Sunday"/>
        <s v="Monday"/>
        <s v="Tuesday"/>
        <s v="Wednesday"/>
        <s v="Thursday"/>
      </sharedItems>
    </cacheField>
    <cacheField name="Mes" numFmtId="0">
      <sharedItems containsSemiMixedTypes="0" containsString="0" containsNumber="1" containsInteger="1" minValue="6" maxValue="9"/>
    </cacheField>
    <cacheField name="Trimestre" numFmtId="0">
      <sharedItems containsSemiMixedTypes="0" containsString="0" containsNumber="1" containsInteger="1" minValue="2" maxValue="3"/>
    </cacheField>
    <cacheField name="CEPCliente" numFmtId="0">
      <sharedItems/>
    </cacheField>
    <cacheField name="CreditoPracaCliente" numFmtId="0">
      <sharedItems containsString="0" containsBlank="1" containsNumber="1" containsInteger="1" minValue="500" maxValue="750"/>
    </cacheField>
    <cacheField name="EstadoMaritalCliente" numFmtId="0">
      <sharedItems containsBlank="1"/>
    </cacheField>
    <cacheField name="GeneroCliente" numFmtId="0">
      <sharedItems containsBlank="1" count="3">
        <s v="M"/>
        <s v="F"/>
        <m/>
      </sharedItems>
    </cacheField>
    <cacheField name="NivelEducacionalCliente" numFmtId="0">
      <sharedItems containsBlank="1"/>
    </cacheField>
    <cacheField name="NomeCliente" numFmtId="0">
      <sharedItems/>
    </cacheField>
    <cacheField name="CEPLoja" numFmtId="0">
      <sharedItems count="5">
        <s v="25260-130"/>
        <s v="24360-540"/>
        <s v="24734-220"/>
        <s v="09240-650"/>
        <s v="06804-220"/>
      </sharedItems>
    </cacheField>
    <cacheField name="CheckoutLoja" numFmtId="0">
      <sharedItems containsBlank="1"/>
    </cacheField>
    <cacheField name="LayoutLoja" numFmtId="0">
      <sharedItems containsBlank="1"/>
    </cacheField>
    <cacheField name="NomeRegiaoLoja" numFmtId="0">
      <sharedItems/>
    </cacheField>
    <cacheField name="TamanhoLoja" numFmtId="0">
      <sharedItems containsString="0" containsBlank="1" containsNumber="1" containsInteger="1" minValue="35000" maxValue="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n v="9"/>
    <n v="62.9"/>
    <n v="1"/>
    <n v="1"/>
    <x v="0"/>
    <x v="0"/>
    <s v="Bento &amp; Marcos Ltda"/>
    <n v="62.9"/>
    <n v="2021"/>
    <s v="2021-06-25"/>
    <n v="25"/>
    <x v="0"/>
    <n v="6"/>
    <n v="2"/>
    <s v="27338-000"/>
    <n v="700"/>
    <s v="Solteiro"/>
    <x v="0"/>
    <s v="Graduação"/>
    <s v="Julian Costa Silva"/>
    <x v="0"/>
    <s v="Caixa"/>
    <s v="Moderno"/>
    <s v="Sudeste"/>
    <n v="51000"/>
  </r>
  <r>
    <n v="10"/>
    <n v="3.99"/>
    <n v="2"/>
    <n v="1"/>
    <x v="1"/>
    <x v="0"/>
    <s v="Bento &amp; Marcos Ltda"/>
    <n v="3.99"/>
    <n v="2021"/>
    <s v="2021-06-26"/>
    <n v="26"/>
    <x v="1"/>
    <n v="6"/>
    <n v="2"/>
    <s v="09770-030"/>
    <n v="650"/>
    <s v="Solteiro"/>
    <x v="1"/>
    <s v="Mestrado"/>
    <s v="Giovanna Carvalho Sousa"/>
    <x v="1"/>
    <s v="Auto-serviço"/>
    <s v="Tradicional"/>
    <s v="Sudeste"/>
    <n v="35000"/>
  </r>
  <r>
    <n v="11"/>
    <n v="91.78"/>
    <n v="3"/>
    <n v="2"/>
    <x v="2"/>
    <x v="0"/>
    <s v="Diogo &amp; Tiago Ltda"/>
    <n v="45.89"/>
    <n v="2021"/>
    <s v="2021-06-25"/>
    <n v="25"/>
    <x v="0"/>
    <n v="6"/>
    <n v="2"/>
    <s v="04802-190"/>
    <n v="623"/>
    <s v="Casado"/>
    <x v="1"/>
    <s v="Graduação"/>
    <s v="Isabela Pinto Castro"/>
    <x v="2"/>
    <s v="Misto"/>
    <s v="Tradicional"/>
    <s v="Sudeste"/>
    <n v="55000"/>
  </r>
  <r>
    <n v="8"/>
    <n v="12.9"/>
    <n v="4"/>
    <n v="1"/>
    <x v="3"/>
    <x v="1"/>
    <s v="Diogo &amp; Tiago Ltda"/>
    <n v="12.9"/>
    <n v="2021"/>
    <s v="2021-06-26"/>
    <n v="26"/>
    <x v="1"/>
    <n v="6"/>
    <n v="2"/>
    <s v="37716-005"/>
    <n v="750"/>
    <s v="Casado"/>
    <x v="1"/>
    <s v="Doutorado"/>
    <s v="Isabella Souza Oliveira"/>
    <x v="3"/>
    <m/>
    <m/>
    <s v="Sudeste"/>
    <m/>
  </r>
  <r>
    <n v="14"/>
    <n v="11.26"/>
    <n v="5"/>
    <n v="1"/>
    <x v="4"/>
    <x v="1"/>
    <s v="Diogo &amp; Tiago Ltda"/>
    <n v="11.26"/>
    <n v="2021"/>
    <s v="2021-06-25"/>
    <n v="25"/>
    <x v="0"/>
    <n v="6"/>
    <n v="2"/>
    <s v="59127-200"/>
    <n v="680"/>
    <s v="Solteiro"/>
    <x v="0"/>
    <s v="Primário"/>
    <s v="Luis Ribeiro Rocha"/>
    <x v="4"/>
    <m/>
    <m/>
    <s v="Sudeste"/>
    <m/>
  </r>
  <r>
    <n v="15"/>
    <n v="54.66"/>
    <n v="6"/>
    <n v="3"/>
    <x v="5"/>
    <x v="1"/>
    <s v="Danile &amp; Miguel ME"/>
    <n v="18.22"/>
    <n v="2021"/>
    <s v="2021-06-26"/>
    <n v="26"/>
    <x v="1"/>
    <n v="6"/>
    <n v="2"/>
    <s v="29148-130"/>
    <n v="500"/>
    <s v="Casado"/>
    <x v="1"/>
    <s v="Graduação"/>
    <s v="Nicole Almeida Martins"/>
    <x v="0"/>
    <s v="Caixa"/>
    <s v="Moderno"/>
    <s v="Sudeste"/>
    <n v="51000"/>
  </r>
  <r>
    <n v="19"/>
    <n v="32.9"/>
    <n v="7"/>
    <n v="1"/>
    <x v="6"/>
    <x v="2"/>
    <s v="Danile &amp; Miguel ME"/>
    <n v="32.9"/>
    <n v="2021"/>
    <s v="2021-06-27"/>
    <n v="27"/>
    <x v="2"/>
    <n v="6"/>
    <n v="2"/>
    <s v="09120-680"/>
    <n v="560"/>
    <s v="Solteiro"/>
    <x v="0"/>
    <s v="Mestrado"/>
    <s v="Danilo Araujo Almeida"/>
    <x v="1"/>
    <s v="Auto-serviço"/>
    <s v="Tradicional"/>
    <s v="Sudeste"/>
    <n v="35000"/>
  </r>
  <r>
    <n v="18"/>
    <n v="89.99"/>
    <n v="8"/>
    <n v="1"/>
    <x v="7"/>
    <x v="2"/>
    <s v="Danile &amp; Miguel ME"/>
    <n v="89.99"/>
    <n v="2021"/>
    <s v="2021-06-28"/>
    <n v="28"/>
    <x v="3"/>
    <n v="6"/>
    <n v="2"/>
    <s v="77440-020"/>
    <n v="640"/>
    <s v="Casado"/>
    <x v="0"/>
    <s v="Graduação"/>
    <s v="Daniel Gomes Rodrigues"/>
    <x v="2"/>
    <s v="Misto"/>
    <s v="Tradicional"/>
    <s v="Sudeste"/>
    <n v="55000"/>
  </r>
  <r>
    <n v="17"/>
    <n v="2116"/>
    <n v="9"/>
    <n v="4"/>
    <x v="8"/>
    <x v="2"/>
    <s v="Danile &amp; Miguel ME"/>
    <n v="529"/>
    <n v="2021"/>
    <s v="2021-06-29"/>
    <n v="29"/>
    <x v="4"/>
    <n v="6"/>
    <n v="2"/>
    <s v="13845-090"/>
    <n v="590"/>
    <s v="Solteiro"/>
    <x v="0"/>
    <s v="Graduação"/>
    <s v="Thiago Alves Sousa"/>
    <x v="3"/>
    <m/>
    <m/>
    <s v="Sudeste"/>
    <m/>
  </r>
  <r>
    <n v="15"/>
    <n v="20.9"/>
    <n v="10"/>
    <n v="1"/>
    <x v="9"/>
    <x v="2"/>
    <s v="Parvum agunus Ltda"/>
    <n v="20.9"/>
    <n v="2021"/>
    <s v="2021-06-30"/>
    <n v="30"/>
    <x v="5"/>
    <n v="6"/>
    <n v="2"/>
    <s v="40730-520"/>
    <n v="680"/>
    <s v="Solteiro"/>
    <x v="1"/>
    <s v="Primário"/>
    <s v="Carolina Santos Correia"/>
    <x v="4"/>
    <m/>
    <m/>
    <s v="Sudeste"/>
    <m/>
  </r>
  <r>
    <n v="16"/>
    <n v="269.89999999999998"/>
    <n v="11"/>
    <n v="1"/>
    <x v="10"/>
    <x v="3"/>
    <s v="Parvum agunus Ltda"/>
    <n v="269.89999999999998"/>
    <n v="2021"/>
    <s v="2021-07-01"/>
    <n v="1"/>
    <x v="6"/>
    <n v="7"/>
    <n v="3"/>
    <s v="27232-600"/>
    <m/>
    <m/>
    <x v="2"/>
    <m/>
    <s v="Danilo Sousa Fernandes"/>
    <x v="0"/>
    <s v="Caixa"/>
    <s v="Moderno"/>
    <s v="Sudeste"/>
    <n v="51000"/>
  </r>
  <r>
    <n v="12"/>
    <n v="1498"/>
    <n v="12"/>
    <n v="2"/>
    <x v="11"/>
    <x v="3"/>
    <s v="Parvum agunus Ltda"/>
    <n v="749"/>
    <n v="2021"/>
    <s v="2021-07-02"/>
    <n v="2"/>
    <x v="0"/>
    <n v="7"/>
    <n v="3"/>
    <s v="27338-000"/>
    <n v="700"/>
    <s v="Solteiro"/>
    <x v="0"/>
    <s v="Graduação"/>
    <s v="Julian Costa Silva"/>
    <x v="1"/>
    <s v="Auto-serviço"/>
    <s v="Tradicional"/>
    <s v="Sudeste"/>
    <n v="35000"/>
  </r>
  <r>
    <n v="13"/>
    <n v="799"/>
    <n v="13"/>
    <n v="1"/>
    <x v="12"/>
    <x v="3"/>
    <s v="Magna vita Ltda"/>
    <n v="799"/>
    <n v="2021"/>
    <s v="2021-07-03"/>
    <n v="3"/>
    <x v="1"/>
    <n v="7"/>
    <n v="3"/>
    <s v="09770-030"/>
    <n v="650"/>
    <s v="Solteiro"/>
    <x v="1"/>
    <s v="Mestrado"/>
    <s v="Giovanna Carvalho Sousa"/>
    <x v="2"/>
    <s v="Misto"/>
    <s v="Tradicional"/>
    <s v="Sudeste"/>
    <n v="55000"/>
  </r>
  <r>
    <n v="9"/>
    <n v="116.1"/>
    <n v="14"/>
    <n v="1"/>
    <x v="13"/>
    <x v="3"/>
    <s v="Orbes terrarum ME"/>
    <n v="116.1"/>
    <n v="2021"/>
    <s v="2021-07-04"/>
    <n v="4"/>
    <x v="2"/>
    <n v="7"/>
    <n v="3"/>
    <s v="04802-190"/>
    <n v="623"/>
    <s v="Casado"/>
    <x v="1"/>
    <s v="Graduação"/>
    <s v="Isabela Pinto Castro"/>
    <x v="3"/>
    <m/>
    <m/>
    <s v="Sudeste"/>
    <m/>
  </r>
  <r>
    <n v="8"/>
    <n v="3398"/>
    <n v="15"/>
    <n v="2"/>
    <x v="14"/>
    <x v="3"/>
    <s v="Claudia e Joaquim ME"/>
    <n v="1699"/>
    <n v="2021"/>
    <s v="2021-07-05"/>
    <n v="5"/>
    <x v="3"/>
    <n v="7"/>
    <n v="3"/>
    <s v="37716-005"/>
    <n v="750"/>
    <s v="Casado"/>
    <x v="1"/>
    <s v="Doutorado"/>
    <s v="Isabella Souza Oliveira"/>
    <x v="4"/>
    <m/>
    <m/>
    <s v="Sudeste"/>
    <m/>
  </r>
  <r>
    <n v="11"/>
    <n v="44.52"/>
    <n v="16"/>
    <n v="1"/>
    <x v="15"/>
    <x v="4"/>
    <s v="Alba &amp; Associados SA"/>
    <n v="44.52"/>
    <n v="2021"/>
    <s v="2021-07-06"/>
    <n v="6"/>
    <x v="4"/>
    <n v="7"/>
    <n v="3"/>
    <s v="59127-200"/>
    <n v="680"/>
    <s v="Solteiro"/>
    <x v="0"/>
    <s v="Primário"/>
    <s v="Luis Ribeiro Rocha"/>
    <x v="0"/>
    <s v="Caixa"/>
    <s v="Moderno"/>
    <s v="Sudeste"/>
    <n v="51000"/>
  </r>
  <r>
    <n v="9"/>
    <n v="599.89"/>
    <n v="17"/>
    <n v="1"/>
    <x v="16"/>
    <x v="4"/>
    <s v="Bernardo e Sophia Ltda"/>
    <n v="599.89"/>
    <n v="2021"/>
    <s v="2021-07-07"/>
    <n v="7"/>
    <x v="5"/>
    <n v="7"/>
    <n v="3"/>
    <s v="29148-130"/>
    <n v="500"/>
    <s v="Casado"/>
    <x v="1"/>
    <s v="Graduação"/>
    <s v="Nicole Almeida Martins"/>
    <x v="1"/>
    <s v="Auto-serviço"/>
    <s v="Tradicional"/>
    <s v="Sudeste"/>
    <n v="35000"/>
  </r>
  <r>
    <n v="13"/>
    <n v="6.5"/>
    <n v="18"/>
    <n v="1"/>
    <x v="17"/>
    <x v="4"/>
    <s v="Luan e Ricardo Ltda"/>
    <n v="6.5"/>
    <n v="2021"/>
    <s v="2021-07-08"/>
    <n v="8"/>
    <x v="6"/>
    <n v="7"/>
    <n v="3"/>
    <s v="09120-680"/>
    <n v="560"/>
    <s v="Solteiro"/>
    <x v="0"/>
    <s v="Mestrado"/>
    <s v="Danilo Araujo Almeida"/>
    <x v="2"/>
    <s v="Misto"/>
    <s v="Tradicional"/>
    <s v="Sudeste"/>
    <n v="55000"/>
  </r>
  <r>
    <n v="11"/>
    <n v="169.78"/>
    <n v="19"/>
    <n v="1"/>
    <x v="18"/>
    <x v="4"/>
    <s v="Bernardo e Sophia Ltda"/>
    <n v="169.78"/>
    <n v="2021"/>
    <s v="2021-06-25"/>
    <n v="25"/>
    <x v="0"/>
    <n v="6"/>
    <n v="2"/>
    <s v="77440-020"/>
    <n v="640"/>
    <s v="Casado"/>
    <x v="0"/>
    <s v="Graduação"/>
    <s v="Daniel Gomes Rodrigues"/>
    <x v="3"/>
    <m/>
    <m/>
    <s v="Sudeste"/>
    <m/>
  </r>
  <r>
    <n v="9"/>
    <n v="169.78"/>
    <n v="20"/>
    <n v="1"/>
    <x v="18"/>
    <x v="4"/>
    <s v="Bernardo e Sophia Ltda"/>
    <n v="169.78"/>
    <n v="2021"/>
    <s v="2021-06-26"/>
    <n v="26"/>
    <x v="1"/>
    <n v="6"/>
    <n v="2"/>
    <s v="13845-090"/>
    <n v="590"/>
    <s v="Solteiro"/>
    <x v="0"/>
    <s v="Graduação"/>
    <s v="Thiago Alves Sousa"/>
    <x v="4"/>
    <m/>
    <m/>
    <s v="Sudeste"/>
    <m/>
  </r>
  <r>
    <n v="9"/>
    <n v="269.96999999999997"/>
    <n v="20"/>
    <n v="3"/>
    <x v="7"/>
    <x v="2"/>
    <s v="Danile &amp; Miguel ME"/>
    <n v="89.99"/>
    <n v="2021"/>
    <s v="2021-06-26"/>
    <n v="26"/>
    <x v="1"/>
    <n v="6"/>
    <n v="2"/>
    <s v="13845-090"/>
    <n v="590"/>
    <s v="Solteiro"/>
    <x v="0"/>
    <s v="Graduação"/>
    <s v="Thiago Alves Sousa"/>
    <x v="4"/>
    <m/>
    <m/>
    <s v="Sudeste"/>
    <m/>
  </r>
  <r>
    <n v="9"/>
    <n v="2645"/>
    <n v="21"/>
    <n v="5"/>
    <x v="8"/>
    <x v="2"/>
    <s v="Danile &amp; Miguel ME"/>
    <n v="529"/>
    <n v="2021"/>
    <s v="2021-09-25"/>
    <n v="25"/>
    <x v="1"/>
    <n v="9"/>
    <n v="3"/>
    <s v="27232-600"/>
    <m/>
    <m/>
    <x v="2"/>
    <m/>
    <s v="Danilo Sousa Fernandes"/>
    <x v="2"/>
    <s v="Misto"/>
    <s v="Tradicional"/>
    <s v="Sudeste"/>
    <n v="55000"/>
  </r>
  <r>
    <n v="9"/>
    <n v="539.79999999999995"/>
    <n v="22"/>
    <n v="2"/>
    <x v="10"/>
    <x v="3"/>
    <s v="Parvum agunus Ltda"/>
    <n v="269.89999999999998"/>
    <n v="2021"/>
    <s v="2021-09-25"/>
    <n v="25"/>
    <x v="1"/>
    <n v="9"/>
    <n v="3"/>
    <s v="09120-680"/>
    <n v="560"/>
    <s v="Solteiro"/>
    <x v="0"/>
    <s v="Mestrado"/>
    <s v="Danilo Araujo Almeida"/>
    <x v="4"/>
    <m/>
    <m/>
    <s v="Sudeste"/>
    <m/>
  </r>
  <r>
    <n v="9"/>
    <n v="1199.78"/>
    <n v="22"/>
    <n v="2"/>
    <x v="16"/>
    <x v="4"/>
    <s v="Bernardo e Sophia Ltda"/>
    <n v="599.89"/>
    <n v="2021"/>
    <s v="2021-09-25"/>
    <n v="25"/>
    <x v="1"/>
    <n v="9"/>
    <n v="3"/>
    <s v="09120-680"/>
    <n v="560"/>
    <s v="Solteiro"/>
    <x v="0"/>
    <s v="Mestrado"/>
    <s v="Danilo Araujo Almeida"/>
    <x v="4"/>
    <m/>
    <m/>
    <s v="Sudest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1:D21" firstHeaderRow="0" firstDataRow="1" firstDataCol="1"/>
  <pivotFields count="4">
    <pivotField axis="axisRow" allDrilled="1" showAll="0" dataSourceSort="1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baseField="0" baseItem="0"/>
    <dataField fld="2" baseField="0" baseItem="0"/>
    <dataField fld="3" baseField="0" baseItem="0"/>
  </dataField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pivotTables/pivotTable2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16" firstHeaderRow="1" firstDataRow="2" firstDataCol="1"/>
  <pivotFields count="25">
    <pivotField showAll="0"/>
    <pivotField showAll="0"/>
    <pivotField showAll="0"/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2"/>
        <item sd="0" x="3"/>
        <item sd="0" x="4"/>
        <item sd="0" x="5"/>
        <item sd="0" x="6"/>
        <item sd="0" x="0"/>
        <item sd="0"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6">
        <item sd="0" x="4"/>
        <item sd="0" x="3"/>
        <item sd="0" x="1"/>
        <item sd="0" x="2"/>
        <item x="0"/>
        <item t="default"/>
      </items>
    </pivotField>
    <pivotField showAll="0"/>
    <pivotField showAll="0"/>
    <pivotField showAll="0"/>
    <pivotField showAll="0"/>
  </pivotFields>
  <rowFields count="3">
    <field x="11"/>
    <field x="17"/>
    <field x="5"/>
  </rowFields>
  <rowItems count="12">
    <i>
      <x/>
    </i>
    <i r="1">
      <x/>
    </i>
    <i r="2">
      <x v="3"/>
    </i>
    <i r="1">
      <x v="1"/>
    </i>
    <i r="2">
      <x v="2"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dadesVendid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4" firstHeaderRow="1" firstDataRow="2" firstDataCol="1"/>
  <pivotFields count="25">
    <pivotField showAll="0"/>
    <pivotField showAll="0"/>
    <pivotField showAll="0"/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multipleItemSelectionAllowed="1" showAll="0">
      <items count="6">
        <item x="4"/>
        <item x="3"/>
        <item h="1" x="1"/>
        <item h="1" x="2"/>
        <item h="1" x="0"/>
        <item t="default"/>
      </items>
    </pivotField>
    <pivotField showAll="0"/>
    <pivotField showAll="0"/>
    <pivotField showAll="0"/>
    <pivotField showAll="0"/>
  </pivotFields>
  <rowFields count="2">
    <field x="17"/>
    <field x="5"/>
  </rowFields>
  <rowItems count="10">
    <i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 r="1">
      <x v="4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Sum of UnidadesVendid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I23" firstHeaderRow="1" firstDataRow="2" firstDataCol="1"/>
  <pivotFields count="25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Row" multipleItemSelectionAllowed="1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2">
    <field x="20"/>
    <field x="17"/>
  </rowFields>
  <rowItems count="18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1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UnidadesVendid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G24" firstHeaderRow="1" firstDataRow="3" firstDataCol="1"/>
  <pivotFields count="25">
    <pivotField showAll="0"/>
    <pivotField showAll="0"/>
    <pivotField showAll="0"/>
    <pivotField dataField="1" showAll="0"/>
    <pivotField axis="axisCol" showAll="0">
      <items count="20">
        <item x="12"/>
        <item x="7"/>
        <item x="16"/>
        <item x="17"/>
        <item x="18"/>
        <item x="2"/>
        <item x="10"/>
        <item x="14"/>
        <item x="11"/>
        <item x="8"/>
        <item x="1"/>
        <item x="0"/>
        <item x="4"/>
        <item x="13"/>
        <item x="6"/>
        <item x="9"/>
        <item x="3"/>
        <item x="15"/>
        <item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Row" multipleItemSelectionAllowed="1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2">
    <field x="20"/>
    <field x="17"/>
  </rowFields>
  <rowItems count="18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2">
    <field x="5"/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dadesVendidas" fld="3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RDPAZUCPR0003 DWZAGI FatoVendas" connectionId="2" autoFormatId="16" applyNumberFormats="0" applyBorderFormats="0" applyFontFormats="0" applyPatternFormats="0" applyAlignmentFormats="0" applyWidthHeightFormats="0">
  <queryTableRefresh nextId="26">
    <queryTableFields count="25">
      <queryTableField id="1" name="Hora" tableColumnId="1"/>
      <queryTableField id="2" name="ReaisVendidos" tableColumnId="2"/>
      <queryTableField id="3" name="TID" tableColumnId="3"/>
      <queryTableField id="4" name="UnidadesVendidas" tableColumnId="4"/>
      <queryTableField id="5" name="NomeProduto" tableColumnId="5"/>
      <queryTableField id="6" name="NomeCategoriaProduto" tableColumnId="6"/>
      <queryTableField id="7" name="NomeFornecedorProduto" tableColumnId="7"/>
      <queryTableField id="8" name="PrecoProduto" tableColumnId="8"/>
      <queryTableField id="9" name="Ano" tableColumnId="9"/>
      <queryTableField id="10" name="DataCompleta" tableColumnId="10"/>
      <queryTableField id="11" name="DiaMes" tableColumnId="11"/>
      <queryTableField id="12" name="DiaSemana" tableColumnId="12"/>
      <queryTableField id="13" name="Mes" tableColumnId="13"/>
      <queryTableField id="14" name="Trimestre" tableColumnId="14"/>
      <queryTableField id="15" name="CEPCliente" tableColumnId="15"/>
      <queryTableField id="16" name="CreditoPracaCliente" tableColumnId="16"/>
      <queryTableField id="17" name="EstadoMaritalCliente" tableColumnId="17"/>
      <queryTableField id="18" name="GeneroCliente" tableColumnId="18"/>
      <queryTableField id="19" name="NivelEducacionalCliente" tableColumnId="19"/>
      <queryTableField id="20" name="NomeCliente" tableColumnId="20"/>
      <queryTableField id="21" name="CEPLoja" tableColumnId="21"/>
      <queryTableField id="22" name="CheckoutLoja" tableColumnId="22"/>
      <queryTableField id="23" name="LayoutLoja" tableColumnId="23"/>
      <queryTableField id="24" name="NomeRegiaoLoja" tableColumnId="24"/>
      <queryTableField id="25" name="TamanhoLoj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RDPAZUCPR0003_DWZAGI_FatoVendas" displayName="Table_RDPAZUCPR0003_DWZAGI_FatoVendas" ref="A2:Y26" tableType="queryTable" totalsRowShown="0">
  <autoFilter ref="A2:Y26"/>
  <tableColumns count="25">
    <tableColumn id="1" uniqueName="1" name="Hora" queryTableFieldId="1" dataDxfId="0"/>
    <tableColumn id="2" uniqueName="2" name="ReaisVendidos" queryTableFieldId="2"/>
    <tableColumn id="3" uniqueName="3" name="TID" queryTableFieldId="3"/>
    <tableColumn id="4" uniqueName="4" name="UnidadesVendidas" queryTableFieldId="4"/>
    <tableColumn id="5" uniqueName="5" name="NomeProduto" queryTableFieldId="5"/>
    <tableColumn id="6" uniqueName="6" name="NomeCategoriaProduto" queryTableFieldId="6"/>
    <tableColumn id="7" uniqueName="7" name="NomeFornecedorProduto" queryTableFieldId="7"/>
    <tableColumn id="8" uniqueName="8" name="PrecoProduto" queryTableFieldId="8"/>
    <tableColumn id="9" uniqueName="9" name="Ano" queryTableFieldId="9"/>
    <tableColumn id="10" uniqueName="10" name="DataCompleta" queryTableFieldId="10"/>
    <tableColumn id="11" uniqueName="11" name="DiaMes" queryTableFieldId="11"/>
    <tableColumn id="12" uniqueName="12" name="DiaSemana" queryTableFieldId="12"/>
    <tableColumn id="13" uniqueName="13" name="Mes" queryTableFieldId="13"/>
    <tableColumn id="14" uniqueName="14" name="Trimestre" queryTableFieldId="14"/>
    <tableColumn id="15" uniqueName="15" name="CEPCliente" queryTableFieldId="15"/>
    <tableColumn id="16" uniqueName="16" name="CreditoPracaCliente" queryTableFieldId="16"/>
    <tableColumn id="17" uniqueName="17" name="EstadoMaritalCliente" queryTableFieldId="17"/>
    <tableColumn id="18" uniqueName="18" name="GeneroCliente" queryTableFieldId="18"/>
    <tableColumn id="19" uniqueName="19" name="NivelEducacionalCliente" queryTableFieldId="19"/>
    <tableColumn id="20" uniqueName="20" name="NomeCliente" queryTableFieldId="20"/>
    <tableColumn id="21" uniqueName="21" name="CEPLoja" queryTableFieldId="21"/>
    <tableColumn id="22" uniqueName="22" name="CheckoutLoja" queryTableFieldId="22"/>
    <tableColumn id="23" uniqueName="23" name="LayoutLoja" queryTableFieldId="23"/>
    <tableColumn id="24" uniqueName="24" name="NomeRegiaoLoja" queryTableFieldId="24"/>
    <tableColumn id="25" uniqueName="25" name="TamanhoLoja" queryTableField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A25" sqref="A25"/>
    </sheetView>
  </sheetViews>
  <sheetFormatPr defaultRowHeight="15" x14ac:dyDescent="0.25"/>
  <cols>
    <col min="1" max="1" width="78.7109375" customWidth="1"/>
    <col min="2" max="2" width="5.140625" customWidth="1"/>
    <col min="3" max="3" width="13.42578125" bestFit="1" customWidth="1"/>
    <col min="4" max="4" width="14.7109375" bestFit="1" customWidth="1"/>
  </cols>
  <sheetData>
    <row r="1" spans="1:4" x14ac:dyDescent="0.25">
      <c r="A1" s="1" t="s">
        <v>0</v>
      </c>
      <c r="B1" t="s">
        <v>22</v>
      </c>
      <c r="C1" t="s">
        <v>23</v>
      </c>
      <c r="D1" t="s">
        <v>21</v>
      </c>
    </row>
    <row r="2" spans="1:4" x14ac:dyDescent="0.25">
      <c r="A2" s="2" t="s">
        <v>1</v>
      </c>
      <c r="B2" s="3">
        <v>13</v>
      </c>
      <c r="C2" s="3">
        <v>1</v>
      </c>
      <c r="D2" s="3">
        <v>799</v>
      </c>
    </row>
    <row r="3" spans="1:4" x14ac:dyDescent="0.25">
      <c r="A3" s="2" t="s">
        <v>2</v>
      </c>
      <c r="B3" s="3">
        <v>27</v>
      </c>
      <c r="C3" s="3">
        <v>2</v>
      </c>
      <c r="D3" s="3">
        <v>359.96000000000004</v>
      </c>
    </row>
    <row r="4" spans="1:4" x14ac:dyDescent="0.25">
      <c r="A4" s="2" t="s">
        <v>3</v>
      </c>
      <c r="B4" s="3">
        <v>18</v>
      </c>
      <c r="C4" s="3">
        <v>2</v>
      </c>
      <c r="D4" s="3">
        <v>1799.67</v>
      </c>
    </row>
    <row r="5" spans="1:4" x14ac:dyDescent="0.25">
      <c r="A5" s="2" t="s">
        <v>4</v>
      </c>
      <c r="B5" s="3">
        <v>13</v>
      </c>
      <c r="C5" s="3">
        <v>1</v>
      </c>
      <c r="D5" s="3">
        <v>6.5</v>
      </c>
    </row>
    <row r="6" spans="1:4" x14ac:dyDescent="0.25">
      <c r="A6" s="2" t="s">
        <v>5</v>
      </c>
      <c r="B6" s="3">
        <v>20</v>
      </c>
      <c r="C6" s="3">
        <v>2</v>
      </c>
      <c r="D6" s="3">
        <v>339.56</v>
      </c>
    </row>
    <row r="7" spans="1:4" x14ac:dyDescent="0.25">
      <c r="A7" s="2" t="s">
        <v>6</v>
      </c>
      <c r="B7" s="3">
        <v>11</v>
      </c>
      <c r="C7" s="3">
        <v>1</v>
      </c>
      <c r="D7" s="3">
        <v>91.78</v>
      </c>
    </row>
    <row r="8" spans="1:4" x14ac:dyDescent="0.25">
      <c r="A8" s="2" t="s">
        <v>7</v>
      </c>
      <c r="B8" s="3">
        <v>25</v>
      </c>
      <c r="C8" s="3">
        <v>2</v>
      </c>
      <c r="D8" s="3">
        <v>809.69999999999993</v>
      </c>
    </row>
    <row r="9" spans="1:4" x14ac:dyDescent="0.25">
      <c r="A9" s="2" t="s">
        <v>8</v>
      </c>
      <c r="B9" s="3">
        <v>8</v>
      </c>
      <c r="C9" s="3">
        <v>1</v>
      </c>
      <c r="D9" s="3">
        <v>3398</v>
      </c>
    </row>
    <row r="10" spans="1:4" x14ac:dyDescent="0.25">
      <c r="A10" s="2" t="s">
        <v>9</v>
      </c>
      <c r="B10" s="3">
        <v>12</v>
      </c>
      <c r="C10" s="3">
        <v>1</v>
      </c>
      <c r="D10" s="3">
        <v>1498</v>
      </c>
    </row>
    <row r="11" spans="1:4" x14ac:dyDescent="0.25">
      <c r="A11" s="2" t="s">
        <v>10</v>
      </c>
      <c r="B11" s="3">
        <v>17</v>
      </c>
      <c r="C11" s="3">
        <v>1</v>
      </c>
      <c r="D11" s="3">
        <v>2116</v>
      </c>
    </row>
    <row r="12" spans="1:4" x14ac:dyDescent="0.25">
      <c r="A12" s="2" t="s">
        <v>11</v>
      </c>
      <c r="B12" s="3">
        <v>10</v>
      </c>
      <c r="C12" s="3">
        <v>1</v>
      </c>
      <c r="D12" s="3">
        <v>3.99</v>
      </c>
    </row>
    <row r="13" spans="1:4" x14ac:dyDescent="0.25">
      <c r="A13" s="2" t="s">
        <v>12</v>
      </c>
      <c r="B13" s="3">
        <v>9</v>
      </c>
      <c r="C13" s="3">
        <v>1</v>
      </c>
      <c r="D13" s="3">
        <v>62.9</v>
      </c>
    </row>
    <row r="14" spans="1:4" x14ac:dyDescent="0.25">
      <c r="A14" s="2" t="s">
        <v>13</v>
      </c>
      <c r="B14" s="3">
        <v>14</v>
      </c>
      <c r="C14" s="3">
        <v>1</v>
      </c>
      <c r="D14" s="3">
        <v>11.26</v>
      </c>
    </row>
    <row r="15" spans="1:4" x14ac:dyDescent="0.25">
      <c r="A15" s="2" t="s">
        <v>14</v>
      </c>
      <c r="B15" s="3">
        <v>9</v>
      </c>
      <c r="C15" s="3">
        <v>1</v>
      </c>
      <c r="D15" s="3">
        <v>116.1</v>
      </c>
    </row>
    <row r="16" spans="1:4" x14ac:dyDescent="0.25">
      <c r="A16" s="2" t="s">
        <v>15</v>
      </c>
      <c r="B16" s="3">
        <v>19</v>
      </c>
      <c r="C16" s="3">
        <v>1</v>
      </c>
      <c r="D16" s="3">
        <v>32.9</v>
      </c>
    </row>
    <row r="17" spans="1:4" x14ac:dyDescent="0.25">
      <c r="A17" s="2" t="s">
        <v>16</v>
      </c>
      <c r="B17" s="3">
        <v>15</v>
      </c>
      <c r="C17" s="3">
        <v>1</v>
      </c>
      <c r="D17" s="3">
        <v>20.9</v>
      </c>
    </row>
    <row r="18" spans="1:4" x14ac:dyDescent="0.25">
      <c r="A18" s="2" t="s">
        <v>17</v>
      </c>
      <c r="B18" s="3">
        <v>8</v>
      </c>
      <c r="C18" s="3">
        <v>1</v>
      </c>
      <c r="D18" s="3">
        <v>12.9</v>
      </c>
    </row>
    <row r="19" spans="1:4" x14ac:dyDescent="0.25">
      <c r="A19" s="2" t="s">
        <v>18</v>
      </c>
      <c r="B19" s="3">
        <v>11</v>
      </c>
      <c r="C19" s="3">
        <v>1</v>
      </c>
      <c r="D19" s="3">
        <v>44.52</v>
      </c>
    </row>
    <row r="20" spans="1:4" x14ac:dyDescent="0.25">
      <c r="A20" s="2" t="s">
        <v>19</v>
      </c>
      <c r="B20" s="3">
        <v>15</v>
      </c>
      <c r="C20" s="3">
        <v>1</v>
      </c>
      <c r="D20" s="3">
        <v>54.66</v>
      </c>
    </row>
    <row r="21" spans="1:4" x14ac:dyDescent="0.25">
      <c r="A21" s="2" t="s">
        <v>20</v>
      </c>
      <c r="B21" s="3">
        <v>274</v>
      </c>
      <c r="C21" s="3">
        <v>23</v>
      </c>
      <c r="D21" s="3">
        <v>11578.3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262"/>
  <sheetViews>
    <sheetView tabSelected="1" topLeftCell="A22" workbookViewId="0">
      <selection activeCell="D44" sqref="D44"/>
    </sheetView>
  </sheetViews>
  <sheetFormatPr defaultRowHeight="15" x14ac:dyDescent="0.25"/>
  <cols>
    <col min="1" max="1" width="8.7109375" customWidth="1"/>
    <col min="2" max="2" width="16.5703125" customWidth="1"/>
    <col min="3" max="3" width="6.140625" customWidth="1"/>
    <col min="4" max="4" width="20.28515625" customWidth="1"/>
    <col min="5" max="5" width="16" customWidth="1"/>
    <col min="6" max="6" width="24.7109375" customWidth="1"/>
    <col min="7" max="7" width="26.42578125" customWidth="1"/>
    <col min="8" max="8" width="15.5703125" customWidth="1"/>
    <col min="9" max="9" width="6.85546875" customWidth="1"/>
    <col min="10" max="10" width="16" customWidth="1"/>
    <col min="11" max="11" width="10" customWidth="1"/>
    <col min="12" max="12" width="13.140625" customWidth="1"/>
    <col min="13" max="13" width="7.140625" customWidth="1"/>
    <col min="14" max="14" width="11.85546875" customWidth="1"/>
    <col min="15" max="15" width="13" customWidth="1"/>
    <col min="16" max="16" width="21.28515625" customWidth="1"/>
    <col min="17" max="17" width="22.28515625" customWidth="1"/>
    <col min="18" max="18" width="16.5703125" customWidth="1"/>
    <col min="19" max="19" width="25.28515625" customWidth="1"/>
    <col min="20" max="20" width="15.140625" customWidth="1"/>
    <col min="21" max="21" width="10.140625" customWidth="1"/>
    <col min="22" max="22" width="15.140625" customWidth="1"/>
    <col min="23" max="23" width="12.7109375" customWidth="1"/>
    <col min="24" max="24" width="18.42578125" customWidth="1"/>
    <col min="25" max="25" width="15" customWidth="1"/>
  </cols>
  <sheetData>
    <row r="2" spans="1:25" x14ac:dyDescent="0.25">
      <c r="A2" s="2" t="s">
        <v>22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73</v>
      </c>
      <c r="U2" t="s">
        <v>74</v>
      </c>
      <c r="V2" t="s">
        <v>75</v>
      </c>
      <c r="W2" t="s">
        <v>76</v>
      </c>
      <c r="X2" t="s">
        <v>77</v>
      </c>
      <c r="Y2" t="s">
        <v>78</v>
      </c>
    </row>
    <row r="3" spans="1:25" x14ac:dyDescent="0.25">
      <c r="A3" s="4">
        <v>9</v>
      </c>
      <c r="B3">
        <v>62.9</v>
      </c>
      <c r="C3">
        <v>1</v>
      </c>
      <c r="D3">
        <v>1</v>
      </c>
      <c r="E3" t="s">
        <v>12</v>
      </c>
      <c r="F3" t="s">
        <v>79</v>
      </c>
      <c r="G3" t="s">
        <v>80</v>
      </c>
      <c r="H3">
        <v>62.9</v>
      </c>
      <c r="I3">
        <v>2021</v>
      </c>
      <c r="J3" t="s">
        <v>24</v>
      </c>
      <c r="K3">
        <v>25</v>
      </c>
      <c r="L3" t="s">
        <v>81</v>
      </c>
      <c r="M3">
        <v>6</v>
      </c>
      <c r="N3">
        <v>2</v>
      </c>
      <c r="O3" t="s">
        <v>82</v>
      </c>
      <c r="P3">
        <v>700</v>
      </c>
      <c r="Q3" t="s">
        <v>83</v>
      </c>
      <c r="R3" t="s">
        <v>84</v>
      </c>
      <c r="S3" t="s">
        <v>85</v>
      </c>
      <c r="T3" t="s">
        <v>46</v>
      </c>
      <c r="U3" t="s">
        <v>86</v>
      </c>
      <c r="V3" t="s">
        <v>52</v>
      </c>
      <c r="W3" t="s">
        <v>50</v>
      </c>
      <c r="X3" t="s">
        <v>87</v>
      </c>
      <c r="Y3">
        <v>51000</v>
      </c>
    </row>
    <row r="4" spans="1:25" x14ac:dyDescent="0.25">
      <c r="A4" s="4">
        <v>10</v>
      </c>
      <c r="B4">
        <v>3.99</v>
      </c>
      <c r="C4">
        <v>2</v>
      </c>
      <c r="D4">
        <v>1</v>
      </c>
      <c r="E4" t="s">
        <v>11</v>
      </c>
      <c r="F4" t="s">
        <v>79</v>
      </c>
      <c r="G4" t="s">
        <v>80</v>
      </c>
      <c r="H4">
        <v>3.99</v>
      </c>
      <c r="I4">
        <v>2021</v>
      </c>
      <c r="J4" t="s">
        <v>25</v>
      </c>
      <c r="K4">
        <v>26</v>
      </c>
      <c r="L4" t="s">
        <v>88</v>
      </c>
      <c r="M4">
        <v>6</v>
      </c>
      <c r="N4">
        <v>2</v>
      </c>
      <c r="O4" t="s">
        <v>89</v>
      </c>
      <c r="P4">
        <v>650</v>
      </c>
      <c r="Q4" t="s">
        <v>83</v>
      </c>
      <c r="R4" t="s">
        <v>90</v>
      </c>
      <c r="S4" t="s">
        <v>91</v>
      </c>
      <c r="T4" t="s">
        <v>43</v>
      </c>
      <c r="U4" t="s">
        <v>92</v>
      </c>
      <c r="V4" t="s">
        <v>53</v>
      </c>
      <c r="W4" t="s">
        <v>51</v>
      </c>
      <c r="X4" t="s">
        <v>87</v>
      </c>
      <c r="Y4">
        <v>35000</v>
      </c>
    </row>
    <row r="5" spans="1:25" x14ac:dyDescent="0.25">
      <c r="A5" s="4">
        <v>11</v>
      </c>
      <c r="B5">
        <v>91.78</v>
      </c>
      <c r="C5">
        <v>3</v>
      </c>
      <c r="D5">
        <v>2</v>
      </c>
      <c r="E5" t="s">
        <v>6</v>
      </c>
      <c r="F5" t="s">
        <v>79</v>
      </c>
      <c r="G5" t="s">
        <v>93</v>
      </c>
      <c r="H5">
        <v>45.89</v>
      </c>
      <c r="I5">
        <v>2021</v>
      </c>
      <c r="J5" t="s">
        <v>24</v>
      </c>
      <c r="K5">
        <v>25</v>
      </c>
      <c r="L5" t="s">
        <v>81</v>
      </c>
      <c r="M5">
        <v>6</v>
      </c>
      <c r="N5">
        <v>2</v>
      </c>
      <c r="O5" t="s">
        <v>94</v>
      </c>
      <c r="P5">
        <v>623</v>
      </c>
      <c r="Q5" t="s">
        <v>95</v>
      </c>
      <c r="R5" t="s">
        <v>90</v>
      </c>
      <c r="S5" t="s">
        <v>85</v>
      </c>
      <c r="T5" t="s">
        <v>44</v>
      </c>
      <c r="U5" t="s">
        <v>96</v>
      </c>
      <c r="V5" t="s">
        <v>54</v>
      </c>
      <c r="W5" t="s">
        <v>51</v>
      </c>
      <c r="X5" t="s">
        <v>87</v>
      </c>
      <c r="Y5">
        <v>55000</v>
      </c>
    </row>
    <row r="6" spans="1:25" x14ac:dyDescent="0.25">
      <c r="A6" s="4">
        <v>8</v>
      </c>
      <c r="B6">
        <v>12.9</v>
      </c>
      <c r="C6">
        <v>4</v>
      </c>
      <c r="D6">
        <v>1</v>
      </c>
      <c r="E6" t="s">
        <v>17</v>
      </c>
      <c r="F6" t="s">
        <v>97</v>
      </c>
      <c r="G6" t="s">
        <v>93</v>
      </c>
      <c r="H6">
        <v>12.9</v>
      </c>
      <c r="I6">
        <v>2021</v>
      </c>
      <c r="J6" t="s">
        <v>25</v>
      </c>
      <c r="K6">
        <v>26</v>
      </c>
      <c r="L6" t="s">
        <v>88</v>
      </c>
      <c r="M6">
        <v>6</v>
      </c>
      <c r="N6">
        <v>2</v>
      </c>
      <c r="O6" t="s">
        <v>98</v>
      </c>
      <c r="P6">
        <v>750</v>
      </c>
      <c r="Q6" t="s">
        <v>95</v>
      </c>
      <c r="R6" t="s">
        <v>90</v>
      </c>
      <c r="S6" t="s">
        <v>99</v>
      </c>
      <c r="T6" t="s">
        <v>45</v>
      </c>
      <c r="U6" t="s">
        <v>100</v>
      </c>
      <c r="X6" t="s">
        <v>87</v>
      </c>
    </row>
    <row r="7" spans="1:25" x14ac:dyDescent="0.25">
      <c r="A7" s="4">
        <v>14</v>
      </c>
      <c r="B7">
        <v>11.26</v>
      </c>
      <c r="C7">
        <v>5</v>
      </c>
      <c r="D7">
        <v>1</v>
      </c>
      <c r="E7" t="s">
        <v>13</v>
      </c>
      <c r="F7" t="s">
        <v>97</v>
      </c>
      <c r="G7" t="s">
        <v>93</v>
      </c>
      <c r="H7">
        <v>11.26</v>
      </c>
      <c r="I7">
        <v>2021</v>
      </c>
      <c r="J7" t="s">
        <v>24</v>
      </c>
      <c r="K7">
        <v>25</v>
      </c>
      <c r="L7" t="s">
        <v>81</v>
      </c>
      <c r="M7">
        <v>6</v>
      </c>
      <c r="N7">
        <v>2</v>
      </c>
      <c r="O7" t="s">
        <v>101</v>
      </c>
      <c r="P7">
        <v>680</v>
      </c>
      <c r="Q7" t="s">
        <v>83</v>
      </c>
      <c r="R7" t="s">
        <v>84</v>
      </c>
      <c r="S7" t="s">
        <v>102</v>
      </c>
      <c r="T7" t="s">
        <v>47</v>
      </c>
      <c r="U7" t="s">
        <v>103</v>
      </c>
      <c r="X7" t="s">
        <v>87</v>
      </c>
    </row>
    <row r="8" spans="1:25" x14ac:dyDescent="0.25">
      <c r="A8" s="4">
        <v>15</v>
      </c>
      <c r="B8">
        <v>54.66</v>
      </c>
      <c r="C8">
        <v>6</v>
      </c>
      <c r="D8">
        <v>3</v>
      </c>
      <c r="E8" t="s">
        <v>19</v>
      </c>
      <c r="F8" t="s">
        <v>97</v>
      </c>
      <c r="G8" t="s">
        <v>104</v>
      </c>
      <c r="H8">
        <v>18.22</v>
      </c>
      <c r="I8">
        <v>2021</v>
      </c>
      <c r="J8" t="s">
        <v>25</v>
      </c>
      <c r="K8">
        <v>26</v>
      </c>
      <c r="L8" t="s">
        <v>88</v>
      </c>
      <c r="M8">
        <v>6</v>
      </c>
      <c r="N8">
        <v>2</v>
      </c>
      <c r="O8" t="s">
        <v>105</v>
      </c>
      <c r="P8">
        <v>500</v>
      </c>
      <c r="Q8" t="s">
        <v>95</v>
      </c>
      <c r="R8" t="s">
        <v>90</v>
      </c>
      <c r="S8" t="s">
        <v>85</v>
      </c>
      <c r="T8" t="s">
        <v>48</v>
      </c>
      <c r="U8" t="s">
        <v>86</v>
      </c>
      <c r="V8" t="s">
        <v>52</v>
      </c>
      <c r="W8" t="s">
        <v>50</v>
      </c>
      <c r="X8" t="s">
        <v>87</v>
      </c>
      <c r="Y8">
        <v>51000</v>
      </c>
    </row>
    <row r="9" spans="1:25" x14ac:dyDescent="0.25">
      <c r="A9" s="4">
        <v>19</v>
      </c>
      <c r="B9">
        <v>32.9</v>
      </c>
      <c r="C9">
        <v>7</v>
      </c>
      <c r="D9">
        <v>1</v>
      </c>
      <c r="E9" t="s">
        <v>15</v>
      </c>
      <c r="F9" t="s">
        <v>106</v>
      </c>
      <c r="G9" t="s">
        <v>104</v>
      </c>
      <c r="H9">
        <v>32.9</v>
      </c>
      <c r="I9">
        <v>2021</v>
      </c>
      <c r="J9" t="s">
        <v>26</v>
      </c>
      <c r="K9">
        <v>27</v>
      </c>
      <c r="L9" t="s">
        <v>107</v>
      </c>
      <c r="M9">
        <v>6</v>
      </c>
      <c r="N9">
        <v>2</v>
      </c>
      <c r="O9" t="s">
        <v>108</v>
      </c>
      <c r="P9">
        <v>560</v>
      </c>
      <c r="Q9" t="s">
        <v>83</v>
      </c>
      <c r="R9" t="s">
        <v>84</v>
      </c>
      <c r="S9" t="s">
        <v>91</v>
      </c>
      <c r="T9" t="s">
        <v>41</v>
      </c>
      <c r="U9" t="s">
        <v>92</v>
      </c>
      <c r="V9" t="s">
        <v>53</v>
      </c>
      <c r="W9" t="s">
        <v>51</v>
      </c>
      <c r="X9" t="s">
        <v>87</v>
      </c>
      <c r="Y9">
        <v>35000</v>
      </c>
    </row>
    <row r="10" spans="1:25" x14ac:dyDescent="0.25">
      <c r="A10" s="4">
        <v>18</v>
      </c>
      <c r="B10">
        <v>89.99</v>
      </c>
      <c r="C10">
        <v>8</v>
      </c>
      <c r="D10">
        <v>1</v>
      </c>
      <c r="E10" t="s">
        <v>2</v>
      </c>
      <c r="F10" t="s">
        <v>106</v>
      </c>
      <c r="G10" t="s">
        <v>104</v>
      </c>
      <c r="H10">
        <v>89.99</v>
      </c>
      <c r="I10">
        <v>2021</v>
      </c>
      <c r="J10" t="s">
        <v>27</v>
      </c>
      <c r="K10">
        <v>28</v>
      </c>
      <c r="L10" t="s">
        <v>109</v>
      </c>
      <c r="M10">
        <v>6</v>
      </c>
      <c r="N10">
        <v>2</v>
      </c>
      <c r="O10" t="s">
        <v>110</v>
      </c>
      <c r="P10">
        <v>640</v>
      </c>
      <c r="Q10" t="s">
        <v>95</v>
      </c>
      <c r="R10" t="s">
        <v>84</v>
      </c>
      <c r="S10" t="s">
        <v>85</v>
      </c>
      <c r="T10" t="s">
        <v>40</v>
      </c>
      <c r="U10" t="s">
        <v>96</v>
      </c>
      <c r="V10" t="s">
        <v>54</v>
      </c>
      <c r="W10" t="s">
        <v>51</v>
      </c>
      <c r="X10" t="s">
        <v>87</v>
      </c>
      <c r="Y10">
        <v>55000</v>
      </c>
    </row>
    <row r="11" spans="1:25" x14ac:dyDescent="0.25">
      <c r="A11" s="4">
        <v>17</v>
      </c>
      <c r="B11">
        <v>2116</v>
      </c>
      <c r="C11">
        <v>9</v>
      </c>
      <c r="D11">
        <v>4</v>
      </c>
      <c r="E11" t="s">
        <v>10</v>
      </c>
      <c r="F11" t="s">
        <v>106</v>
      </c>
      <c r="G11" t="s">
        <v>104</v>
      </c>
      <c r="H11">
        <v>529</v>
      </c>
      <c r="I11">
        <v>2021</v>
      </c>
      <c r="J11" t="s">
        <v>28</v>
      </c>
      <c r="K11">
        <v>29</v>
      </c>
      <c r="L11" t="s">
        <v>111</v>
      </c>
      <c r="M11">
        <v>6</v>
      </c>
      <c r="N11">
        <v>2</v>
      </c>
      <c r="O11" t="s">
        <v>112</v>
      </c>
      <c r="P11">
        <v>590</v>
      </c>
      <c r="Q11" t="s">
        <v>83</v>
      </c>
      <c r="R11" t="s">
        <v>84</v>
      </c>
      <c r="S11" t="s">
        <v>85</v>
      </c>
      <c r="T11" t="s">
        <v>49</v>
      </c>
      <c r="U11" t="s">
        <v>100</v>
      </c>
      <c r="X11" t="s">
        <v>87</v>
      </c>
    </row>
    <row r="12" spans="1:25" x14ac:dyDescent="0.25">
      <c r="A12" s="4">
        <v>15</v>
      </c>
      <c r="B12">
        <v>20.9</v>
      </c>
      <c r="C12">
        <v>10</v>
      </c>
      <c r="D12">
        <v>1</v>
      </c>
      <c r="E12" t="s">
        <v>16</v>
      </c>
      <c r="F12" t="s">
        <v>106</v>
      </c>
      <c r="G12" t="s">
        <v>113</v>
      </c>
      <c r="H12">
        <v>20.9</v>
      </c>
      <c r="I12">
        <v>2021</v>
      </c>
      <c r="J12" t="s">
        <v>29</v>
      </c>
      <c r="K12">
        <v>30</v>
      </c>
      <c r="L12" t="s">
        <v>114</v>
      </c>
      <c r="M12">
        <v>6</v>
      </c>
      <c r="N12">
        <v>2</v>
      </c>
      <c r="O12" t="s">
        <v>115</v>
      </c>
      <c r="P12">
        <v>680</v>
      </c>
      <c r="Q12" t="s">
        <v>83</v>
      </c>
      <c r="R12" t="s">
        <v>90</v>
      </c>
      <c r="S12" t="s">
        <v>102</v>
      </c>
      <c r="T12" t="s">
        <v>39</v>
      </c>
      <c r="U12" t="s">
        <v>103</v>
      </c>
      <c r="X12" t="s">
        <v>87</v>
      </c>
    </row>
    <row r="13" spans="1:25" x14ac:dyDescent="0.25">
      <c r="A13" s="4">
        <v>16</v>
      </c>
      <c r="B13">
        <v>269.89999999999998</v>
      </c>
      <c r="C13">
        <v>11</v>
      </c>
      <c r="D13">
        <v>1</v>
      </c>
      <c r="E13" t="s">
        <v>7</v>
      </c>
      <c r="F13" t="s">
        <v>116</v>
      </c>
      <c r="G13" t="s">
        <v>113</v>
      </c>
      <c r="H13">
        <v>269.89999999999998</v>
      </c>
      <c r="I13">
        <v>2021</v>
      </c>
      <c r="J13" t="s">
        <v>30</v>
      </c>
      <c r="K13">
        <v>1</v>
      </c>
      <c r="L13" t="s">
        <v>117</v>
      </c>
      <c r="M13">
        <v>7</v>
      </c>
      <c r="N13">
        <v>3</v>
      </c>
      <c r="O13" t="s">
        <v>118</v>
      </c>
      <c r="T13" t="s">
        <v>42</v>
      </c>
      <c r="U13" t="s">
        <v>86</v>
      </c>
      <c r="V13" t="s">
        <v>52</v>
      </c>
      <c r="W13" t="s">
        <v>50</v>
      </c>
      <c r="X13" t="s">
        <v>87</v>
      </c>
      <c r="Y13">
        <v>51000</v>
      </c>
    </row>
    <row r="14" spans="1:25" x14ac:dyDescent="0.25">
      <c r="A14" s="4">
        <v>12</v>
      </c>
      <c r="B14">
        <v>1498</v>
      </c>
      <c r="C14">
        <v>12</v>
      </c>
      <c r="D14">
        <v>2</v>
      </c>
      <c r="E14" t="s">
        <v>9</v>
      </c>
      <c r="F14" t="s">
        <v>116</v>
      </c>
      <c r="G14" t="s">
        <v>113</v>
      </c>
      <c r="H14">
        <v>749</v>
      </c>
      <c r="I14">
        <v>2021</v>
      </c>
      <c r="J14" t="s">
        <v>31</v>
      </c>
      <c r="K14">
        <v>2</v>
      </c>
      <c r="L14" t="s">
        <v>81</v>
      </c>
      <c r="M14">
        <v>7</v>
      </c>
      <c r="N14">
        <v>3</v>
      </c>
      <c r="O14" t="s">
        <v>82</v>
      </c>
      <c r="P14">
        <v>700</v>
      </c>
      <c r="Q14" t="s">
        <v>83</v>
      </c>
      <c r="R14" t="s">
        <v>84</v>
      </c>
      <c r="S14" t="s">
        <v>85</v>
      </c>
      <c r="T14" t="s">
        <v>46</v>
      </c>
      <c r="U14" t="s">
        <v>92</v>
      </c>
      <c r="V14" t="s">
        <v>53</v>
      </c>
      <c r="W14" t="s">
        <v>51</v>
      </c>
      <c r="X14" t="s">
        <v>87</v>
      </c>
      <c r="Y14">
        <v>35000</v>
      </c>
    </row>
    <row r="15" spans="1:25" x14ac:dyDescent="0.25">
      <c r="A15" s="4">
        <v>13</v>
      </c>
      <c r="B15">
        <v>799</v>
      </c>
      <c r="C15">
        <v>13</v>
      </c>
      <c r="D15">
        <v>1</v>
      </c>
      <c r="E15" t="s">
        <v>1</v>
      </c>
      <c r="F15" t="s">
        <v>116</v>
      </c>
      <c r="G15" t="s">
        <v>119</v>
      </c>
      <c r="H15">
        <v>799</v>
      </c>
      <c r="I15">
        <v>2021</v>
      </c>
      <c r="J15" t="s">
        <v>32</v>
      </c>
      <c r="K15">
        <v>3</v>
      </c>
      <c r="L15" t="s">
        <v>88</v>
      </c>
      <c r="M15">
        <v>7</v>
      </c>
      <c r="N15">
        <v>3</v>
      </c>
      <c r="O15" t="s">
        <v>89</v>
      </c>
      <c r="P15">
        <v>650</v>
      </c>
      <c r="Q15" t="s">
        <v>83</v>
      </c>
      <c r="R15" t="s">
        <v>90</v>
      </c>
      <c r="S15" t="s">
        <v>91</v>
      </c>
      <c r="T15" t="s">
        <v>43</v>
      </c>
      <c r="U15" t="s">
        <v>96</v>
      </c>
      <c r="V15" t="s">
        <v>54</v>
      </c>
      <c r="W15" t="s">
        <v>51</v>
      </c>
      <c r="X15" t="s">
        <v>87</v>
      </c>
      <c r="Y15">
        <v>55000</v>
      </c>
    </row>
    <row r="16" spans="1:25" x14ac:dyDescent="0.25">
      <c r="A16" s="4">
        <v>9</v>
      </c>
      <c r="B16">
        <v>116.1</v>
      </c>
      <c r="C16">
        <v>14</v>
      </c>
      <c r="D16">
        <v>1</v>
      </c>
      <c r="E16" t="s">
        <v>14</v>
      </c>
      <c r="F16" t="s">
        <v>116</v>
      </c>
      <c r="G16" t="s">
        <v>120</v>
      </c>
      <c r="H16">
        <v>116.1</v>
      </c>
      <c r="I16">
        <v>2021</v>
      </c>
      <c r="J16" t="s">
        <v>33</v>
      </c>
      <c r="K16">
        <v>4</v>
      </c>
      <c r="L16" t="s">
        <v>107</v>
      </c>
      <c r="M16">
        <v>7</v>
      </c>
      <c r="N16">
        <v>3</v>
      </c>
      <c r="O16" t="s">
        <v>94</v>
      </c>
      <c r="P16">
        <v>623</v>
      </c>
      <c r="Q16" t="s">
        <v>95</v>
      </c>
      <c r="R16" t="s">
        <v>90</v>
      </c>
      <c r="S16" t="s">
        <v>85</v>
      </c>
      <c r="T16" t="s">
        <v>44</v>
      </c>
      <c r="U16" t="s">
        <v>100</v>
      </c>
      <c r="X16" t="s">
        <v>87</v>
      </c>
    </row>
    <row r="17" spans="1:25" x14ac:dyDescent="0.25">
      <c r="A17" s="4">
        <v>8</v>
      </c>
      <c r="B17">
        <v>3398</v>
      </c>
      <c r="C17">
        <v>15</v>
      </c>
      <c r="D17">
        <v>2</v>
      </c>
      <c r="E17" t="s">
        <v>8</v>
      </c>
      <c r="F17" t="s">
        <v>116</v>
      </c>
      <c r="G17" t="s">
        <v>121</v>
      </c>
      <c r="H17">
        <v>1699</v>
      </c>
      <c r="I17">
        <v>2021</v>
      </c>
      <c r="J17" t="s">
        <v>34</v>
      </c>
      <c r="K17">
        <v>5</v>
      </c>
      <c r="L17" t="s">
        <v>109</v>
      </c>
      <c r="M17">
        <v>7</v>
      </c>
      <c r="N17">
        <v>3</v>
      </c>
      <c r="O17" t="s">
        <v>98</v>
      </c>
      <c r="P17">
        <v>750</v>
      </c>
      <c r="Q17" t="s">
        <v>95</v>
      </c>
      <c r="R17" t="s">
        <v>90</v>
      </c>
      <c r="S17" t="s">
        <v>99</v>
      </c>
      <c r="T17" t="s">
        <v>45</v>
      </c>
      <c r="U17" t="s">
        <v>103</v>
      </c>
      <c r="X17" t="s">
        <v>87</v>
      </c>
    </row>
    <row r="18" spans="1:25" x14ac:dyDescent="0.25">
      <c r="A18" s="4">
        <v>11</v>
      </c>
      <c r="B18">
        <v>44.52</v>
      </c>
      <c r="C18">
        <v>16</v>
      </c>
      <c r="D18">
        <v>1</v>
      </c>
      <c r="E18" t="s">
        <v>18</v>
      </c>
      <c r="F18" t="s">
        <v>122</v>
      </c>
      <c r="G18" t="s">
        <v>123</v>
      </c>
      <c r="H18">
        <v>44.52</v>
      </c>
      <c r="I18">
        <v>2021</v>
      </c>
      <c r="J18" t="s">
        <v>35</v>
      </c>
      <c r="K18">
        <v>6</v>
      </c>
      <c r="L18" t="s">
        <v>111</v>
      </c>
      <c r="M18">
        <v>7</v>
      </c>
      <c r="N18">
        <v>3</v>
      </c>
      <c r="O18" t="s">
        <v>101</v>
      </c>
      <c r="P18">
        <v>680</v>
      </c>
      <c r="Q18" t="s">
        <v>83</v>
      </c>
      <c r="R18" t="s">
        <v>84</v>
      </c>
      <c r="S18" t="s">
        <v>102</v>
      </c>
      <c r="T18" t="s">
        <v>47</v>
      </c>
      <c r="U18" t="s">
        <v>86</v>
      </c>
      <c r="V18" t="s">
        <v>52</v>
      </c>
      <c r="W18" t="s">
        <v>50</v>
      </c>
      <c r="X18" t="s">
        <v>87</v>
      </c>
      <c r="Y18">
        <v>51000</v>
      </c>
    </row>
    <row r="19" spans="1:25" x14ac:dyDescent="0.25">
      <c r="A19" s="4">
        <v>9</v>
      </c>
      <c r="B19">
        <v>599.89</v>
      </c>
      <c r="C19">
        <v>17</v>
      </c>
      <c r="D19">
        <v>1</v>
      </c>
      <c r="E19" t="s">
        <v>3</v>
      </c>
      <c r="F19" t="s">
        <v>122</v>
      </c>
      <c r="G19" t="s">
        <v>124</v>
      </c>
      <c r="H19">
        <v>599.89</v>
      </c>
      <c r="I19">
        <v>2021</v>
      </c>
      <c r="J19" t="s">
        <v>36</v>
      </c>
      <c r="K19">
        <v>7</v>
      </c>
      <c r="L19" t="s">
        <v>114</v>
      </c>
      <c r="M19">
        <v>7</v>
      </c>
      <c r="N19">
        <v>3</v>
      </c>
      <c r="O19" t="s">
        <v>105</v>
      </c>
      <c r="P19">
        <v>500</v>
      </c>
      <c r="Q19" t="s">
        <v>95</v>
      </c>
      <c r="R19" t="s">
        <v>90</v>
      </c>
      <c r="S19" t="s">
        <v>85</v>
      </c>
      <c r="T19" t="s">
        <v>48</v>
      </c>
      <c r="U19" t="s">
        <v>92</v>
      </c>
      <c r="V19" t="s">
        <v>53</v>
      </c>
      <c r="W19" t="s">
        <v>51</v>
      </c>
      <c r="X19" t="s">
        <v>87</v>
      </c>
      <c r="Y19">
        <v>35000</v>
      </c>
    </row>
    <row r="20" spans="1:25" x14ac:dyDescent="0.25">
      <c r="A20" s="4">
        <v>13</v>
      </c>
      <c r="B20">
        <v>6.5</v>
      </c>
      <c r="C20">
        <v>18</v>
      </c>
      <c r="D20">
        <v>1</v>
      </c>
      <c r="E20" t="s">
        <v>4</v>
      </c>
      <c r="F20" t="s">
        <v>122</v>
      </c>
      <c r="G20" t="s">
        <v>125</v>
      </c>
      <c r="H20">
        <v>6.5</v>
      </c>
      <c r="I20">
        <v>2021</v>
      </c>
      <c r="J20" t="s">
        <v>37</v>
      </c>
      <c r="K20">
        <v>8</v>
      </c>
      <c r="L20" t="s">
        <v>117</v>
      </c>
      <c r="M20">
        <v>7</v>
      </c>
      <c r="N20">
        <v>3</v>
      </c>
      <c r="O20" t="s">
        <v>108</v>
      </c>
      <c r="P20">
        <v>560</v>
      </c>
      <c r="Q20" t="s">
        <v>83</v>
      </c>
      <c r="R20" t="s">
        <v>84</v>
      </c>
      <c r="S20" t="s">
        <v>91</v>
      </c>
      <c r="T20" t="s">
        <v>41</v>
      </c>
      <c r="U20" t="s">
        <v>96</v>
      </c>
      <c r="V20" t="s">
        <v>54</v>
      </c>
      <c r="W20" t="s">
        <v>51</v>
      </c>
      <c r="X20" t="s">
        <v>87</v>
      </c>
      <c r="Y20">
        <v>55000</v>
      </c>
    </row>
    <row r="21" spans="1:25" x14ac:dyDescent="0.25">
      <c r="A21" s="4">
        <v>11</v>
      </c>
      <c r="B21">
        <v>169.78</v>
      </c>
      <c r="C21">
        <v>19</v>
      </c>
      <c r="D21">
        <v>1</v>
      </c>
      <c r="E21" t="s">
        <v>5</v>
      </c>
      <c r="F21" t="s">
        <v>122</v>
      </c>
      <c r="G21" t="s">
        <v>124</v>
      </c>
      <c r="H21">
        <v>169.78</v>
      </c>
      <c r="I21">
        <v>2021</v>
      </c>
      <c r="J21" t="s">
        <v>24</v>
      </c>
      <c r="K21">
        <v>25</v>
      </c>
      <c r="L21" t="s">
        <v>81</v>
      </c>
      <c r="M21">
        <v>6</v>
      </c>
      <c r="N21">
        <v>2</v>
      </c>
      <c r="O21" t="s">
        <v>110</v>
      </c>
      <c r="P21">
        <v>640</v>
      </c>
      <c r="Q21" t="s">
        <v>95</v>
      </c>
      <c r="R21" t="s">
        <v>84</v>
      </c>
      <c r="S21" t="s">
        <v>85</v>
      </c>
      <c r="T21" t="s">
        <v>40</v>
      </c>
      <c r="U21" t="s">
        <v>100</v>
      </c>
      <c r="X21" t="s">
        <v>87</v>
      </c>
    </row>
    <row r="22" spans="1:25" x14ac:dyDescent="0.25">
      <c r="A22" s="2">
        <v>9</v>
      </c>
      <c r="B22">
        <v>169.78</v>
      </c>
      <c r="C22">
        <v>20</v>
      </c>
      <c r="D22">
        <v>1</v>
      </c>
      <c r="E22" t="s">
        <v>5</v>
      </c>
      <c r="F22" t="s">
        <v>122</v>
      </c>
      <c r="G22" t="s">
        <v>124</v>
      </c>
      <c r="H22">
        <v>169.78</v>
      </c>
      <c r="I22">
        <v>2021</v>
      </c>
      <c r="J22" t="s">
        <v>25</v>
      </c>
      <c r="K22">
        <v>26</v>
      </c>
      <c r="L22" t="s">
        <v>88</v>
      </c>
      <c r="M22">
        <v>6</v>
      </c>
      <c r="N22">
        <v>2</v>
      </c>
      <c r="O22" t="s">
        <v>112</v>
      </c>
      <c r="P22">
        <v>590</v>
      </c>
      <c r="Q22" t="s">
        <v>83</v>
      </c>
      <c r="R22" t="s">
        <v>84</v>
      </c>
      <c r="S22" t="s">
        <v>85</v>
      </c>
      <c r="T22" t="s">
        <v>49</v>
      </c>
      <c r="U22" t="s">
        <v>103</v>
      </c>
      <c r="X22" t="s">
        <v>87</v>
      </c>
    </row>
    <row r="23" spans="1:25" x14ac:dyDescent="0.25">
      <c r="A23" s="4">
        <v>9</v>
      </c>
      <c r="B23">
        <v>269.96999999999997</v>
      </c>
      <c r="C23">
        <v>20</v>
      </c>
      <c r="D23">
        <v>3</v>
      </c>
      <c r="E23" t="s">
        <v>2</v>
      </c>
      <c r="F23" t="s">
        <v>106</v>
      </c>
      <c r="G23" t="s">
        <v>104</v>
      </c>
      <c r="H23">
        <v>89.99</v>
      </c>
      <c r="I23">
        <v>2021</v>
      </c>
      <c r="J23" t="s">
        <v>25</v>
      </c>
      <c r="K23">
        <v>26</v>
      </c>
      <c r="L23" t="s">
        <v>88</v>
      </c>
      <c r="M23">
        <v>6</v>
      </c>
      <c r="N23">
        <v>2</v>
      </c>
      <c r="O23" t="s">
        <v>112</v>
      </c>
      <c r="P23">
        <v>590</v>
      </c>
      <c r="Q23" t="s">
        <v>83</v>
      </c>
      <c r="R23" t="s">
        <v>84</v>
      </c>
      <c r="S23" t="s">
        <v>85</v>
      </c>
      <c r="T23" t="s">
        <v>49</v>
      </c>
      <c r="U23" t="s">
        <v>103</v>
      </c>
      <c r="X23" t="s">
        <v>87</v>
      </c>
    </row>
    <row r="24" spans="1:25" x14ac:dyDescent="0.25">
      <c r="A24" s="4">
        <v>9</v>
      </c>
      <c r="B24">
        <v>2645</v>
      </c>
      <c r="C24">
        <v>21</v>
      </c>
      <c r="D24">
        <v>5</v>
      </c>
      <c r="E24" t="s">
        <v>10</v>
      </c>
      <c r="F24" t="s">
        <v>106</v>
      </c>
      <c r="G24" t="s">
        <v>104</v>
      </c>
      <c r="H24">
        <v>529</v>
      </c>
      <c r="I24">
        <v>2021</v>
      </c>
      <c r="J24" t="s">
        <v>38</v>
      </c>
      <c r="K24">
        <v>25</v>
      </c>
      <c r="L24" t="s">
        <v>88</v>
      </c>
      <c r="M24">
        <v>9</v>
      </c>
      <c r="N24">
        <v>3</v>
      </c>
      <c r="O24" t="s">
        <v>118</v>
      </c>
      <c r="T24" t="s">
        <v>42</v>
      </c>
      <c r="U24" t="s">
        <v>96</v>
      </c>
      <c r="V24" t="s">
        <v>54</v>
      </c>
      <c r="W24" t="s">
        <v>51</v>
      </c>
      <c r="X24" t="s">
        <v>87</v>
      </c>
      <c r="Y24">
        <v>55000</v>
      </c>
    </row>
    <row r="25" spans="1:25" x14ac:dyDescent="0.25">
      <c r="A25" s="4">
        <v>9</v>
      </c>
      <c r="B25">
        <v>539.79999999999995</v>
      </c>
      <c r="C25">
        <v>22</v>
      </c>
      <c r="D25">
        <v>2</v>
      </c>
      <c r="E25" t="s">
        <v>7</v>
      </c>
      <c r="F25" t="s">
        <v>116</v>
      </c>
      <c r="G25" t="s">
        <v>113</v>
      </c>
      <c r="H25">
        <v>269.89999999999998</v>
      </c>
      <c r="I25">
        <v>2021</v>
      </c>
      <c r="J25" t="s">
        <v>38</v>
      </c>
      <c r="K25">
        <v>25</v>
      </c>
      <c r="L25" t="s">
        <v>88</v>
      </c>
      <c r="M25">
        <v>9</v>
      </c>
      <c r="N25">
        <v>3</v>
      </c>
      <c r="O25" t="s">
        <v>108</v>
      </c>
      <c r="P25">
        <v>560</v>
      </c>
      <c r="Q25" t="s">
        <v>83</v>
      </c>
      <c r="R25" t="s">
        <v>84</v>
      </c>
      <c r="S25" t="s">
        <v>91</v>
      </c>
      <c r="T25" t="s">
        <v>41</v>
      </c>
      <c r="U25" t="s">
        <v>103</v>
      </c>
      <c r="X25" t="s">
        <v>87</v>
      </c>
    </row>
    <row r="26" spans="1:25" x14ac:dyDescent="0.25">
      <c r="A26" s="4">
        <v>9</v>
      </c>
      <c r="B26">
        <v>1199.78</v>
      </c>
      <c r="C26">
        <v>22</v>
      </c>
      <c r="D26">
        <v>2</v>
      </c>
      <c r="E26" t="s">
        <v>3</v>
      </c>
      <c r="F26" t="s">
        <v>122</v>
      </c>
      <c r="G26" t="s">
        <v>124</v>
      </c>
      <c r="H26">
        <v>599.89</v>
      </c>
      <c r="I26">
        <v>2021</v>
      </c>
      <c r="J26" t="s">
        <v>38</v>
      </c>
      <c r="K26">
        <v>25</v>
      </c>
      <c r="L26" t="s">
        <v>88</v>
      </c>
      <c r="M26">
        <v>9</v>
      </c>
      <c r="N26">
        <v>3</v>
      </c>
      <c r="O26" t="s">
        <v>108</v>
      </c>
      <c r="P26">
        <v>560</v>
      </c>
      <c r="Q26" t="s">
        <v>83</v>
      </c>
      <c r="R26" t="s">
        <v>84</v>
      </c>
      <c r="S26" t="s">
        <v>91</v>
      </c>
      <c r="T26" t="s">
        <v>41</v>
      </c>
      <c r="U26" t="s">
        <v>103</v>
      </c>
      <c r="X26" t="s">
        <v>87</v>
      </c>
    </row>
    <row r="27" spans="1:25" x14ac:dyDescent="0.25">
      <c r="A27" s="4"/>
    </row>
    <row r="28" spans="1:25" x14ac:dyDescent="0.25">
      <c r="A28" s="4"/>
    </row>
    <row r="29" spans="1:25" x14ac:dyDescent="0.25">
      <c r="A29" s="4" t="s">
        <v>129</v>
      </c>
      <c r="F29" t="s">
        <v>130</v>
      </c>
    </row>
    <row r="30" spans="1:25" x14ac:dyDescent="0.25">
      <c r="A30" s="4"/>
    </row>
    <row r="31" spans="1:25" x14ac:dyDescent="0.25">
      <c r="A31" s="4"/>
    </row>
    <row r="32" spans="1:25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2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2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2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2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2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2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2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2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2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2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2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2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6"/>
  <sheetViews>
    <sheetView workbookViewId="0">
      <selection activeCell="B39" sqref="B39"/>
    </sheetView>
  </sheetViews>
  <sheetFormatPr defaultRowHeight="15" x14ac:dyDescent="0.25"/>
  <cols>
    <col min="1" max="1" width="24.7109375" customWidth="1"/>
    <col min="2" max="2" width="16.28515625" bestFit="1" customWidth="1"/>
    <col min="3" max="6" width="9.7109375" bestFit="1" customWidth="1"/>
    <col min="7" max="7" width="11.28515625" bestFit="1" customWidth="1"/>
    <col min="8" max="8" width="8.7109375" customWidth="1"/>
    <col min="9" max="9" width="11.28515625" bestFit="1" customWidth="1"/>
  </cols>
  <sheetData>
    <row r="3" spans="1:7" x14ac:dyDescent="0.25">
      <c r="A3" s="1" t="s">
        <v>127</v>
      </c>
      <c r="B3" s="1" t="s">
        <v>128</v>
      </c>
    </row>
    <row r="4" spans="1:7" x14ac:dyDescent="0.25">
      <c r="A4" s="1" t="s">
        <v>0</v>
      </c>
      <c r="B4" t="s">
        <v>103</v>
      </c>
      <c r="C4" t="s">
        <v>100</v>
      </c>
      <c r="D4" t="s">
        <v>92</v>
      </c>
      <c r="E4" t="s">
        <v>96</v>
      </c>
      <c r="F4" t="s">
        <v>86</v>
      </c>
      <c r="G4" t="s">
        <v>20</v>
      </c>
    </row>
    <row r="5" spans="1:7" x14ac:dyDescent="0.25">
      <c r="A5" s="2" t="s">
        <v>107</v>
      </c>
      <c r="B5" s="3"/>
      <c r="C5" s="3">
        <v>1</v>
      </c>
      <c r="D5" s="3">
        <v>1</v>
      </c>
      <c r="E5" s="3"/>
      <c r="F5" s="3"/>
      <c r="G5" s="3">
        <v>2</v>
      </c>
    </row>
    <row r="6" spans="1:7" x14ac:dyDescent="0.25">
      <c r="A6" s="4" t="s">
        <v>90</v>
      </c>
      <c r="B6" s="3"/>
      <c r="C6" s="3">
        <v>1</v>
      </c>
      <c r="D6" s="3"/>
      <c r="E6" s="3"/>
      <c r="F6" s="3"/>
      <c r="G6" s="3">
        <v>1</v>
      </c>
    </row>
    <row r="7" spans="1:7" x14ac:dyDescent="0.25">
      <c r="A7" s="5" t="s">
        <v>116</v>
      </c>
      <c r="B7" s="3"/>
      <c r="C7" s="3">
        <v>1</v>
      </c>
      <c r="D7" s="3"/>
      <c r="E7" s="3"/>
      <c r="F7" s="3"/>
      <c r="G7" s="3">
        <v>1</v>
      </c>
    </row>
    <row r="8" spans="1:7" x14ac:dyDescent="0.25">
      <c r="A8" s="4" t="s">
        <v>84</v>
      </c>
      <c r="B8" s="3"/>
      <c r="C8" s="3"/>
      <c r="D8" s="3">
        <v>1</v>
      </c>
      <c r="E8" s="3"/>
      <c r="F8" s="3"/>
      <c r="G8" s="3">
        <v>1</v>
      </c>
    </row>
    <row r="9" spans="1:7" x14ac:dyDescent="0.25">
      <c r="A9" s="5" t="s">
        <v>106</v>
      </c>
      <c r="B9" s="3"/>
      <c r="C9" s="3"/>
      <c r="D9" s="3">
        <v>1</v>
      </c>
      <c r="E9" s="3"/>
      <c r="F9" s="3"/>
      <c r="G9" s="3">
        <v>1</v>
      </c>
    </row>
    <row r="10" spans="1:7" x14ac:dyDescent="0.25">
      <c r="A10" s="2" t="s">
        <v>109</v>
      </c>
      <c r="B10" s="3">
        <v>2</v>
      </c>
      <c r="C10" s="3"/>
      <c r="D10" s="3"/>
      <c r="E10" s="3">
        <v>1</v>
      </c>
      <c r="F10" s="3"/>
      <c r="G10" s="3">
        <v>3</v>
      </c>
    </row>
    <row r="11" spans="1:7" x14ac:dyDescent="0.25">
      <c r="A11" s="2" t="s">
        <v>111</v>
      </c>
      <c r="B11" s="3"/>
      <c r="C11" s="3">
        <v>4</v>
      </c>
      <c r="D11" s="3"/>
      <c r="E11" s="3"/>
      <c r="F11" s="3">
        <v>1</v>
      </c>
      <c r="G11" s="3">
        <v>5</v>
      </c>
    </row>
    <row r="12" spans="1:7" x14ac:dyDescent="0.25">
      <c r="A12" s="2" t="s">
        <v>114</v>
      </c>
      <c r="B12" s="3">
        <v>1</v>
      </c>
      <c r="C12" s="3"/>
      <c r="D12" s="3">
        <v>1</v>
      </c>
      <c r="E12" s="3"/>
      <c r="F12" s="3"/>
      <c r="G12" s="3">
        <v>2</v>
      </c>
    </row>
    <row r="13" spans="1:7" x14ac:dyDescent="0.25">
      <c r="A13" s="2" t="s">
        <v>117</v>
      </c>
      <c r="B13" s="3"/>
      <c r="C13" s="3"/>
      <c r="D13" s="3"/>
      <c r="E13" s="3">
        <v>1</v>
      </c>
      <c r="F13" s="3">
        <v>1</v>
      </c>
      <c r="G13" s="3">
        <v>2</v>
      </c>
    </row>
    <row r="14" spans="1:7" x14ac:dyDescent="0.25">
      <c r="A14" s="2" t="s">
        <v>81</v>
      </c>
      <c r="B14" s="3">
        <v>1</v>
      </c>
      <c r="C14" s="3">
        <v>1</v>
      </c>
      <c r="D14" s="3">
        <v>2</v>
      </c>
      <c r="E14" s="3">
        <v>2</v>
      </c>
      <c r="F14" s="3">
        <v>1</v>
      </c>
      <c r="G14" s="3">
        <v>7</v>
      </c>
    </row>
    <row r="15" spans="1:7" x14ac:dyDescent="0.25">
      <c r="A15" s="2" t="s">
        <v>88</v>
      </c>
      <c r="B15" s="3">
        <v>8</v>
      </c>
      <c r="C15" s="3">
        <v>1</v>
      </c>
      <c r="D15" s="3">
        <v>1</v>
      </c>
      <c r="E15" s="3">
        <v>6</v>
      </c>
      <c r="F15" s="3">
        <v>3</v>
      </c>
      <c r="G15" s="3">
        <v>19</v>
      </c>
    </row>
    <row r="16" spans="1:7" x14ac:dyDescent="0.25">
      <c r="A16" s="2" t="s">
        <v>20</v>
      </c>
      <c r="B16" s="3">
        <v>12</v>
      </c>
      <c r="C16" s="3">
        <v>7</v>
      </c>
      <c r="D16" s="3">
        <v>5</v>
      </c>
      <c r="E16" s="3">
        <v>10</v>
      </c>
      <c r="F16" s="3">
        <v>6</v>
      </c>
      <c r="G16" s="3">
        <v>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4"/>
  <sheetViews>
    <sheetView workbookViewId="0">
      <selection activeCell="A6" sqref="A6"/>
    </sheetView>
  </sheetViews>
  <sheetFormatPr defaultRowHeight="15" x14ac:dyDescent="0.25"/>
  <cols>
    <col min="1" max="1" width="24.7109375" customWidth="1"/>
    <col min="2" max="2" width="16.28515625" customWidth="1"/>
    <col min="3" max="3" width="9.7109375" customWidth="1"/>
    <col min="4" max="4" width="11.28515625" bestFit="1" customWidth="1"/>
  </cols>
  <sheetData>
    <row r="3" spans="1:4" x14ac:dyDescent="0.25">
      <c r="A3" s="1" t="s">
        <v>127</v>
      </c>
      <c r="B3" s="1" t="s">
        <v>128</v>
      </c>
    </row>
    <row r="4" spans="1:4" x14ac:dyDescent="0.25">
      <c r="A4" s="1" t="s">
        <v>0</v>
      </c>
      <c r="B4" t="s">
        <v>103</v>
      </c>
      <c r="C4" t="s">
        <v>100</v>
      </c>
      <c r="D4" t="s">
        <v>20</v>
      </c>
    </row>
    <row r="5" spans="1:4" x14ac:dyDescent="0.25">
      <c r="A5" s="2" t="s">
        <v>90</v>
      </c>
      <c r="B5" s="3">
        <v>3</v>
      </c>
      <c r="C5" s="3">
        <v>2</v>
      </c>
      <c r="D5" s="3">
        <v>5</v>
      </c>
    </row>
    <row r="6" spans="1:4" x14ac:dyDescent="0.25">
      <c r="A6" s="4" t="s">
        <v>97</v>
      </c>
      <c r="B6" s="3"/>
      <c r="C6" s="3">
        <v>1</v>
      </c>
      <c r="D6" s="3">
        <v>1</v>
      </c>
    </row>
    <row r="7" spans="1:4" x14ac:dyDescent="0.25">
      <c r="A7" s="4" t="s">
        <v>106</v>
      </c>
      <c r="B7" s="3">
        <v>1</v>
      </c>
      <c r="C7" s="3"/>
      <c r="D7" s="3">
        <v>1</v>
      </c>
    </row>
    <row r="8" spans="1:4" x14ac:dyDescent="0.25">
      <c r="A8" s="4" t="s">
        <v>116</v>
      </c>
      <c r="B8" s="3">
        <v>2</v>
      </c>
      <c r="C8" s="3">
        <v>1</v>
      </c>
      <c r="D8" s="3">
        <v>3</v>
      </c>
    </row>
    <row r="9" spans="1:4" x14ac:dyDescent="0.25">
      <c r="A9" s="2" t="s">
        <v>84</v>
      </c>
      <c r="B9" s="3">
        <v>9</v>
      </c>
      <c r="C9" s="3">
        <v>5</v>
      </c>
      <c r="D9" s="3">
        <v>14</v>
      </c>
    </row>
    <row r="10" spans="1:4" x14ac:dyDescent="0.25">
      <c r="A10" s="4" t="s">
        <v>97</v>
      </c>
      <c r="B10" s="3">
        <v>1</v>
      </c>
      <c r="C10" s="3"/>
      <c r="D10" s="3">
        <v>1</v>
      </c>
    </row>
    <row r="11" spans="1:4" x14ac:dyDescent="0.25">
      <c r="A11" s="4" t="s">
        <v>106</v>
      </c>
      <c r="B11" s="3">
        <v>3</v>
      </c>
      <c r="C11" s="3">
        <v>4</v>
      </c>
      <c r="D11" s="3">
        <v>7</v>
      </c>
    </row>
    <row r="12" spans="1:4" x14ac:dyDescent="0.25">
      <c r="A12" s="4" t="s">
        <v>116</v>
      </c>
      <c r="B12" s="3">
        <v>2</v>
      </c>
      <c r="C12" s="3"/>
      <c r="D12" s="3">
        <v>2</v>
      </c>
    </row>
    <row r="13" spans="1:4" x14ac:dyDescent="0.25">
      <c r="A13" s="4" t="s">
        <v>122</v>
      </c>
      <c r="B13" s="3">
        <v>3</v>
      </c>
      <c r="C13" s="3">
        <v>1</v>
      </c>
      <c r="D13" s="3">
        <v>4</v>
      </c>
    </row>
    <row r="14" spans="1:4" x14ac:dyDescent="0.25">
      <c r="A14" s="2" t="s">
        <v>20</v>
      </c>
      <c r="B14" s="3">
        <v>12</v>
      </c>
      <c r="C14" s="3">
        <v>7</v>
      </c>
      <c r="D14" s="3">
        <v>19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3"/>
  <sheetViews>
    <sheetView workbookViewId="0">
      <selection activeCell="K5" sqref="K5"/>
    </sheetView>
  </sheetViews>
  <sheetFormatPr defaultRowHeight="15" x14ac:dyDescent="0.25"/>
  <cols>
    <col min="1" max="1" width="24.7109375" customWidth="1"/>
    <col min="2" max="2" width="16.28515625" customWidth="1"/>
    <col min="3" max="4" width="8.28515625" customWidth="1"/>
    <col min="5" max="5" width="11.5703125" customWidth="1"/>
    <col min="6" max="6" width="9" customWidth="1"/>
    <col min="7" max="7" width="6.42578125" customWidth="1"/>
    <col min="8" max="8" width="8.7109375" customWidth="1"/>
    <col min="9" max="9" width="11.28515625" customWidth="1"/>
    <col min="10" max="10" width="8.7109375" customWidth="1"/>
    <col min="11" max="11" width="21.7109375" bestFit="1" customWidth="1"/>
    <col min="12" max="12" width="10.28515625" bestFit="1" customWidth="1"/>
    <col min="13" max="13" width="13.42578125" bestFit="1" customWidth="1"/>
    <col min="14" max="14" width="11.28515625" bestFit="1" customWidth="1"/>
  </cols>
  <sheetData>
    <row r="4" spans="1:9" x14ac:dyDescent="0.25">
      <c r="A4" s="1" t="s">
        <v>127</v>
      </c>
      <c r="B4" s="1" t="s">
        <v>128</v>
      </c>
    </row>
    <row r="5" spans="1:9" x14ac:dyDescent="0.25">
      <c r="A5" s="1" t="s">
        <v>0</v>
      </c>
      <c r="B5" t="s">
        <v>107</v>
      </c>
      <c r="C5" t="s">
        <v>109</v>
      </c>
      <c r="D5" t="s">
        <v>111</v>
      </c>
      <c r="E5" t="s">
        <v>114</v>
      </c>
      <c r="F5" t="s">
        <v>117</v>
      </c>
      <c r="G5" t="s">
        <v>81</v>
      </c>
      <c r="H5" t="s">
        <v>88</v>
      </c>
      <c r="I5" t="s">
        <v>20</v>
      </c>
    </row>
    <row r="6" spans="1:9" x14ac:dyDescent="0.25">
      <c r="A6" s="2" t="s">
        <v>103</v>
      </c>
      <c r="B6" s="3"/>
      <c r="C6" s="3">
        <v>2</v>
      </c>
      <c r="D6" s="3"/>
      <c r="E6" s="3">
        <v>1</v>
      </c>
      <c r="F6" s="3"/>
      <c r="G6" s="3">
        <v>1</v>
      </c>
      <c r="H6" s="3">
        <v>8</v>
      </c>
      <c r="I6" s="3">
        <v>12</v>
      </c>
    </row>
    <row r="7" spans="1:9" x14ac:dyDescent="0.25">
      <c r="A7" s="4" t="s">
        <v>90</v>
      </c>
      <c r="B7" s="3"/>
      <c r="C7" s="3">
        <v>2</v>
      </c>
      <c r="D7" s="3"/>
      <c r="E7" s="3">
        <v>1</v>
      </c>
      <c r="F7" s="3"/>
      <c r="G7" s="3"/>
      <c r="H7" s="3"/>
      <c r="I7" s="3">
        <v>3</v>
      </c>
    </row>
    <row r="8" spans="1:9" x14ac:dyDescent="0.25">
      <c r="A8" s="4" t="s">
        <v>84</v>
      </c>
      <c r="B8" s="3"/>
      <c r="C8" s="3"/>
      <c r="D8" s="3"/>
      <c r="E8" s="3"/>
      <c r="F8" s="3"/>
      <c r="G8" s="3">
        <v>1</v>
      </c>
      <c r="H8" s="3">
        <v>8</v>
      </c>
      <c r="I8" s="3">
        <v>9</v>
      </c>
    </row>
    <row r="9" spans="1:9" x14ac:dyDescent="0.25">
      <c r="A9" s="2" t="s">
        <v>100</v>
      </c>
      <c r="B9" s="3">
        <v>1</v>
      </c>
      <c r="C9" s="3"/>
      <c r="D9" s="3">
        <v>4</v>
      </c>
      <c r="E9" s="3"/>
      <c r="F9" s="3"/>
      <c r="G9" s="3">
        <v>1</v>
      </c>
      <c r="H9" s="3">
        <v>1</v>
      </c>
      <c r="I9" s="3">
        <v>7</v>
      </c>
    </row>
    <row r="10" spans="1:9" x14ac:dyDescent="0.25">
      <c r="A10" s="4" t="s">
        <v>90</v>
      </c>
      <c r="B10" s="3">
        <v>1</v>
      </c>
      <c r="C10" s="3"/>
      <c r="D10" s="3"/>
      <c r="E10" s="3"/>
      <c r="F10" s="3"/>
      <c r="G10" s="3"/>
      <c r="H10" s="3">
        <v>1</v>
      </c>
      <c r="I10" s="3">
        <v>2</v>
      </c>
    </row>
    <row r="11" spans="1:9" x14ac:dyDescent="0.25">
      <c r="A11" s="4" t="s">
        <v>84</v>
      </c>
      <c r="B11" s="3"/>
      <c r="C11" s="3"/>
      <c r="D11" s="3">
        <v>4</v>
      </c>
      <c r="E11" s="3"/>
      <c r="F11" s="3"/>
      <c r="G11" s="3">
        <v>1</v>
      </c>
      <c r="H11" s="3"/>
      <c r="I11" s="3">
        <v>5</v>
      </c>
    </row>
    <row r="12" spans="1:9" x14ac:dyDescent="0.25">
      <c r="A12" s="2" t="s">
        <v>92</v>
      </c>
      <c r="B12" s="3">
        <v>1</v>
      </c>
      <c r="C12" s="3"/>
      <c r="D12" s="3"/>
      <c r="E12" s="3">
        <v>1</v>
      </c>
      <c r="F12" s="3"/>
      <c r="G12" s="3">
        <v>2</v>
      </c>
      <c r="H12" s="3">
        <v>1</v>
      </c>
      <c r="I12" s="3">
        <v>5</v>
      </c>
    </row>
    <row r="13" spans="1:9" x14ac:dyDescent="0.25">
      <c r="A13" s="4" t="s">
        <v>90</v>
      </c>
      <c r="B13" s="3"/>
      <c r="C13" s="3"/>
      <c r="D13" s="3"/>
      <c r="E13" s="3">
        <v>1</v>
      </c>
      <c r="F13" s="3"/>
      <c r="G13" s="3"/>
      <c r="H13" s="3">
        <v>1</v>
      </c>
      <c r="I13" s="3">
        <v>2</v>
      </c>
    </row>
    <row r="14" spans="1:9" x14ac:dyDescent="0.25">
      <c r="A14" s="4" t="s">
        <v>84</v>
      </c>
      <c r="B14" s="3">
        <v>1</v>
      </c>
      <c r="C14" s="3"/>
      <c r="D14" s="3"/>
      <c r="E14" s="3"/>
      <c r="F14" s="3"/>
      <c r="G14" s="3">
        <v>2</v>
      </c>
      <c r="H14" s="3"/>
      <c r="I14" s="3">
        <v>3</v>
      </c>
    </row>
    <row r="15" spans="1:9" x14ac:dyDescent="0.25">
      <c r="A15" s="2" t="s">
        <v>96</v>
      </c>
      <c r="B15" s="3"/>
      <c r="C15" s="3">
        <v>1</v>
      </c>
      <c r="D15" s="3"/>
      <c r="E15" s="3"/>
      <c r="F15" s="3">
        <v>1</v>
      </c>
      <c r="G15" s="3">
        <v>2</v>
      </c>
      <c r="H15" s="3">
        <v>6</v>
      </c>
      <c r="I15" s="3">
        <v>10</v>
      </c>
    </row>
    <row r="16" spans="1:9" x14ac:dyDescent="0.25">
      <c r="A16" s="4" t="s">
        <v>90</v>
      </c>
      <c r="B16" s="3"/>
      <c r="C16" s="3"/>
      <c r="D16" s="3"/>
      <c r="E16" s="3"/>
      <c r="F16" s="3"/>
      <c r="G16" s="3">
        <v>2</v>
      </c>
      <c r="H16" s="3">
        <v>1</v>
      </c>
      <c r="I16" s="3">
        <v>3</v>
      </c>
    </row>
    <row r="17" spans="1:9" x14ac:dyDescent="0.25">
      <c r="A17" s="4" t="s">
        <v>84</v>
      </c>
      <c r="B17" s="3"/>
      <c r="C17" s="3">
        <v>1</v>
      </c>
      <c r="D17" s="3"/>
      <c r="E17" s="3"/>
      <c r="F17" s="3">
        <v>1</v>
      </c>
      <c r="G17" s="3"/>
      <c r="H17" s="3"/>
      <c r="I17" s="3">
        <v>2</v>
      </c>
    </row>
    <row r="18" spans="1:9" x14ac:dyDescent="0.25">
      <c r="A18" s="4" t="s">
        <v>126</v>
      </c>
      <c r="B18" s="3"/>
      <c r="C18" s="3"/>
      <c r="D18" s="3"/>
      <c r="E18" s="3"/>
      <c r="F18" s="3"/>
      <c r="G18" s="3"/>
      <c r="H18" s="3">
        <v>5</v>
      </c>
      <c r="I18" s="3">
        <v>5</v>
      </c>
    </row>
    <row r="19" spans="1:9" x14ac:dyDescent="0.25">
      <c r="A19" s="2" t="s">
        <v>86</v>
      </c>
      <c r="B19" s="3"/>
      <c r="C19" s="3"/>
      <c r="D19" s="3">
        <v>1</v>
      </c>
      <c r="E19" s="3"/>
      <c r="F19" s="3">
        <v>1</v>
      </c>
      <c r="G19" s="3">
        <v>1</v>
      </c>
      <c r="H19" s="3">
        <v>3</v>
      </c>
      <c r="I19" s="3">
        <v>6</v>
      </c>
    </row>
    <row r="20" spans="1:9" x14ac:dyDescent="0.25">
      <c r="A20" s="4" t="s">
        <v>90</v>
      </c>
      <c r="B20" s="3"/>
      <c r="C20" s="3"/>
      <c r="D20" s="3"/>
      <c r="E20" s="3"/>
      <c r="F20" s="3"/>
      <c r="G20" s="3"/>
      <c r="H20" s="3">
        <v>3</v>
      </c>
      <c r="I20" s="3">
        <v>3</v>
      </c>
    </row>
    <row r="21" spans="1:9" x14ac:dyDescent="0.25">
      <c r="A21" s="4" t="s">
        <v>84</v>
      </c>
      <c r="B21" s="3"/>
      <c r="C21" s="3"/>
      <c r="D21" s="3">
        <v>1</v>
      </c>
      <c r="E21" s="3"/>
      <c r="F21" s="3"/>
      <c r="G21" s="3">
        <v>1</v>
      </c>
      <c r="H21" s="3"/>
      <c r="I21" s="3">
        <v>2</v>
      </c>
    </row>
    <row r="22" spans="1:9" x14ac:dyDescent="0.25">
      <c r="A22" s="4" t="s">
        <v>126</v>
      </c>
      <c r="B22" s="3"/>
      <c r="C22" s="3"/>
      <c r="D22" s="3"/>
      <c r="E22" s="3"/>
      <c r="F22" s="3">
        <v>1</v>
      </c>
      <c r="G22" s="3"/>
      <c r="H22" s="3"/>
      <c r="I22" s="3">
        <v>1</v>
      </c>
    </row>
    <row r="23" spans="1:9" x14ac:dyDescent="0.25">
      <c r="A23" s="2" t="s">
        <v>20</v>
      </c>
      <c r="B23" s="3">
        <v>2</v>
      </c>
      <c r="C23" s="3">
        <v>3</v>
      </c>
      <c r="D23" s="3">
        <v>5</v>
      </c>
      <c r="E23" s="3">
        <v>2</v>
      </c>
      <c r="F23" s="3">
        <v>2</v>
      </c>
      <c r="G23" s="3">
        <v>7</v>
      </c>
      <c r="H23" s="3">
        <v>19</v>
      </c>
      <c r="I23" s="3">
        <v>40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24"/>
  <sheetViews>
    <sheetView workbookViewId="0">
      <selection activeCell="H29" sqref="H29"/>
    </sheetView>
  </sheetViews>
  <sheetFormatPr defaultRowHeight="15" x14ac:dyDescent="0.25"/>
  <cols>
    <col min="1" max="1" width="24.7109375" bestFit="1" customWidth="1"/>
    <col min="2" max="2" width="21.28515625" bestFit="1" customWidth="1"/>
    <col min="3" max="3" width="13.42578125" bestFit="1" customWidth="1"/>
    <col min="4" max="4" width="8.7109375" bestFit="1" customWidth="1"/>
    <col min="5" max="5" width="18.42578125" bestFit="1" customWidth="1"/>
    <col min="6" max="6" width="10.28515625" bestFit="1" customWidth="1"/>
    <col min="7" max="7" width="11.28515625" bestFit="1" customWidth="1"/>
    <col min="8" max="8" width="68.5703125" bestFit="1" customWidth="1"/>
    <col min="9" max="9" width="37.140625" bestFit="1" customWidth="1"/>
    <col min="10" max="10" width="13.42578125" bestFit="1" customWidth="1"/>
    <col min="11" max="11" width="11.28515625" bestFit="1" customWidth="1"/>
    <col min="12" max="12" width="55.5703125" bestFit="1" customWidth="1"/>
    <col min="13" max="13" width="68.5703125" bestFit="1" customWidth="1"/>
    <col min="14" max="14" width="37.140625" bestFit="1" customWidth="1"/>
    <col min="15" max="15" width="13.42578125" bestFit="1" customWidth="1"/>
    <col min="16" max="16" width="11.28515625" bestFit="1" customWidth="1"/>
    <col min="17" max="17" width="68.5703125" bestFit="1" customWidth="1"/>
    <col min="18" max="18" width="37.140625" bestFit="1" customWidth="1"/>
    <col min="19" max="19" width="13.42578125" bestFit="1" customWidth="1"/>
    <col min="20" max="20" width="11.28515625" bestFit="1" customWidth="1"/>
    <col min="21" max="21" width="37.140625" bestFit="1" customWidth="1"/>
    <col min="22" max="22" width="13.42578125" bestFit="1" customWidth="1"/>
    <col min="23" max="23" width="11.28515625" bestFit="1" customWidth="1"/>
    <col min="24" max="24" width="37.140625" bestFit="1" customWidth="1"/>
    <col min="25" max="25" width="13.42578125" bestFit="1" customWidth="1"/>
    <col min="26" max="26" width="11.28515625" bestFit="1" customWidth="1"/>
  </cols>
  <sheetData>
    <row r="4" spans="1:7" x14ac:dyDescent="0.25">
      <c r="A4" s="1" t="s">
        <v>127</v>
      </c>
      <c r="B4" s="1" t="s">
        <v>128</v>
      </c>
    </row>
    <row r="5" spans="1:7" x14ac:dyDescent="0.25">
      <c r="B5" t="s">
        <v>79</v>
      </c>
      <c r="C5" t="s">
        <v>97</v>
      </c>
      <c r="D5" t="s">
        <v>106</v>
      </c>
      <c r="E5" t="s">
        <v>116</v>
      </c>
      <c r="F5" t="s">
        <v>122</v>
      </c>
      <c r="G5" t="s">
        <v>20</v>
      </c>
    </row>
    <row r="6" spans="1:7" x14ac:dyDescent="0.25">
      <c r="A6" s="1" t="s">
        <v>0</v>
      </c>
    </row>
    <row r="7" spans="1:7" x14ac:dyDescent="0.25">
      <c r="A7" s="2" t="s">
        <v>103</v>
      </c>
      <c r="B7" s="3"/>
      <c r="C7" s="3">
        <v>1</v>
      </c>
      <c r="D7" s="3">
        <v>4</v>
      </c>
      <c r="E7" s="3">
        <v>4</v>
      </c>
      <c r="F7" s="3">
        <v>3</v>
      </c>
      <c r="G7" s="3">
        <v>12</v>
      </c>
    </row>
    <row r="8" spans="1:7" x14ac:dyDescent="0.25">
      <c r="A8" s="4" t="s">
        <v>90</v>
      </c>
      <c r="B8" s="3"/>
      <c r="C8" s="3"/>
      <c r="D8" s="3">
        <v>1</v>
      </c>
      <c r="E8" s="3">
        <v>2</v>
      </c>
      <c r="F8" s="3"/>
      <c r="G8" s="3">
        <v>3</v>
      </c>
    </row>
    <row r="9" spans="1:7" x14ac:dyDescent="0.25">
      <c r="A9" s="4" t="s">
        <v>84</v>
      </c>
      <c r="B9" s="3"/>
      <c r="C9" s="3">
        <v>1</v>
      </c>
      <c r="D9" s="3">
        <v>3</v>
      </c>
      <c r="E9" s="3">
        <v>2</v>
      </c>
      <c r="F9" s="3">
        <v>3</v>
      </c>
      <c r="G9" s="3">
        <v>9</v>
      </c>
    </row>
    <row r="10" spans="1:7" x14ac:dyDescent="0.25">
      <c r="A10" s="2" t="s">
        <v>100</v>
      </c>
      <c r="B10" s="3"/>
      <c r="C10" s="3">
        <v>1</v>
      </c>
      <c r="D10" s="3">
        <v>4</v>
      </c>
      <c r="E10" s="3">
        <v>1</v>
      </c>
      <c r="F10" s="3">
        <v>1</v>
      </c>
      <c r="G10" s="3">
        <v>7</v>
      </c>
    </row>
    <row r="11" spans="1:7" x14ac:dyDescent="0.25">
      <c r="A11" s="4" t="s">
        <v>90</v>
      </c>
      <c r="B11" s="3"/>
      <c r="C11" s="3">
        <v>1</v>
      </c>
      <c r="D11" s="3"/>
      <c r="E11" s="3">
        <v>1</v>
      </c>
      <c r="F11" s="3"/>
      <c r="G11" s="3">
        <v>2</v>
      </c>
    </row>
    <row r="12" spans="1:7" x14ac:dyDescent="0.25">
      <c r="A12" s="4" t="s">
        <v>84</v>
      </c>
      <c r="B12" s="3"/>
      <c r="C12" s="3"/>
      <c r="D12" s="3">
        <v>4</v>
      </c>
      <c r="E12" s="3"/>
      <c r="F12" s="3">
        <v>1</v>
      </c>
      <c r="G12" s="3">
        <v>5</v>
      </c>
    </row>
    <row r="13" spans="1:7" x14ac:dyDescent="0.25">
      <c r="A13" s="2" t="s">
        <v>92</v>
      </c>
      <c r="B13" s="3">
        <v>1</v>
      </c>
      <c r="C13" s="3"/>
      <c r="D13" s="3">
        <v>1</v>
      </c>
      <c r="E13" s="3">
        <v>2</v>
      </c>
      <c r="F13" s="3">
        <v>1</v>
      </c>
      <c r="G13" s="3">
        <v>5</v>
      </c>
    </row>
    <row r="14" spans="1:7" x14ac:dyDescent="0.25">
      <c r="A14" s="4" t="s">
        <v>90</v>
      </c>
      <c r="B14" s="3">
        <v>1</v>
      </c>
      <c r="C14" s="3"/>
      <c r="D14" s="3"/>
      <c r="E14" s="3"/>
      <c r="F14" s="3">
        <v>1</v>
      </c>
      <c r="G14" s="3">
        <v>2</v>
      </c>
    </row>
    <row r="15" spans="1:7" x14ac:dyDescent="0.25">
      <c r="A15" s="4" t="s">
        <v>84</v>
      </c>
      <c r="B15" s="3"/>
      <c r="C15" s="3"/>
      <c r="D15" s="3">
        <v>1</v>
      </c>
      <c r="E15" s="3">
        <v>2</v>
      </c>
      <c r="F15" s="3"/>
      <c r="G15" s="3">
        <v>3</v>
      </c>
    </row>
    <row r="16" spans="1:7" x14ac:dyDescent="0.25">
      <c r="A16" s="2" t="s">
        <v>96</v>
      </c>
      <c r="B16" s="3">
        <v>2</v>
      </c>
      <c r="C16" s="3"/>
      <c r="D16" s="3">
        <v>6</v>
      </c>
      <c r="E16" s="3">
        <v>1</v>
      </c>
      <c r="F16" s="3">
        <v>1</v>
      </c>
      <c r="G16" s="3">
        <v>10</v>
      </c>
    </row>
    <row r="17" spans="1:7" x14ac:dyDescent="0.25">
      <c r="A17" s="4" t="s">
        <v>90</v>
      </c>
      <c r="B17" s="3">
        <v>2</v>
      </c>
      <c r="C17" s="3"/>
      <c r="D17" s="3"/>
      <c r="E17" s="3">
        <v>1</v>
      </c>
      <c r="F17" s="3"/>
      <c r="G17" s="3">
        <v>3</v>
      </c>
    </row>
    <row r="18" spans="1:7" x14ac:dyDescent="0.25">
      <c r="A18" s="4" t="s">
        <v>84</v>
      </c>
      <c r="B18" s="3"/>
      <c r="C18" s="3"/>
      <c r="D18" s="3">
        <v>1</v>
      </c>
      <c r="E18" s="3"/>
      <c r="F18" s="3">
        <v>1</v>
      </c>
      <c r="G18" s="3">
        <v>2</v>
      </c>
    </row>
    <row r="19" spans="1:7" x14ac:dyDescent="0.25">
      <c r="A19" s="4" t="s">
        <v>126</v>
      </c>
      <c r="B19" s="3"/>
      <c r="C19" s="3"/>
      <c r="D19" s="3">
        <v>5</v>
      </c>
      <c r="E19" s="3"/>
      <c r="F19" s="3"/>
      <c r="G19" s="3">
        <v>5</v>
      </c>
    </row>
    <row r="20" spans="1:7" x14ac:dyDescent="0.25">
      <c r="A20" s="2" t="s">
        <v>86</v>
      </c>
      <c r="B20" s="3">
        <v>1</v>
      </c>
      <c r="C20" s="3">
        <v>3</v>
      </c>
      <c r="D20" s="3"/>
      <c r="E20" s="3">
        <v>1</v>
      </c>
      <c r="F20" s="3">
        <v>1</v>
      </c>
      <c r="G20" s="3">
        <v>6</v>
      </c>
    </row>
    <row r="21" spans="1:7" x14ac:dyDescent="0.25">
      <c r="A21" s="4" t="s">
        <v>90</v>
      </c>
      <c r="B21" s="3"/>
      <c r="C21" s="3">
        <v>3</v>
      </c>
      <c r="D21" s="3"/>
      <c r="E21" s="3"/>
      <c r="F21" s="3"/>
      <c r="G21" s="3">
        <v>3</v>
      </c>
    </row>
    <row r="22" spans="1:7" x14ac:dyDescent="0.25">
      <c r="A22" s="4" t="s">
        <v>84</v>
      </c>
      <c r="B22" s="3">
        <v>1</v>
      </c>
      <c r="C22" s="3"/>
      <c r="D22" s="3"/>
      <c r="E22" s="3"/>
      <c r="F22" s="3">
        <v>1</v>
      </c>
      <c r="G22" s="3">
        <v>2</v>
      </c>
    </row>
    <row r="23" spans="1:7" x14ac:dyDescent="0.25">
      <c r="A23" s="4" t="s">
        <v>126</v>
      </c>
      <c r="B23" s="3"/>
      <c r="C23" s="3"/>
      <c r="D23" s="3"/>
      <c r="E23" s="3">
        <v>1</v>
      </c>
      <c r="F23" s="3"/>
      <c r="G23" s="3">
        <v>1</v>
      </c>
    </row>
    <row r="24" spans="1:7" x14ac:dyDescent="0.25">
      <c r="A24" s="2" t="s">
        <v>20</v>
      </c>
      <c r="B24" s="3">
        <v>4</v>
      </c>
      <c r="C24" s="3">
        <v>5</v>
      </c>
      <c r="D24" s="3">
        <v>15</v>
      </c>
      <c r="E24" s="3">
        <v>9</v>
      </c>
      <c r="F24" s="3">
        <v>7</v>
      </c>
      <c r="G24" s="3">
        <v>40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A2390F-7EDA-4481-9103-DB06F06E17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lendo DW</vt:lpstr>
      <vt:lpstr>OLAP q1</vt:lpstr>
      <vt:lpstr>OLAP q2</vt:lpstr>
      <vt:lpstr>OLAP q3</vt:lpstr>
      <vt:lpstr>OLAP 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BDADM01</dc:creator>
  <cp:lastModifiedBy>BDADM01</cp:lastModifiedBy>
  <dcterms:created xsi:type="dcterms:W3CDTF">2021-09-21T21:42:02Z</dcterms:created>
  <dcterms:modified xsi:type="dcterms:W3CDTF">2023-03-21T10:59:28Z</dcterms:modified>
</cp:coreProperties>
</file>