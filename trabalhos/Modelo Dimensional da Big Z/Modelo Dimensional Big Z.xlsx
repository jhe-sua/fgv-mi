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<sst xmlns="http://schemas.openxmlformats.org/spreadsheetml/2006/main" count="119" uniqueCount="80">
  <si>
    <t>prod_key</t>
  </si>
  <si>
    <t>Column 6</t>
  </si>
  <si>
    <t>id_prod</t>
  </si>
  <si>
    <t>nome_prod</t>
  </si>
  <si>
    <t>tipo_prod</t>
  </si>
  <si>
    <t>nome_forn_prod</t>
  </si>
  <si>
    <t>P1</t>
  </si>
  <si>
    <t>BigGripper</t>
  </si>
  <si>
    <t>Tire</t>
  </si>
  <si>
    <t>ST</t>
  </si>
  <si>
    <t>P2</t>
  </si>
  <si>
    <t>TractionWiz</t>
  </si>
  <si>
    <t>P3</t>
  </si>
  <si>
    <t>SureStart</t>
  </si>
  <si>
    <t>Battery</t>
  </si>
  <si>
    <t>BE</t>
  </si>
  <si>
    <t>at_key</t>
  </si>
  <si>
    <t>id_at</t>
  </si>
  <si>
    <t>nome_at</t>
  </si>
  <si>
    <t>funcao_at</t>
  </si>
  <si>
    <t>nivel_edu_at</t>
  </si>
  <si>
    <t>ano_contrat_at</t>
  </si>
  <si>
    <t>OC1</t>
  </si>
  <si>
    <t>Antonio</t>
  </si>
  <si>
    <t>Order Clerck</t>
  </si>
  <si>
    <t>High School</t>
  </si>
  <si>
    <t>OC2</t>
  </si>
  <si>
    <t>Wesley</t>
  </si>
  <si>
    <t>College</t>
  </si>
  <si>
    <t>OC3</t>
  </si>
  <si>
    <t>Liliana</t>
  </si>
  <si>
    <t>depo_key</t>
  </si>
  <si>
    <t>id_depo</t>
  </si>
  <si>
    <t>tam_depo</t>
  </si>
  <si>
    <t>zip_depo</t>
  </si>
  <si>
    <t>D1</t>
  </si>
  <si>
    <t>Small</t>
  </si>
  <si>
    <t>D2</t>
  </si>
  <si>
    <t>Large</t>
  </si>
  <si>
    <t>D3</t>
  </si>
  <si>
    <t>cli_key</t>
  </si>
  <si>
    <t>id_cli</t>
  </si>
  <si>
    <t>nome_cli</t>
  </si>
  <si>
    <t>tipo_cli</t>
  </si>
  <si>
    <t>zip_cli</t>
  </si>
  <si>
    <t>C1</t>
  </si>
  <si>
    <t>Auto Doc</t>
  </si>
  <si>
    <t>Repair Shop</t>
  </si>
  <si>
    <t>C2</t>
  </si>
  <si>
    <t>Bo's Car Repair</t>
  </si>
  <si>
    <t>C3</t>
  </si>
  <si>
    <t>JJ Auto Parts</t>
  </si>
  <si>
    <t>Retailer</t>
  </si>
  <si>
    <t>id_pedido</t>
  </si>
  <si>
    <t>qtd</t>
  </si>
  <si>
    <t>cal_key</t>
  </si>
  <si>
    <t>hora_key</t>
  </si>
  <si>
    <t>O1</t>
  </si>
  <si>
    <t>O2</t>
  </si>
  <si>
    <t>O3</t>
  </si>
  <si>
    <t>O4</t>
  </si>
  <si>
    <t>O5</t>
  </si>
  <si>
    <t>O6</t>
  </si>
  <si>
    <t>O7</t>
  </si>
  <si>
    <t>O8</t>
  </si>
  <si>
    <t>dt_completa_cal</t>
  </si>
  <si>
    <t>dia_semana_cal</t>
  </si>
  <si>
    <t>dia_mes_cal</t>
  </si>
  <si>
    <t>mes_cal</t>
  </si>
  <si>
    <t>trimestre_cal</t>
  </si>
  <si>
    <t>ano_cal</t>
  </si>
  <si>
    <t>Quarta-feira</t>
  </si>
  <si>
    <t>Quinta-feira</t>
  </si>
  <si>
    <t>Sexta-feira</t>
  </si>
  <si>
    <t>Sabado</t>
  </si>
  <si>
    <t>Domingo</t>
  </si>
  <si>
    <t>Segunda-feira</t>
  </si>
  <si>
    <t>Terca-feira</t>
  </si>
  <si>
    <t>23000</t>
  </si>
  <si>
    <t>2:30:00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</si>
</sst>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21" xfId="0" applyAlignment="1" applyFont="1" applyNumberFormat="1">
      <alignment horizontal="left" readingOrder="0" shrinkToFit="0" vertical="center" wrapText="0"/>
    </xf>
    <xf borderId="0" fillId="0" fontId="1" numFmtId="21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B3642"/>
          <bgColor rgb="FF9B3642"/>
        </patternFill>
      </fill>
      <border/>
    </dxf>
  </dxfs>
  <tableStyles count="7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5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Hoja 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7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G7" displayName="Produto" name="Produto" id="1">
  <tableColumns count="6">
    <tableColumn name="prod_key" id="1"/>
    <tableColumn name="Column 6" id="2"/>
    <tableColumn name="id_prod" id="3"/>
    <tableColumn name="nome_prod" id="4"/>
    <tableColumn name="tipo_prod" id="5"/>
    <tableColumn name="nome_forn_prod" id="6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B9:G12" displayName="ATENDENTE" name="ATENDENTE" id="2">
  <tableColumns count="6">
    <tableColumn name="at_key" id="1"/>
    <tableColumn name="id_at" id="2"/>
    <tableColumn name="nome_at" id="3"/>
    <tableColumn name="funcao_at" id="4"/>
    <tableColumn name="nivel_edu_at" id="5"/>
    <tableColumn name="ano_contrat_at" id="6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B14:E17" displayName="DEPOSITO" name="DEPOSITO" id="3">
  <tableColumns count="4">
    <tableColumn name="depo_key" id="1"/>
    <tableColumn name="id_depo" id="2"/>
    <tableColumn name="tam_depo" id="3"/>
    <tableColumn name="zip_depo" id="4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ref="B19:F22" displayName="CLIENTE" name="CLIENTE" id="4">
  <tableColumns count="5">
    <tableColumn name="cli_key" id="1"/>
    <tableColumn name="id_cli" id="2"/>
    <tableColumn name="nome_cli" id="3"/>
    <tableColumn name="tipo_cli" id="4"/>
    <tableColumn name="zip_cli" id="5"/>
  </tableColumns>
  <tableStyleInfo name="Hoja 1-style 4" showColumnStripes="0" showFirstColumn="1" showLastColumn="1" showRowStripes="1"/>
</table>
</file>

<file path=xl/tables/table5.xml><?xml version="1.0" encoding="utf-8"?>
<table xmlns="http://schemas.openxmlformats.org/spreadsheetml/2006/main" ref="B24:I35" displayName="PEDIDOS" name="PEDIDOS" id="5">
  <tableColumns count="8">
    <tableColumn name="id_pedido" id="1"/>
    <tableColumn name="prod_key" id="2"/>
    <tableColumn name="qtd" id="3"/>
    <tableColumn name="cli_key" id="4"/>
    <tableColumn name="depo_key" id="5"/>
    <tableColumn name="at_key" id="6"/>
    <tableColumn name="cal_key" id="7"/>
    <tableColumn name="hora_key" id="8"/>
  </tableColumns>
  <tableStyleInfo name="Hoja 1-style 5" showColumnStripes="0" showFirstColumn="1" showLastColumn="1" showRowStripes="1"/>
</table>
</file>

<file path=xl/tables/table6.xml><?xml version="1.0" encoding="utf-8"?>
<table xmlns="http://schemas.openxmlformats.org/spreadsheetml/2006/main" ref="B39:H70" displayName="CALENDARIO" name="CALENDARIO" id="6">
  <tableColumns count="7">
    <tableColumn name="cal_key" id="1"/>
    <tableColumn name="dt_completa_cal" id="2"/>
    <tableColumn name="dia_semana_cal" id="3"/>
    <tableColumn name="dia_mes_cal" id="4"/>
    <tableColumn name="mes_cal" id="5"/>
    <tableColumn name="trimestre_cal" id="6"/>
    <tableColumn name="ano_cal" id="7"/>
  </tableColumns>
  <tableStyleInfo name="Hoja 1-style 6" showColumnStripes="0" showFirstColumn="1" showLastColumn="1" showRowStripes="1"/>
</table>
</file>

<file path=xl/tables/table7.xml><?xml version="1.0" encoding="utf-8"?>
<table xmlns="http://schemas.openxmlformats.org/spreadsheetml/2006/main" ref="B71:C156" displayName="HORA" name="HORA" id="7">
  <tableColumns count="2">
    <tableColumn name="23000" id="1"/>
    <tableColumn name="2:30:00" id="2"/>
  </tableColumns>
  <tableStyleInfo name="Hoja 1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  <col customWidth="1" min="7" max="7" width="17.63"/>
  </cols>
  <sheetData>
    <row r="2">
      <c r="B2" s="1"/>
    </row>
    <row r="3">
      <c r="B3" s="2"/>
      <c r="C3" s="2"/>
      <c r="D3" s="2"/>
      <c r="E3" s="2"/>
      <c r="F3" s="2"/>
      <c r="G3" s="2"/>
    </row>
    <row r="4" ht="22.5" customHeight="1">
      <c r="B4" s="3" t="s">
        <v>0</v>
      </c>
      <c r="C4" s="4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5" ht="22.5" customHeight="1">
      <c r="B5" s="5">
        <v>1.0</v>
      </c>
      <c r="C5" s="5"/>
      <c r="D5" s="5" t="s">
        <v>6</v>
      </c>
      <c r="E5" s="5" t="s">
        <v>7</v>
      </c>
      <c r="F5" s="5" t="s">
        <v>8</v>
      </c>
      <c r="G5" s="5" t="s">
        <v>9</v>
      </c>
    </row>
    <row r="6" ht="22.5" customHeight="1">
      <c r="B6" s="5">
        <v>2.0</v>
      </c>
      <c r="C6" s="5"/>
      <c r="D6" s="5" t="s">
        <v>10</v>
      </c>
      <c r="E6" s="5" t="s">
        <v>11</v>
      </c>
      <c r="F6" s="5" t="s">
        <v>8</v>
      </c>
      <c r="G6" s="5" t="s">
        <v>9</v>
      </c>
    </row>
    <row r="7" ht="22.5" customHeight="1">
      <c r="B7" s="5">
        <v>3.0</v>
      </c>
      <c r="C7" s="5"/>
      <c r="D7" s="5" t="s">
        <v>12</v>
      </c>
      <c r="E7" s="5" t="s">
        <v>13</v>
      </c>
      <c r="F7" s="5" t="s">
        <v>14</v>
      </c>
      <c r="G7" s="5" t="s">
        <v>15</v>
      </c>
    </row>
    <row r="9" ht="22.5" customHeight="1">
      <c r="B9" s="6" t="s">
        <v>16</v>
      </c>
      <c r="C9" s="6" t="s">
        <v>17</v>
      </c>
      <c r="D9" s="6" t="s">
        <v>18</v>
      </c>
      <c r="E9" s="6" t="s">
        <v>19</v>
      </c>
      <c r="F9" s="6" t="s">
        <v>20</v>
      </c>
      <c r="G9" s="6" t="s">
        <v>21</v>
      </c>
    </row>
    <row r="10" ht="22.5" customHeight="1">
      <c r="B10" s="5">
        <v>1.0</v>
      </c>
      <c r="C10" s="5" t="s">
        <v>22</v>
      </c>
      <c r="D10" s="5" t="s">
        <v>23</v>
      </c>
      <c r="E10" s="5" t="s">
        <v>24</v>
      </c>
      <c r="F10" s="5" t="s">
        <v>25</v>
      </c>
      <c r="G10" s="5">
        <v>2010.0</v>
      </c>
    </row>
    <row r="11" ht="22.5" customHeight="1">
      <c r="B11" s="5">
        <v>2.0</v>
      </c>
      <c r="C11" s="5" t="s">
        <v>26</v>
      </c>
      <c r="D11" s="5" t="s">
        <v>27</v>
      </c>
      <c r="E11" s="5" t="s">
        <v>24</v>
      </c>
      <c r="F11" s="5" t="s">
        <v>28</v>
      </c>
      <c r="G11" s="5">
        <v>2016.0</v>
      </c>
    </row>
    <row r="12" ht="22.5" customHeight="1">
      <c r="B12" s="5">
        <v>3.0</v>
      </c>
      <c r="C12" s="5" t="s">
        <v>29</v>
      </c>
      <c r="D12" s="5" t="s">
        <v>30</v>
      </c>
      <c r="E12" s="5" t="s">
        <v>24</v>
      </c>
      <c r="F12" s="5" t="s">
        <v>28</v>
      </c>
      <c r="G12" s="5">
        <v>2016.0</v>
      </c>
    </row>
    <row r="14" ht="22.5" customHeight="1">
      <c r="B14" s="6" t="s">
        <v>31</v>
      </c>
      <c r="C14" s="6" t="s">
        <v>32</v>
      </c>
      <c r="D14" s="6" t="s">
        <v>33</v>
      </c>
      <c r="E14" s="6" t="s">
        <v>34</v>
      </c>
    </row>
    <row r="15" ht="22.5" customHeight="1">
      <c r="B15" s="5">
        <v>1.0</v>
      </c>
      <c r="C15" s="5" t="s">
        <v>35</v>
      </c>
      <c r="D15" s="5" t="s">
        <v>36</v>
      </c>
      <c r="E15" s="5">
        <v>60611.0</v>
      </c>
    </row>
    <row r="16" ht="22.5" customHeight="1">
      <c r="B16" s="5">
        <v>2.0</v>
      </c>
      <c r="C16" s="5" t="s">
        <v>37</v>
      </c>
      <c r="D16" s="5" t="s">
        <v>38</v>
      </c>
      <c r="E16" s="5">
        <v>60660.0</v>
      </c>
    </row>
    <row r="17" ht="22.5" customHeight="1">
      <c r="B17" s="5">
        <v>3.0</v>
      </c>
      <c r="C17" s="5" t="s">
        <v>39</v>
      </c>
      <c r="D17" s="5" t="s">
        <v>38</v>
      </c>
      <c r="E17" s="5">
        <v>60611.0</v>
      </c>
    </row>
    <row r="19" ht="22.5" customHeight="1">
      <c r="B19" s="6" t="s">
        <v>40</v>
      </c>
      <c r="C19" s="6" t="s">
        <v>41</v>
      </c>
      <c r="D19" s="6" t="s">
        <v>42</v>
      </c>
      <c r="E19" s="6" t="s">
        <v>43</v>
      </c>
      <c r="F19" s="6" t="s">
        <v>44</v>
      </c>
    </row>
    <row r="20" ht="22.5" customHeight="1">
      <c r="B20" s="5">
        <v>1.0</v>
      </c>
      <c r="C20" s="5" t="s">
        <v>45</v>
      </c>
      <c r="D20" s="5" t="s">
        <v>46</v>
      </c>
      <c r="E20" s="5" t="s">
        <v>47</v>
      </c>
      <c r="F20" s="5">
        <v>60137.0</v>
      </c>
    </row>
    <row r="21" ht="22.5" customHeight="1">
      <c r="B21" s="5">
        <v>2.0</v>
      </c>
      <c r="C21" s="5" t="s">
        <v>48</v>
      </c>
      <c r="D21" s="5" t="s">
        <v>49</v>
      </c>
      <c r="E21" s="5" t="s">
        <v>47</v>
      </c>
      <c r="F21" s="5">
        <v>60140.0</v>
      </c>
    </row>
    <row r="22" ht="22.5" customHeight="1">
      <c r="B22" s="5">
        <v>3.0</v>
      </c>
      <c r="C22" s="5" t="s">
        <v>50</v>
      </c>
      <c r="D22" s="5" t="s">
        <v>51</v>
      </c>
      <c r="E22" s="5" t="s">
        <v>52</v>
      </c>
      <c r="F22" s="5">
        <v>60605.0</v>
      </c>
    </row>
    <row r="24" ht="22.5" customHeight="1">
      <c r="B24" s="6" t="s">
        <v>53</v>
      </c>
      <c r="C24" s="6" t="s">
        <v>0</v>
      </c>
      <c r="D24" s="7" t="s">
        <v>54</v>
      </c>
      <c r="E24" s="6" t="s">
        <v>40</v>
      </c>
      <c r="F24" s="6" t="s">
        <v>31</v>
      </c>
      <c r="G24" s="6" t="s">
        <v>16</v>
      </c>
      <c r="H24" s="6" t="s">
        <v>55</v>
      </c>
      <c r="I24" s="8" t="s">
        <v>56</v>
      </c>
    </row>
    <row r="25" ht="22.5" customHeight="1">
      <c r="B25" s="5" t="s">
        <v>57</v>
      </c>
      <c r="C25" s="5">
        <v>1.0</v>
      </c>
      <c r="D25" s="9">
        <v>4.0</v>
      </c>
      <c r="E25" s="5">
        <v>1.0</v>
      </c>
      <c r="F25" s="5">
        <v>1.0</v>
      </c>
      <c r="G25" s="5">
        <v>1.0</v>
      </c>
      <c r="H25" s="5">
        <v>2.0200101E7</v>
      </c>
      <c r="I25" s="10">
        <v>90000.0</v>
      </c>
    </row>
    <row r="26" ht="22.5" customHeight="1">
      <c r="B26" s="5" t="s">
        <v>57</v>
      </c>
      <c r="C26" s="10">
        <v>2.0</v>
      </c>
      <c r="D26" s="9">
        <v>8.0</v>
      </c>
      <c r="E26" s="5">
        <v>1.0</v>
      </c>
      <c r="F26" s="10">
        <v>1.0</v>
      </c>
      <c r="G26" s="10">
        <v>1.0</v>
      </c>
      <c r="H26" s="5">
        <v>2.0200101E7</v>
      </c>
      <c r="I26" s="10">
        <v>90000.0</v>
      </c>
    </row>
    <row r="27" ht="22.5" customHeight="1">
      <c r="B27" s="5" t="s">
        <v>58</v>
      </c>
      <c r="C27" s="10">
        <v>1.0</v>
      </c>
      <c r="D27" s="9">
        <v>12.0</v>
      </c>
      <c r="E27" s="5">
        <v>2.0</v>
      </c>
      <c r="F27" s="10">
        <v>1.0</v>
      </c>
      <c r="G27" s="10">
        <v>2.0</v>
      </c>
      <c r="H27" s="5">
        <v>2.0200102E7</v>
      </c>
      <c r="I27" s="5">
        <v>90000.0</v>
      </c>
    </row>
    <row r="28" ht="22.5" customHeight="1">
      <c r="B28" s="5" t="s">
        <v>59</v>
      </c>
      <c r="C28" s="10">
        <v>2.0</v>
      </c>
      <c r="D28" s="9">
        <v>4.0</v>
      </c>
      <c r="E28" s="5">
        <v>3.0</v>
      </c>
      <c r="F28" s="10">
        <v>2.0</v>
      </c>
      <c r="G28" s="10">
        <v>3.0</v>
      </c>
      <c r="H28" s="10">
        <v>2.0200101E7</v>
      </c>
      <c r="I28" s="5">
        <v>93000.0</v>
      </c>
    </row>
    <row r="29" ht="22.5" customHeight="1">
      <c r="B29" s="5" t="s">
        <v>60</v>
      </c>
      <c r="C29" s="10">
        <v>1.0</v>
      </c>
      <c r="D29" s="9">
        <v>7.0</v>
      </c>
      <c r="E29" s="5">
        <v>1.0</v>
      </c>
      <c r="F29" s="10">
        <v>3.0</v>
      </c>
      <c r="G29" s="10">
        <v>1.0</v>
      </c>
      <c r="H29" s="5">
        <v>2.0200103E7</v>
      </c>
      <c r="I29" s="5">
        <v>90000.0</v>
      </c>
    </row>
    <row r="30" ht="22.5" customHeight="1">
      <c r="B30" s="5" t="s">
        <v>61</v>
      </c>
      <c r="C30" s="10">
        <v>1.0</v>
      </c>
      <c r="D30" s="9">
        <v>5.0</v>
      </c>
      <c r="E30" s="5">
        <v>2.0</v>
      </c>
      <c r="F30" s="10">
        <v>3.0</v>
      </c>
      <c r="G30" s="10">
        <v>2.0</v>
      </c>
      <c r="H30" s="5">
        <v>2.0200101E7</v>
      </c>
      <c r="I30" s="5">
        <v>91500.0</v>
      </c>
    </row>
    <row r="31" ht="22.5" customHeight="1">
      <c r="B31" s="5" t="s">
        <v>62</v>
      </c>
      <c r="C31" s="10">
        <v>1.0</v>
      </c>
      <c r="D31" s="9">
        <v>10.0</v>
      </c>
      <c r="E31" s="5">
        <v>3.0</v>
      </c>
      <c r="F31" s="10">
        <v>3.0</v>
      </c>
      <c r="G31" s="10">
        <v>2.0</v>
      </c>
      <c r="H31" s="5">
        <v>2.0200103E7</v>
      </c>
      <c r="I31" s="5">
        <v>93000.0</v>
      </c>
    </row>
    <row r="32" ht="22.5" customHeight="1">
      <c r="B32" s="5" t="s">
        <v>63</v>
      </c>
      <c r="C32" s="10">
        <v>1.0</v>
      </c>
      <c r="D32" s="9">
        <v>6.0</v>
      </c>
      <c r="E32" s="5">
        <v>1.0</v>
      </c>
      <c r="F32" s="10">
        <v>2.0</v>
      </c>
      <c r="G32" s="10">
        <v>3.0</v>
      </c>
      <c r="H32" s="10">
        <v>2.0200103E7</v>
      </c>
      <c r="I32" s="5">
        <v>94500.0</v>
      </c>
    </row>
    <row r="33" ht="22.5" customHeight="1">
      <c r="B33" s="5" t="s">
        <v>63</v>
      </c>
      <c r="C33" s="10">
        <v>2.0</v>
      </c>
      <c r="D33" s="9">
        <v>6.0</v>
      </c>
      <c r="E33" s="5">
        <v>1.0</v>
      </c>
      <c r="F33" s="10">
        <v>2.0</v>
      </c>
      <c r="G33" s="10">
        <v>3.0</v>
      </c>
      <c r="H33" s="10">
        <v>2.0200103E7</v>
      </c>
      <c r="I33" s="5">
        <v>94500.0</v>
      </c>
    </row>
    <row r="34" ht="22.5" customHeight="1">
      <c r="B34" s="5" t="s">
        <v>64</v>
      </c>
      <c r="C34" s="10">
        <v>1.0</v>
      </c>
      <c r="D34" s="9">
        <v>6.0</v>
      </c>
      <c r="E34" s="5">
        <v>1.0</v>
      </c>
      <c r="F34" s="5">
        <v>2.0</v>
      </c>
      <c r="G34" s="5">
        <v>3.0</v>
      </c>
      <c r="H34" s="5">
        <v>2.0200103E7</v>
      </c>
      <c r="I34" s="5">
        <v>94500.0</v>
      </c>
    </row>
    <row r="35" ht="22.5" customHeight="1">
      <c r="B35" s="5" t="s">
        <v>64</v>
      </c>
      <c r="C35" s="10">
        <v>3.0</v>
      </c>
      <c r="D35" s="9">
        <v>6.0</v>
      </c>
      <c r="E35" s="5">
        <v>1.0</v>
      </c>
      <c r="F35" s="5">
        <v>2.0</v>
      </c>
      <c r="G35" s="5">
        <v>3.0</v>
      </c>
      <c r="H35" s="5">
        <v>2.0200103E7</v>
      </c>
      <c r="I35" s="5">
        <v>94500.0</v>
      </c>
    </row>
    <row r="39" ht="22.5" customHeight="1">
      <c r="B39" s="6" t="s">
        <v>55</v>
      </c>
      <c r="C39" s="3" t="s">
        <v>65</v>
      </c>
      <c r="D39" s="3" t="s">
        <v>66</v>
      </c>
      <c r="E39" s="3" t="s">
        <v>67</v>
      </c>
      <c r="F39" s="3" t="s">
        <v>68</v>
      </c>
      <c r="G39" s="3" t="s">
        <v>69</v>
      </c>
      <c r="H39" s="3" t="s">
        <v>70</v>
      </c>
    </row>
    <row r="40" ht="22.5" customHeight="1">
      <c r="B40" s="11">
        <f t="shared" ref="B40:B70" si="1">VALUE(TEXT(C40, "yyyymmdd"))</f>
        <v>20200101</v>
      </c>
      <c r="C40" s="12">
        <v>43831.0</v>
      </c>
      <c r="D40" s="5" t="s">
        <v>71</v>
      </c>
      <c r="E40" s="11">
        <f>DAY(CALENDARIO[dt_completa_cal])</f>
        <v>1</v>
      </c>
      <c r="F40" s="11">
        <f>MONTH(CALENDARIO[dt_completa_cal])</f>
        <v>1</v>
      </c>
      <c r="G40" s="11">
        <f>ROUNDUP(MONTH(CALENDARIO[dt_completa_cal])/3,0)</f>
        <v>1</v>
      </c>
      <c r="H40" s="11">
        <f>YEAR(CALENDARIO[dt_completa_cal])</f>
        <v>2020</v>
      </c>
    </row>
    <row r="41" ht="22.5" customHeight="1">
      <c r="B41" s="11">
        <f t="shared" si="1"/>
        <v>20200102</v>
      </c>
      <c r="C41" s="12">
        <v>43832.0</v>
      </c>
      <c r="D41" s="5" t="s">
        <v>72</v>
      </c>
      <c r="E41" s="11">
        <f>DAY(CALENDARIO[dt_completa_cal])</f>
        <v>2</v>
      </c>
      <c r="F41" s="11">
        <f>MONTH(CALENDARIO[dt_completa_cal])</f>
        <v>1</v>
      </c>
      <c r="G41" s="11">
        <f>ROUNDUP(MONTH(CALENDARIO[dt_completa_cal])/3,0)</f>
        <v>1</v>
      </c>
      <c r="H41" s="11">
        <f>YEAR(CALENDARIO[dt_completa_cal])</f>
        <v>2020</v>
      </c>
    </row>
    <row r="42" ht="22.5" customHeight="1">
      <c r="B42" s="11">
        <f t="shared" si="1"/>
        <v>20200103</v>
      </c>
      <c r="C42" s="12">
        <v>43833.0</v>
      </c>
      <c r="D42" s="5" t="s">
        <v>73</v>
      </c>
      <c r="E42" s="11">
        <f>DAY(CALENDARIO[dt_completa_cal])</f>
        <v>3</v>
      </c>
      <c r="F42" s="11">
        <f>MONTH(CALENDARIO[dt_completa_cal])</f>
        <v>1</v>
      </c>
      <c r="G42" s="11">
        <f>ROUNDUP(MONTH(CALENDARIO[dt_completa_cal])/3,0)</f>
        <v>1</v>
      </c>
      <c r="H42" s="11">
        <f>YEAR(CALENDARIO[dt_completa_cal])</f>
        <v>2020</v>
      </c>
    </row>
    <row r="43" ht="22.5" customHeight="1">
      <c r="B43" s="11">
        <f t="shared" si="1"/>
        <v>20200104</v>
      </c>
      <c r="C43" s="12">
        <v>43834.0</v>
      </c>
      <c r="D43" s="5" t="s">
        <v>74</v>
      </c>
      <c r="E43" s="11">
        <f>DAY(CALENDARIO[dt_completa_cal])</f>
        <v>4</v>
      </c>
      <c r="F43" s="11">
        <f>MONTH(CALENDARIO[dt_completa_cal])</f>
        <v>1</v>
      </c>
      <c r="G43" s="11">
        <f>ROUNDUP(MONTH(CALENDARIO[dt_completa_cal])/3,0)</f>
        <v>1</v>
      </c>
      <c r="H43" s="11">
        <f>YEAR(CALENDARIO[dt_completa_cal])</f>
        <v>2020</v>
      </c>
    </row>
    <row r="44" ht="22.5" customHeight="1">
      <c r="B44" s="11">
        <f t="shared" si="1"/>
        <v>20200105</v>
      </c>
      <c r="C44" s="12">
        <v>43835.0</v>
      </c>
      <c r="D44" s="5" t="s">
        <v>75</v>
      </c>
      <c r="E44" s="11">
        <f>DAY(CALENDARIO[dt_completa_cal])</f>
        <v>5</v>
      </c>
      <c r="F44" s="11">
        <f>MONTH(CALENDARIO[dt_completa_cal])</f>
        <v>1</v>
      </c>
      <c r="G44" s="11">
        <f>ROUNDUP(MONTH(CALENDARIO[dt_completa_cal])/3,0)</f>
        <v>1</v>
      </c>
      <c r="H44" s="11">
        <f>YEAR(CALENDARIO[dt_completa_cal])</f>
        <v>2020</v>
      </c>
    </row>
    <row r="45" ht="22.5" customHeight="1">
      <c r="B45" s="11">
        <f t="shared" si="1"/>
        <v>20200106</v>
      </c>
      <c r="C45" s="12">
        <v>43836.0</v>
      </c>
      <c r="D45" s="5" t="s">
        <v>76</v>
      </c>
      <c r="E45" s="11">
        <f>DAY(CALENDARIO[dt_completa_cal])</f>
        <v>6</v>
      </c>
      <c r="F45" s="11">
        <f>MONTH(CALENDARIO[dt_completa_cal])</f>
        <v>1</v>
      </c>
      <c r="G45" s="11">
        <f>ROUNDUP(MONTH(CALENDARIO[dt_completa_cal])/3,0)</f>
        <v>1</v>
      </c>
      <c r="H45" s="11">
        <f>YEAR(CALENDARIO[dt_completa_cal])</f>
        <v>2020</v>
      </c>
    </row>
    <row r="46" ht="22.5" customHeight="1">
      <c r="B46" s="11">
        <f t="shared" si="1"/>
        <v>20200107</v>
      </c>
      <c r="C46" s="12">
        <v>43837.0</v>
      </c>
      <c r="D46" s="5" t="s">
        <v>77</v>
      </c>
      <c r="E46" s="11">
        <f>DAY(CALENDARIO[dt_completa_cal])</f>
        <v>7</v>
      </c>
      <c r="F46" s="11">
        <f>MONTH(CALENDARIO[dt_completa_cal])</f>
        <v>1</v>
      </c>
      <c r="G46" s="11">
        <f>ROUNDUP(MONTH(CALENDARIO[dt_completa_cal])/3,0)</f>
        <v>1</v>
      </c>
      <c r="H46" s="11">
        <f>YEAR(CALENDARIO[dt_completa_cal])</f>
        <v>2020</v>
      </c>
    </row>
    <row r="47" ht="22.5" customHeight="1">
      <c r="B47" s="11">
        <f t="shared" si="1"/>
        <v>20200108</v>
      </c>
      <c r="C47" s="12">
        <v>43838.0</v>
      </c>
      <c r="D47" s="5" t="s">
        <v>71</v>
      </c>
      <c r="E47" s="11">
        <f>DAY(CALENDARIO[dt_completa_cal])</f>
        <v>8</v>
      </c>
      <c r="F47" s="11">
        <f>MONTH(CALENDARIO[dt_completa_cal])</f>
        <v>1</v>
      </c>
      <c r="G47" s="11">
        <f>ROUNDUP(MONTH(CALENDARIO[dt_completa_cal])/3,0)</f>
        <v>1</v>
      </c>
      <c r="H47" s="11">
        <f>YEAR(CALENDARIO[dt_completa_cal])</f>
        <v>2020</v>
      </c>
    </row>
    <row r="48" ht="22.5" customHeight="1">
      <c r="B48" s="11">
        <f t="shared" si="1"/>
        <v>20200109</v>
      </c>
      <c r="C48" s="12">
        <v>43839.0</v>
      </c>
      <c r="D48" s="5" t="s">
        <v>72</v>
      </c>
      <c r="E48" s="11">
        <f>DAY(CALENDARIO[dt_completa_cal])</f>
        <v>9</v>
      </c>
      <c r="F48" s="11">
        <f>MONTH(CALENDARIO[dt_completa_cal])</f>
        <v>1</v>
      </c>
      <c r="G48" s="11">
        <f>ROUNDUP(MONTH(CALENDARIO[dt_completa_cal])/3,0)</f>
        <v>1</v>
      </c>
      <c r="H48" s="11">
        <f>YEAR(CALENDARIO[dt_completa_cal])</f>
        <v>2020</v>
      </c>
    </row>
    <row r="49" ht="22.5" customHeight="1">
      <c r="B49" s="11">
        <f t="shared" si="1"/>
        <v>20200110</v>
      </c>
      <c r="C49" s="12">
        <v>43840.0</v>
      </c>
      <c r="D49" s="5" t="s">
        <v>73</v>
      </c>
      <c r="E49" s="11">
        <f>DAY(CALENDARIO[dt_completa_cal])</f>
        <v>10</v>
      </c>
      <c r="F49" s="11">
        <f>MONTH(CALENDARIO[dt_completa_cal])</f>
        <v>1</v>
      </c>
      <c r="G49" s="11">
        <f>ROUNDUP(MONTH(CALENDARIO[dt_completa_cal])/3,0)</f>
        <v>1</v>
      </c>
      <c r="H49" s="11">
        <f>YEAR(CALENDARIO[dt_completa_cal])</f>
        <v>2020</v>
      </c>
    </row>
    <row r="50" ht="22.5" customHeight="1">
      <c r="B50" s="11">
        <f t="shared" si="1"/>
        <v>20200111</v>
      </c>
      <c r="C50" s="12">
        <v>43841.0</v>
      </c>
      <c r="D50" s="5" t="s">
        <v>74</v>
      </c>
      <c r="E50" s="11">
        <f>DAY(CALENDARIO[dt_completa_cal])</f>
        <v>11</v>
      </c>
      <c r="F50" s="11">
        <f>MONTH(CALENDARIO[dt_completa_cal])</f>
        <v>1</v>
      </c>
      <c r="G50" s="11">
        <f>ROUNDUP(MONTH(CALENDARIO[dt_completa_cal])/3,0)</f>
        <v>1</v>
      </c>
      <c r="H50" s="11">
        <f>YEAR(CALENDARIO[dt_completa_cal])</f>
        <v>2020</v>
      </c>
    </row>
    <row r="51" ht="22.5" customHeight="1">
      <c r="B51" s="11">
        <f t="shared" si="1"/>
        <v>20200112</v>
      </c>
      <c r="C51" s="12">
        <v>43842.0</v>
      </c>
      <c r="D51" s="5" t="s">
        <v>75</v>
      </c>
      <c r="E51" s="11">
        <f>DAY(CALENDARIO[dt_completa_cal])</f>
        <v>12</v>
      </c>
      <c r="F51" s="11">
        <f>MONTH(CALENDARIO[dt_completa_cal])</f>
        <v>1</v>
      </c>
      <c r="G51" s="11">
        <f>ROUNDUP(MONTH(CALENDARIO[dt_completa_cal])/3,0)</f>
        <v>1</v>
      </c>
      <c r="H51" s="11">
        <f>YEAR(CALENDARIO[dt_completa_cal])</f>
        <v>2020</v>
      </c>
    </row>
    <row r="52" ht="22.5" customHeight="1">
      <c r="B52" s="11">
        <f t="shared" si="1"/>
        <v>20200113</v>
      </c>
      <c r="C52" s="12">
        <v>43843.0</v>
      </c>
      <c r="D52" s="5" t="s">
        <v>76</v>
      </c>
      <c r="E52" s="11">
        <f>DAY(CALENDARIO[dt_completa_cal])</f>
        <v>13</v>
      </c>
      <c r="F52" s="11">
        <f>MONTH(CALENDARIO[dt_completa_cal])</f>
        <v>1</v>
      </c>
      <c r="G52" s="11">
        <f>ROUNDUP(MONTH(CALENDARIO[dt_completa_cal])/3,0)</f>
        <v>1</v>
      </c>
      <c r="H52" s="11">
        <f>YEAR(CALENDARIO[dt_completa_cal])</f>
        <v>2020</v>
      </c>
    </row>
    <row r="53" ht="22.5" customHeight="1">
      <c r="B53" s="11">
        <f t="shared" si="1"/>
        <v>20200114</v>
      </c>
      <c r="C53" s="12">
        <v>43844.0</v>
      </c>
      <c r="D53" s="5" t="s">
        <v>77</v>
      </c>
      <c r="E53" s="11">
        <f>DAY(CALENDARIO[dt_completa_cal])</f>
        <v>14</v>
      </c>
      <c r="F53" s="11">
        <f>MONTH(CALENDARIO[dt_completa_cal])</f>
        <v>1</v>
      </c>
      <c r="G53" s="11">
        <f>ROUNDUP(MONTH(CALENDARIO[dt_completa_cal])/3,0)</f>
        <v>1</v>
      </c>
      <c r="H53" s="11">
        <f>YEAR(CALENDARIO[dt_completa_cal])</f>
        <v>2020</v>
      </c>
    </row>
    <row r="54" ht="22.5" customHeight="1">
      <c r="B54" s="11">
        <f t="shared" si="1"/>
        <v>20200115</v>
      </c>
      <c r="C54" s="12">
        <v>43845.0</v>
      </c>
      <c r="D54" s="5" t="s">
        <v>71</v>
      </c>
      <c r="E54" s="11">
        <f>DAY(CALENDARIO[dt_completa_cal])</f>
        <v>15</v>
      </c>
      <c r="F54" s="11">
        <f>MONTH(CALENDARIO[dt_completa_cal])</f>
        <v>1</v>
      </c>
      <c r="G54" s="11">
        <f>ROUNDUP(MONTH(CALENDARIO[dt_completa_cal])/3,0)</f>
        <v>1</v>
      </c>
      <c r="H54" s="11">
        <f>YEAR(CALENDARIO[dt_completa_cal])</f>
        <v>2020</v>
      </c>
    </row>
    <row r="55" ht="22.5" customHeight="1">
      <c r="B55" s="11">
        <f t="shared" si="1"/>
        <v>20200116</v>
      </c>
      <c r="C55" s="12">
        <v>43846.0</v>
      </c>
      <c r="D55" s="5" t="s">
        <v>72</v>
      </c>
      <c r="E55" s="11">
        <f>DAY(CALENDARIO[dt_completa_cal])</f>
        <v>16</v>
      </c>
      <c r="F55" s="11">
        <f>MONTH(CALENDARIO[dt_completa_cal])</f>
        <v>1</v>
      </c>
      <c r="G55" s="11">
        <f>ROUNDUP(MONTH(CALENDARIO[dt_completa_cal])/3,0)</f>
        <v>1</v>
      </c>
      <c r="H55" s="11">
        <f>YEAR(CALENDARIO[dt_completa_cal])</f>
        <v>2020</v>
      </c>
    </row>
    <row r="56" ht="22.5" customHeight="1">
      <c r="B56" s="11">
        <f t="shared" si="1"/>
        <v>20200117</v>
      </c>
      <c r="C56" s="12">
        <v>43847.0</v>
      </c>
      <c r="D56" s="5" t="s">
        <v>73</v>
      </c>
      <c r="E56" s="11">
        <f>DAY(CALENDARIO[dt_completa_cal])</f>
        <v>17</v>
      </c>
      <c r="F56" s="11">
        <f>MONTH(CALENDARIO[dt_completa_cal])</f>
        <v>1</v>
      </c>
      <c r="G56" s="11">
        <f>ROUNDUP(MONTH(CALENDARIO[dt_completa_cal])/3,0)</f>
        <v>1</v>
      </c>
      <c r="H56" s="11">
        <f>YEAR(CALENDARIO[dt_completa_cal])</f>
        <v>2020</v>
      </c>
    </row>
    <row r="57" ht="22.5" customHeight="1">
      <c r="B57" s="11">
        <f t="shared" si="1"/>
        <v>20200118</v>
      </c>
      <c r="C57" s="12">
        <v>43848.0</v>
      </c>
      <c r="D57" s="5" t="s">
        <v>74</v>
      </c>
      <c r="E57" s="11">
        <f>DAY(CALENDARIO[dt_completa_cal])</f>
        <v>18</v>
      </c>
      <c r="F57" s="11">
        <f>MONTH(CALENDARIO[dt_completa_cal])</f>
        <v>1</v>
      </c>
      <c r="G57" s="11">
        <f>ROUNDUP(MONTH(CALENDARIO[dt_completa_cal])/3,0)</f>
        <v>1</v>
      </c>
      <c r="H57" s="11">
        <f>YEAR(CALENDARIO[dt_completa_cal])</f>
        <v>2020</v>
      </c>
    </row>
    <row r="58" ht="22.5" customHeight="1">
      <c r="B58" s="11">
        <f t="shared" si="1"/>
        <v>20200119</v>
      </c>
      <c r="C58" s="12">
        <v>43849.0</v>
      </c>
      <c r="D58" s="5" t="s">
        <v>75</v>
      </c>
      <c r="E58" s="11">
        <f>DAY(CALENDARIO[dt_completa_cal])</f>
        <v>19</v>
      </c>
      <c r="F58" s="11">
        <f>MONTH(CALENDARIO[dt_completa_cal])</f>
        <v>1</v>
      </c>
      <c r="G58" s="11">
        <f>ROUNDUP(MONTH(CALENDARIO[dt_completa_cal])/3,0)</f>
        <v>1</v>
      </c>
      <c r="H58" s="11">
        <f>YEAR(CALENDARIO[dt_completa_cal])</f>
        <v>2020</v>
      </c>
    </row>
    <row r="59" ht="22.5" customHeight="1">
      <c r="B59" s="11">
        <f t="shared" si="1"/>
        <v>20200120</v>
      </c>
      <c r="C59" s="12">
        <v>43850.0</v>
      </c>
      <c r="D59" s="5" t="s">
        <v>76</v>
      </c>
      <c r="E59" s="11">
        <f>DAY(CALENDARIO[dt_completa_cal])</f>
        <v>20</v>
      </c>
      <c r="F59" s="11">
        <f>MONTH(CALENDARIO[dt_completa_cal])</f>
        <v>1</v>
      </c>
      <c r="G59" s="11">
        <f>ROUNDUP(MONTH(CALENDARIO[dt_completa_cal])/3,0)</f>
        <v>1</v>
      </c>
      <c r="H59" s="11">
        <f>YEAR(CALENDARIO[dt_completa_cal])</f>
        <v>2020</v>
      </c>
    </row>
    <row r="60" ht="22.5" customHeight="1">
      <c r="B60" s="11">
        <f t="shared" si="1"/>
        <v>20200121</v>
      </c>
      <c r="C60" s="12">
        <v>43851.0</v>
      </c>
      <c r="D60" s="5" t="s">
        <v>77</v>
      </c>
      <c r="E60" s="11">
        <f>DAY(CALENDARIO[dt_completa_cal])</f>
        <v>21</v>
      </c>
      <c r="F60" s="11">
        <f>MONTH(CALENDARIO[dt_completa_cal])</f>
        <v>1</v>
      </c>
      <c r="G60" s="11">
        <f>ROUNDUP(MONTH(CALENDARIO[dt_completa_cal])/3,0)</f>
        <v>1</v>
      </c>
      <c r="H60" s="11">
        <f>YEAR(CALENDARIO[dt_completa_cal])</f>
        <v>2020</v>
      </c>
    </row>
    <row r="61" ht="22.5" customHeight="1">
      <c r="B61" s="11">
        <f t="shared" si="1"/>
        <v>20200122</v>
      </c>
      <c r="C61" s="12">
        <v>43852.0</v>
      </c>
      <c r="D61" s="5" t="s">
        <v>71</v>
      </c>
      <c r="E61" s="11">
        <f>DAY(CALENDARIO[dt_completa_cal])</f>
        <v>22</v>
      </c>
      <c r="F61" s="11">
        <f>MONTH(CALENDARIO[dt_completa_cal])</f>
        <v>1</v>
      </c>
      <c r="G61" s="11">
        <f>ROUNDUP(MONTH(CALENDARIO[dt_completa_cal])/3,0)</f>
        <v>1</v>
      </c>
      <c r="H61" s="11">
        <f>YEAR(CALENDARIO[dt_completa_cal])</f>
        <v>2020</v>
      </c>
    </row>
    <row r="62" ht="22.5" customHeight="1">
      <c r="B62" s="11">
        <f t="shared" si="1"/>
        <v>20200123</v>
      </c>
      <c r="C62" s="12">
        <v>43853.0</v>
      </c>
      <c r="D62" s="5" t="s">
        <v>72</v>
      </c>
      <c r="E62" s="11">
        <f>DAY(CALENDARIO[dt_completa_cal])</f>
        <v>23</v>
      </c>
      <c r="F62" s="11">
        <f>MONTH(CALENDARIO[dt_completa_cal])</f>
        <v>1</v>
      </c>
      <c r="G62" s="11">
        <f>ROUNDUP(MONTH(CALENDARIO[dt_completa_cal])/3,0)</f>
        <v>1</v>
      </c>
      <c r="H62" s="11">
        <f>YEAR(CALENDARIO[dt_completa_cal])</f>
        <v>2020</v>
      </c>
    </row>
    <row r="63" ht="22.5" customHeight="1">
      <c r="B63" s="11">
        <f t="shared" si="1"/>
        <v>20200124</v>
      </c>
      <c r="C63" s="12">
        <v>43854.0</v>
      </c>
      <c r="D63" s="5" t="s">
        <v>73</v>
      </c>
      <c r="E63" s="11">
        <f>DAY(CALENDARIO[dt_completa_cal])</f>
        <v>24</v>
      </c>
      <c r="F63" s="11">
        <f>MONTH(CALENDARIO[dt_completa_cal])</f>
        <v>1</v>
      </c>
      <c r="G63" s="11">
        <f>ROUNDUP(MONTH(CALENDARIO[dt_completa_cal])/3,0)</f>
        <v>1</v>
      </c>
      <c r="H63" s="11">
        <f>YEAR(CALENDARIO[dt_completa_cal])</f>
        <v>2020</v>
      </c>
    </row>
    <row r="64" ht="22.5" customHeight="1">
      <c r="B64" s="11">
        <f t="shared" si="1"/>
        <v>20200125</v>
      </c>
      <c r="C64" s="12">
        <v>43855.0</v>
      </c>
      <c r="D64" s="5" t="s">
        <v>74</v>
      </c>
      <c r="E64" s="11">
        <f>DAY(CALENDARIO[dt_completa_cal])</f>
        <v>25</v>
      </c>
      <c r="F64" s="11">
        <f>MONTH(CALENDARIO[dt_completa_cal])</f>
        <v>1</v>
      </c>
      <c r="G64" s="11">
        <f>ROUNDUP(MONTH(CALENDARIO[dt_completa_cal])/3,0)</f>
        <v>1</v>
      </c>
      <c r="H64" s="11">
        <f>YEAR(CALENDARIO[dt_completa_cal])</f>
        <v>2020</v>
      </c>
    </row>
    <row r="65" ht="22.5" customHeight="1">
      <c r="B65" s="11">
        <f t="shared" si="1"/>
        <v>20200126</v>
      </c>
      <c r="C65" s="12">
        <v>43856.0</v>
      </c>
      <c r="D65" s="5" t="s">
        <v>75</v>
      </c>
      <c r="E65" s="11">
        <f>DAY(CALENDARIO[dt_completa_cal])</f>
        <v>26</v>
      </c>
      <c r="F65" s="11">
        <f>MONTH(CALENDARIO[dt_completa_cal])</f>
        <v>1</v>
      </c>
      <c r="G65" s="11">
        <f>ROUNDUP(MONTH(CALENDARIO[dt_completa_cal])/3,0)</f>
        <v>1</v>
      </c>
      <c r="H65" s="11">
        <f>YEAR(CALENDARIO[dt_completa_cal])</f>
        <v>2020</v>
      </c>
    </row>
    <row r="66" ht="22.5" customHeight="1">
      <c r="B66" s="11">
        <f t="shared" si="1"/>
        <v>20200127</v>
      </c>
      <c r="C66" s="12">
        <v>43857.0</v>
      </c>
      <c r="D66" s="5" t="s">
        <v>76</v>
      </c>
      <c r="E66" s="11">
        <f>DAY(CALENDARIO[dt_completa_cal])</f>
        <v>27</v>
      </c>
      <c r="F66" s="11">
        <f>MONTH(CALENDARIO[dt_completa_cal])</f>
        <v>1</v>
      </c>
      <c r="G66" s="11">
        <f>ROUNDUP(MONTH(CALENDARIO[dt_completa_cal])/3,0)</f>
        <v>1</v>
      </c>
      <c r="H66" s="11">
        <f>YEAR(CALENDARIO[dt_completa_cal])</f>
        <v>2020</v>
      </c>
    </row>
    <row r="67" ht="22.5" customHeight="1">
      <c r="B67" s="11">
        <f t="shared" si="1"/>
        <v>20200128</v>
      </c>
      <c r="C67" s="12">
        <v>43858.0</v>
      </c>
      <c r="D67" s="5" t="s">
        <v>77</v>
      </c>
      <c r="E67" s="11">
        <f>DAY(CALENDARIO[dt_completa_cal])</f>
        <v>28</v>
      </c>
      <c r="F67" s="11">
        <f>MONTH(CALENDARIO[dt_completa_cal])</f>
        <v>1</v>
      </c>
      <c r="G67" s="11">
        <f>ROUNDUP(MONTH(CALENDARIO[dt_completa_cal])/3,0)</f>
        <v>1</v>
      </c>
      <c r="H67" s="11">
        <f>YEAR(CALENDARIO[dt_completa_cal])</f>
        <v>2020</v>
      </c>
    </row>
    <row r="68" ht="22.5" customHeight="1">
      <c r="B68" s="11">
        <f t="shared" si="1"/>
        <v>20200129</v>
      </c>
      <c r="C68" s="12">
        <v>43859.0</v>
      </c>
      <c r="D68" s="5" t="s">
        <v>71</v>
      </c>
      <c r="E68" s="11">
        <f>DAY(CALENDARIO[dt_completa_cal])</f>
        <v>29</v>
      </c>
      <c r="F68" s="11">
        <f>MONTH(CALENDARIO[dt_completa_cal])</f>
        <v>1</v>
      </c>
      <c r="G68" s="11">
        <f>ROUNDUP(MONTH(CALENDARIO[dt_completa_cal])/3,0)</f>
        <v>1</v>
      </c>
      <c r="H68" s="11">
        <f>YEAR(CALENDARIO[dt_completa_cal])</f>
        <v>2020</v>
      </c>
    </row>
    <row r="69" ht="22.5" customHeight="1">
      <c r="B69" s="11">
        <f t="shared" si="1"/>
        <v>20200130</v>
      </c>
      <c r="C69" s="12">
        <v>43860.0</v>
      </c>
      <c r="D69" s="5" t="s">
        <v>72</v>
      </c>
      <c r="E69" s="11">
        <f>DAY(CALENDARIO[dt_completa_cal])</f>
        <v>30</v>
      </c>
      <c r="F69" s="11">
        <f>MONTH(CALENDARIO[dt_completa_cal])</f>
        <v>1</v>
      </c>
      <c r="G69" s="11">
        <f>ROUNDUP(MONTH(CALENDARIO[dt_completa_cal])/3,0)</f>
        <v>1</v>
      </c>
      <c r="H69" s="11">
        <f>YEAR(CALENDARIO[dt_completa_cal])</f>
        <v>2020</v>
      </c>
    </row>
    <row r="70" ht="22.5" customHeight="1">
      <c r="B70" s="11">
        <f t="shared" si="1"/>
        <v>20200131</v>
      </c>
      <c r="C70" s="12">
        <v>43861.0</v>
      </c>
      <c r="D70" s="5" t="s">
        <v>73</v>
      </c>
      <c r="E70" s="11">
        <f>DAY(CALENDARIO[dt_completa_cal])</f>
        <v>31</v>
      </c>
      <c r="F70" s="11">
        <f>MONTH(CALENDARIO[dt_completa_cal])</f>
        <v>1</v>
      </c>
      <c r="G70" s="11">
        <f>ROUNDUP(MONTH(CALENDARIO[dt_completa_cal])/3,0)</f>
        <v>1</v>
      </c>
      <c r="H70" s="11">
        <f>YEAR(CALENDARIO[dt_completa_cal])</f>
        <v>2020</v>
      </c>
    </row>
    <row r="71" ht="22.5" customHeight="1">
      <c r="B71" s="13" t="s">
        <v>78</v>
      </c>
      <c r="C71" s="14" t="s">
        <v>79</v>
      </c>
    </row>
    <row r="72" ht="22.5" customHeight="1">
      <c r="B72" s="11">
        <f t="shared" ref="B72:B156" si="2">HOUR(C72)*10000 + MINUTE(C72)*100 + SECOND(C72)</f>
        <v>24500</v>
      </c>
      <c r="C72" s="15">
        <v>0.11458333333333333</v>
      </c>
    </row>
    <row r="73" ht="22.5" customHeight="1">
      <c r="B73" s="11">
        <f t="shared" si="2"/>
        <v>30000</v>
      </c>
      <c r="C73" s="15">
        <v>0.125</v>
      </c>
    </row>
    <row r="74" ht="22.5" customHeight="1">
      <c r="B74" s="11">
        <f t="shared" si="2"/>
        <v>31500</v>
      </c>
      <c r="C74" s="15">
        <v>0.13541666666666666</v>
      </c>
    </row>
    <row r="75" ht="22.5" customHeight="1">
      <c r="B75" s="11">
        <f t="shared" si="2"/>
        <v>33000</v>
      </c>
      <c r="C75" s="15">
        <v>0.14583333333333334</v>
      </c>
    </row>
    <row r="76" ht="22.5" customHeight="1">
      <c r="B76" s="11">
        <f t="shared" si="2"/>
        <v>34500</v>
      </c>
      <c r="C76" s="15">
        <v>0.15625</v>
      </c>
    </row>
    <row r="77" ht="22.5" customHeight="1">
      <c r="B77" s="11">
        <f t="shared" si="2"/>
        <v>40000</v>
      </c>
      <c r="C77" s="15">
        <v>0.16666666666666666</v>
      </c>
    </row>
    <row r="78" ht="22.5" customHeight="1">
      <c r="B78" s="11">
        <f t="shared" si="2"/>
        <v>41500</v>
      </c>
      <c r="C78" s="15">
        <v>0.17708333333333334</v>
      </c>
    </row>
    <row r="79" ht="22.5" customHeight="1">
      <c r="B79" s="11">
        <f t="shared" si="2"/>
        <v>43000</v>
      </c>
      <c r="C79" s="15">
        <v>0.1875</v>
      </c>
    </row>
    <row r="80" ht="22.5" customHeight="1">
      <c r="B80" s="11">
        <f t="shared" si="2"/>
        <v>44500</v>
      </c>
      <c r="C80" s="15">
        <v>0.19791666666666666</v>
      </c>
    </row>
    <row r="81" ht="22.5" customHeight="1">
      <c r="B81" s="11">
        <f t="shared" si="2"/>
        <v>50000</v>
      </c>
      <c r="C81" s="15">
        <v>0.20833333333333334</v>
      </c>
    </row>
    <row r="82" ht="22.5" customHeight="1">
      <c r="B82" s="11">
        <f t="shared" si="2"/>
        <v>51500</v>
      </c>
      <c r="C82" s="15">
        <v>0.21875</v>
      </c>
    </row>
    <row r="83" ht="22.5" customHeight="1">
      <c r="B83" s="11">
        <f t="shared" si="2"/>
        <v>53000</v>
      </c>
      <c r="C83" s="15">
        <v>0.22916666666666666</v>
      </c>
    </row>
    <row r="84" ht="22.5" customHeight="1">
      <c r="B84" s="11">
        <f t="shared" si="2"/>
        <v>54500</v>
      </c>
      <c r="C84" s="15">
        <v>0.23958333333333334</v>
      </c>
    </row>
    <row r="85" ht="22.5" customHeight="1">
      <c r="B85" s="11">
        <f t="shared" si="2"/>
        <v>60000</v>
      </c>
      <c r="C85" s="15">
        <v>0.25</v>
      </c>
    </row>
    <row r="86" ht="22.5" customHeight="1">
      <c r="B86" s="11">
        <f t="shared" si="2"/>
        <v>61500</v>
      </c>
      <c r="C86" s="15">
        <v>0.2604166666666667</v>
      </c>
    </row>
    <row r="87" ht="22.5" customHeight="1">
      <c r="B87" s="11">
        <f t="shared" si="2"/>
        <v>63000</v>
      </c>
      <c r="C87" s="15">
        <v>0.2708333333333333</v>
      </c>
    </row>
    <row r="88" ht="22.5" customHeight="1">
      <c r="B88" s="11">
        <f t="shared" si="2"/>
        <v>64500</v>
      </c>
      <c r="C88" s="15">
        <v>0.28125</v>
      </c>
    </row>
    <row r="89" ht="22.5" customHeight="1">
      <c r="B89" s="11">
        <f t="shared" si="2"/>
        <v>70000</v>
      </c>
      <c r="C89" s="15">
        <v>0.2916666666666667</v>
      </c>
    </row>
    <row r="90" ht="22.5" customHeight="1">
      <c r="B90" s="11">
        <f t="shared" si="2"/>
        <v>71500</v>
      </c>
      <c r="C90" s="15">
        <v>0.3020833333333333</v>
      </c>
    </row>
    <row r="91" ht="22.5" customHeight="1">
      <c r="B91" s="11">
        <f t="shared" si="2"/>
        <v>73000</v>
      </c>
      <c r="C91" s="15">
        <v>0.3125</v>
      </c>
    </row>
    <row r="92" ht="22.5" customHeight="1">
      <c r="B92" s="11">
        <f t="shared" si="2"/>
        <v>74500</v>
      </c>
      <c r="C92" s="15">
        <v>0.3229166666666667</v>
      </c>
    </row>
    <row r="93" ht="22.5" customHeight="1">
      <c r="B93" s="11">
        <f t="shared" si="2"/>
        <v>80000</v>
      </c>
      <c r="C93" s="15">
        <v>0.3333333333333333</v>
      </c>
    </row>
    <row r="94" ht="22.5" customHeight="1">
      <c r="B94" s="11">
        <f t="shared" si="2"/>
        <v>81500</v>
      </c>
      <c r="C94" s="15">
        <v>0.34375</v>
      </c>
    </row>
    <row r="95" ht="22.5" customHeight="1">
      <c r="B95" s="11">
        <f t="shared" si="2"/>
        <v>83000</v>
      </c>
      <c r="C95" s="15">
        <v>0.3541666666666667</v>
      </c>
    </row>
    <row r="96" ht="22.5" customHeight="1">
      <c r="B96" s="11">
        <f t="shared" si="2"/>
        <v>84500</v>
      </c>
      <c r="C96" s="15">
        <v>0.3645833333333333</v>
      </c>
    </row>
    <row r="97" ht="22.5" customHeight="1">
      <c r="B97" s="11">
        <f t="shared" si="2"/>
        <v>90000</v>
      </c>
      <c r="C97" s="15">
        <v>0.375</v>
      </c>
    </row>
    <row r="98" ht="22.5" customHeight="1">
      <c r="B98" s="11">
        <f t="shared" si="2"/>
        <v>91500</v>
      </c>
      <c r="C98" s="15">
        <v>0.3854166666666667</v>
      </c>
    </row>
    <row r="99" ht="22.5" customHeight="1">
      <c r="B99" s="11">
        <f t="shared" si="2"/>
        <v>93000</v>
      </c>
      <c r="C99" s="15">
        <v>0.3958333333333333</v>
      </c>
    </row>
    <row r="100" ht="22.5" customHeight="1">
      <c r="B100" s="11">
        <f t="shared" si="2"/>
        <v>94500</v>
      </c>
      <c r="C100" s="15">
        <v>0.40625</v>
      </c>
    </row>
    <row r="101" ht="22.5" customHeight="1">
      <c r="B101" s="11">
        <f t="shared" si="2"/>
        <v>100000</v>
      </c>
      <c r="C101" s="15">
        <v>0.4166666666666667</v>
      </c>
    </row>
    <row r="102" ht="22.5" customHeight="1">
      <c r="B102" s="11">
        <f t="shared" si="2"/>
        <v>101500</v>
      </c>
      <c r="C102" s="15">
        <v>0.4270833333333333</v>
      </c>
    </row>
    <row r="103" ht="22.5" customHeight="1">
      <c r="B103" s="11">
        <f t="shared" si="2"/>
        <v>103000</v>
      </c>
      <c r="C103" s="15">
        <v>0.4375</v>
      </c>
    </row>
    <row r="104" ht="22.5" customHeight="1">
      <c r="B104" s="11">
        <f t="shared" si="2"/>
        <v>104500</v>
      </c>
      <c r="C104" s="15">
        <v>0.4479166666666667</v>
      </c>
    </row>
    <row r="105" ht="22.5" customHeight="1">
      <c r="B105" s="11">
        <f t="shared" si="2"/>
        <v>110000</v>
      </c>
      <c r="C105" s="15">
        <v>0.4583333333333333</v>
      </c>
    </row>
    <row r="106" ht="22.5" customHeight="1">
      <c r="B106" s="11">
        <f t="shared" si="2"/>
        <v>111500</v>
      </c>
      <c r="C106" s="15">
        <v>0.46875</v>
      </c>
    </row>
    <row r="107" ht="22.5" customHeight="1">
      <c r="B107" s="11">
        <f t="shared" si="2"/>
        <v>113000</v>
      </c>
      <c r="C107" s="15">
        <v>0.4791666666666667</v>
      </c>
    </row>
    <row r="108" ht="22.5" customHeight="1">
      <c r="B108" s="11">
        <f t="shared" si="2"/>
        <v>114500</v>
      </c>
      <c r="C108" s="15">
        <v>0.4895833333333333</v>
      </c>
    </row>
    <row r="109" ht="22.5" customHeight="1">
      <c r="B109" s="11">
        <f t="shared" si="2"/>
        <v>120000</v>
      </c>
      <c r="C109" s="15">
        <v>0.5</v>
      </c>
    </row>
    <row r="110" ht="22.5" customHeight="1">
      <c r="B110" s="11">
        <f t="shared" si="2"/>
        <v>121500</v>
      </c>
      <c r="C110" s="15">
        <v>0.5104166666666666</v>
      </c>
    </row>
    <row r="111" ht="22.5" customHeight="1">
      <c r="B111" s="11">
        <f t="shared" si="2"/>
        <v>123000</v>
      </c>
      <c r="C111" s="15">
        <v>0.5208333333333334</v>
      </c>
    </row>
    <row r="112" ht="22.5" customHeight="1">
      <c r="B112" s="11">
        <f t="shared" si="2"/>
        <v>124500</v>
      </c>
      <c r="C112" s="15">
        <v>0.53125</v>
      </c>
    </row>
    <row r="113" ht="22.5" customHeight="1">
      <c r="B113" s="11">
        <f t="shared" si="2"/>
        <v>130000</v>
      </c>
      <c r="C113" s="15">
        <v>0.5416666666666666</v>
      </c>
    </row>
    <row r="114" ht="22.5" customHeight="1">
      <c r="B114" s="11">
        <f t="shared" si="2"/>
        <v>131500</v>
      </c>
      <c r="C114" s="15">
        <v>0.5520833333333334</v>
      </c>
    </row>
    <row r="115" ht="22.5" customHeight="1">
      <c r="B115" s="11">
        <f t="shared" si="2"/>
        <v>133000</v>
      </c>
      <c r="C115" s="15">
        <v>0.5625</v>
      </c>
    </row>
    <row r="116" ht="22.5" customHeight="1">
      <c r="B116" s="11">
        <f t="shared" si="2"/>
        <v>134500</v>
      </c>
      <c r="C116" s="15">
        <v>0.5729166666666666</v>
      </c>
    </row>
    <row r="117" ht="22.5" customHeight="1">
      <c r="B117" s="11">
        <f t="shared" si="2"/>
        <v>140000</v>
      </c>
      <c r="C117" s="15">
        <v>0.5833333333333334</v>
      </c>
    </row>
    <row r="118" ht="22.5" customHeight="1">
      <c r="B118" s="11">
        <f t="shared" si="2"/>
        <v>141500</v>
      </c>
      <c r="C118" s="15">
        <v>0.59375</v>
      </c>
    </row>
    <row r="119" ht="22.5" customHeight="1">
      <c r="B119" s="11">
        <f t="shared" si="2"/>
        <v>143000</v>
      </c>
      <c r="C119" s="15">
        <v>0.6041666666666666</v>
      </c>
    </row>
    <row r="120" ht="22.5" customHeight="1">
      <c r="B120" s="11">
        <f t="shared" si="2"/>
        <v>144500</v>
      </c>
      <c r="C120" s="15">
        <v>0.6145833333333334</v>
      </c>
    </row>
    <row r="121" ht="22.5" customHeight="1">
      <c r="B121" s="11">
        <f t="shared" si="2"/>
        <v>150000</v>
      </c>
      <c r="C121" s="15">
        <v>0.625</v>
      </c>
    </row>
    <row r="122" ht="22.5" customHeight="1">
      <c r="B122" s="11">
        <f t="shared" si="2"/>
        <v>151500</v>
      </c>
      <c r="C122" s="15">
        <v>0.6354166666666666</v>
      </c>
    </row>
    <row r="123" ht="22.5" customHeight="1">
      <c r="B123" s="11">
        <f t="shared" si="2"/>
        <v>153000</v>
      </c>
      <c r="C123" s="15">
        <v>0.6458333333333334</v>
      </c>
    </row>
    <row r="124" ht="22.5" customHeight="1">
      <c r="B124" s="11">
        <f t="shared" si="2"/>
        <v>154500</v>
      </c>
      <c r="C124" s="15">
        <v>0.65625</v>
      </c>
    </row>
    <row r="125" ht="22.5" customHeight="1">
      <c r="B125" s="11">
        <f t="shared" si="2"/>
        <v>160000</v>
      </c>
      <c r="C125" s="15">
        <v>0.6666666666666666</v>
      </c>
    </row>
    <row r="126" ht="22.5" customHeight="1">
      <c r="B126" s="11">
        <f t="shared" si="2"/>
        <v>161500</v>
      </c>
      <c r="C126" s="15">
        <v>0.6770833333333334</v>
      </c>
    </row>
    <row r="127" ht="22.5" customHeight="1">
      <c r="B127" s="11">
        <f t="shared" si="2"/>
        <v>163000</v>
      </c>
      <c r="C127" s="15">
        <v>0.6875</v>
      </c>
    </row>
    <row r="128" ht="22.5" customHeight="1">
      <c r="B128" s="11">
        <f t="shared" si="2"/>
        <v>164500</v>
      </c>
      <c r="C128" s="15">
        <v>0.6979166666666666</v>
      </c>
    </row>
    <row r="129" ht="22.5" customHeight="1">
      <c r="B129" s="11">
        <f t="shared" si="2"/>
        <v>170000</v>
      </c>
      <c r="C129" s="15">
        <v>0.7083333333333334</v>
      </c>
    </row>
    <row r="130" ht="22.5" customHeight="1">
      <c r="B130" s="11">
        <f t="shared" si="2"/>
        <v>171500</v>
      </c>
      <c r="C130" s="15">
        <v>0.71875</v>
      </c>
    </row>
    <row r="131" ht="22.5" customHeight="1">
      <c r="B131" s="11">
        <f t="shared" si="2"/>
        <v>173000</v>
      </c>
      <c r="C131" s="15">
        <v>0.7291666666666666</v>
      </c>
    </row>
    <row r="132" ht="22.5" customHeight="1">
      <c r="B132" s="11">
        <f t="shared" si="2"/>
        <v>174500</v>
      </c>
      <c r="C132" s="15">
        <v>0.7395833333333334</v>
      </c>
    </row>
    <row r="133" ht="22.5" customHeight="1">
      <c r="B133" s="11">
        <f t="shared" si="2"/>
        <v>180000</v>
      </c>
      <c r="C133" s="15">
        <v>0.75</v>
      </c>
    </row>
    <row r="134" ht="22.5" customHeight="1">
      <c r="B134" s="11">
        <f t="shared" si="2"/>
        <v>181500</v>
      </c>
      <c r="C134" s="15">
        <v>0.7604166666666666</v>
      </c>
    </row>
    <row r="135" ht="22.5" customHeight="1">
      <c r="B135" s="11">
        <f t="shared" si="2"/>
        <v>183000</v>
      </c>
      <c r="C135" s="15">
        <v>0.7708333333333334</v>
      </c>
    </row>
    <row r="136" ht="22.5" customHeight="1">
      <c r="B136" s="11">
        <f t="shared" si="2"/>
        <v>184500</v>
      </c>
      <c r="C136" s="15">
        <v>0.78125</v>
      </c>
    </row>
    <row r="137" ht="22.5" customHeight="1">
      <c r="B137" s="11">
        <f t="shared" si="2"/>
        <v>190000</v>
      </c>
      <c r="C137" s="15">
        <v>0.7916666666666666</v>
      </c>
    </row>
    <row r="138" ht="22.5" customHeight="1">
      <c r="B138" s="11">
        <f t="shared" si="2"/>
        <v>191500</v>
      </c>
      <c r="C138" s="15">
        <v>0.8020833333333334</v>
      </c>
    </row>
    <row r="139" ht="22.5" customHeight="1">
      <c r="B139" s="11">
        <f t="shared" si="2"/>
        <v>193000</v>
      </c>
      <c r="C139" s="15">
        <v>0.8125</v>
      </c>
    </row>
    <row r="140" ht="22.5" customHeight="1">
      <c r="B140" s="11">
        <f t="shared" si="2"/>
        <v>194500</v>
      </c>
      <c r="C140" s="15">
        <v>0.8229166666666666</v>
      </c>
    </row>
    <row r="141" ht="22.5" customHeight="1">
      <c r="B141" s="11">
        <f t="shared" si="2"/>
        <v>200000</v>
      </c>
      <c r="C141" s="15">
        <v>0.8333333333333334</v>
      </c>
    </row>
    <row r="142" ht="22.5" customHeight="1">
      <c r="B142" s="11">
        <f t="shared" si="2"/>
        <v>201500</v>
      </c>
      <c r="C142" s="15">
        <v>0.84375</v>
      </c>
    </row>
    <row r="143" ht="22.5" customHeight="1">
      <c r="B143" s="11">
        <f t="shared" si="2"/>
        <v>203000</v>
      </c>
      <c r="C143" s="15">
        <v>0.8541666666666666</v>
      </c>
    </row>
    <row r="144" ht="22.5" customHeight="1">
      <c r="B144" s="11">
        <f t="shared" si="2"/>
        <v>204500</v>
      </c>
      <c r="C144" s="15">
        <v>0.8645833333333334</v>
      </c>
    </row>
    <row r="145" ht="22.5" customHeight="1">
      <c r="B145" s="11">
        <f t="shared" si="2"/>
        <v>210000</v>
      </c>
      <c r="C145" s="15">
        <v>0.875</v>
      </c>
    </row>
    <row r="146" ht="22.5" customHeight="1">
      <c r="B146" s="11">
        <f t="shared" si="2"/>
        <v>211500</v>
      </c>
      <c r="C146" s="15">
        <v>0.8854166666666666</v>
      </c>
    </row>
    <row r="147" ht="22.5" customHeight="1">
      <c r="B147" s="11">
        <f t="shared" si="2"/>
        <v>213000</v>
      </c>
      <c r="C147" s="15">
        <v>0.8958333333333334</v>
      </c>
    </row>
    <row r="148" ht="22.5" customHeight="1">
      <c r="B148" s="11">
        <f t="shared" si="2"/>
        <v>214500</v>
      </c>
      <c r="C148" s="15">
        <v>0.90625</v>
      </c>
    </row>
    <row r="149" ht="22.5" customHeight="1">
      <c r="B149" s="11">
        <f t="shared" si="2"/>
        <v>220000</v>
      </c>
      <c r="C149" s="15">
        <v>0.9166666666666666</v>
      </c>
    </row>
    <row r="150" ht="22.5" customHeight="1">
      <c r="B150" s="11">
        <f t="shared" si="2"/>
        <v>221500</v>
      </c>
      <c r="C150" s="15">
        <v>0.9270833333333334</v>
      </c>
    </row>
    <row r="151" ht="22.5" customHeight="1">
      <c r="B151" s="11">
        <f t="shared" si="2"/>
        <v>223000</v>
      </c>
      <c r="C151" s="15">
        <v>0.9375</v>
      </c>
    </row>
    <row r="152" ht="22.5" customHeight="1">
      <c r="B152" s="11">
        <f t="shared" si="2"/>
        <v>224500</v>
      </c>
      <c r="C152" s="15">
        <v>0.9479166666666666</v>
      </c>
    </row>
    <row r="153" ht="22.5" customHeight="1">
      <c r="B153" s="11">
        <f t="shared" si="2"/>
        <v>230000</v>
      </c>
      <c r="C153" s="15">
        <v>0.9583333333333334</v>
      </c>
    </row>
    <row r="154" ht="22.5" customHeight="1">
      <c r="B154" s="11">
        <f t="shared" si="2"/>
        <v>231500</v>
      </c>
      <c r="C154" s="15">
        <v>0.96875</v>
      </c>
    </row>
    <row r="155" ht="22.5" customHeight="1">
      <c r="B155" s="11">
        <f t="shared" si="2"/>
        <v>233000</v>
      </c>
      <c r="C155" s="15">
        <v>0.9791666666666666</v>
      </c>
    </row>
    <row r="156" ht="22.5" customHeight="1">
      <c r="B156" s="11">
        <f t="shared" si="2"/>
        <v>234500</v>
      </c>
      <c r="C156" s="15">
        <v>0.9895833333333334</v>
      </c>
    </row>
  </sheetData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