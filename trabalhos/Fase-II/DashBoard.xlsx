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vmail-my.sharepoint.com/personal/c3007827_fgv_edu_br/Documents/"/>
    </mc:Choice>
  </mc:AlternateContent>
  <xr:revisionPtr revIDLastSave="147" documentId="8_{774A6600-9BD7-46DB-8FA1-5F5F07E602DC}" xr6:coauthVersionLast="47" xr6:coauthVersionMax="47" xr10:uidLastSave="{33341374-50A3-4C3C-9844-E8F5B777F7D3}"/>
  <bookViews>
    <workbookView xWindow="-103" yWindow="-103" windowWidth="22149" windowHeight="13200" firstSheet="4" activeTab="4" xr2:uid="{33EC0473-4575-44B7-8359-FFDDB9394EB5}"/>
  </bookViews>
  <sheets>
    <sheet name="receitas" sheetId="3" state="hidden" r:id="rId1"/>
    <sheet name="despesas" sheetId="2" state="hidden" r:id="rId2"/>
    <sheet name="ReceitaDespesa" sheetId="7" state="hidden" r:id="rId3"/>
    <sheet name="TopLucros" sheetId="5" state="hidden" r:id="rId4"/>
    <sheet name="DashBoard" sheetId="6" r:id="rId5"/>
    <sheet name="DistDespesa" sheetId="9" state="hidden" r:id="rId6"/>
    <sheet name="Planilha5" sheetId="8" state="hidden" r:id="rId7"/>
  </sheets>
  <definedNames>
    <definedName name="DadosExternos_1" localSheetId="1" hidden="1">despesas!$A$1:$G$1936</definedName>
    <definedName name="DadosExternos_2" localSheetId="0" hidden="1">receitas!$A$1:$F$3001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7" l="1" a="1"/>
  <c r="E2" i="7" s="1"/>
  <c r="D2" i="9" a="1"/>
  <c r="D2" i="9" s="1"/>
  <c r="B2" i="9" a="1"/>
  <c r="B2" i="9" s="1"/>
  <c r="A2" i="9" a="1"/>
  <c r="A2" i="9" s="1"/>
  <c r="N2" i="8"/>
  <c r="A2" i="8" a="1"/>
  <c r="D2" i="7" a="1"/>
  <c r="D2" i="7" s="1"/>
  <c r="C2" i="7" a="1"/>
  <c r="C2" i="7" s="1"/>
  <c r="B2" i="7" a="1"/>
  <c r="B2" i="7" s="1"/>
  <c r="A2" i="7" a="1"/>
  <c r="A2" i="7" s="1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885" i="3"/>
  <c r="H2886" i="3"/>
  <c r="H2887" i="3"/>
  <c r="H2888" i="3"/>
  <c r="H2889" i="3"/>
  <c r="H2890" i="3"/>
  <c r="H2891" i="3"/>
  <c r="H2892" i="3"/>
  <c r="H2893" i="3"/>
  <c r="H2894" i="3"/>
  <c r="H2895" i="3"/>
  <c r="H2896" i="3"/>
  <c r="H2897" i="3"/>
  <c r="H2898" i="3"/>
  <c r="H2899" i="3"/>
  <c r="H2900" i="3"/>
  <c r="H2901" i="3"/>
  <c r="H2902" i="3"/>
  <c r="H2903" i="3"/>
  <c r="H2904" i="3"/>
  <c r="H2905" i="3"/>
  <c r="H2906" i="3"/>
  <c r="H2907" i="3"/>
  <c r="H2908" i="3"/>
  <c r="H2909" i="3"/>
  <c r="H2910" i="3"/>
  <c r="H2911" i="3"/>
  <c r="H2912" i="3"/>
  <c r="H2913" i="3"/>
  <c r="H2914" i="3"/>
  <c r="H2915" i="3"/>
  <c r="H2916" i="3"/>
  <c r="H2917" i="3"/>
  <c r="H2918" i="3"/>
  <c r="H2919" i="3"/>
  <c r="H2920" i="3"/>
  <c r="H2921" i="3"/>
  <c r="H2922" i="3"/>
  <c r="H2923" i="3"/>
  <c r="H2924" i="3"/>
  <c r="H2925" i="3"/>
  <c r="H2926" i="3"/>
  <c r="H2927" i="3"/>
  <c r="H2928" i="3"/>
  <c r="H2929" i="3"/>
  <c r="H2930" i="3"/>
  <c r="H2931" i="3"/>
  <c r="H2932" i="3"/>
  <c r="H2933" i="3"/>
  <c r="H2934" i="3"/>
  <c r="H2935" i="3"/>
  <c r="H2936" i="3"/>
  <c r="H2937" i="3"/>
  <c r="H2938" i="3"/>
  <c r="H2939" i="3"/>
  <c r="H2940" i="3"/>
  <c r="H2941" i="3"/>
  <c r="H2942" i="3"/>
  <c r="H2943" i="3"/>
  <c r="H2944" i="3"/>
  <c r="H2945" i="3"/>
  <c r="H2946" i="3"/>
  <c r="H2947" i="3"/>
  <c r="H2948" i="3"/>
  <c r="H2949" i="3"/>
  <c r="H2950" i="3"/>
  <c r="H2951" i="3"/>
  <c r="H2952" i="3"/>
  <c r="H2953" i="3"/>
  <c r="H2954" i="3"/>
  <c r="H2955" i="3"/>
  <c r="H2956" i="3"/>
  <c r="H2957" i="3"/>
  <c r="H2958" i="3"/>
  <c r="H2959" i="3"/>
  <c r="H2960" i="3"/>
  <c r="H2961" i="3"/>
  <c r="H2962" i="3"/>
  <c r="H2963" i="3"/>
  <c r="H2964" i="3"/>
  <c r="H2965" i="3"/>
  <c r="H2966" i="3"/>
  <c r="H2967" i="3"/>
  <c r="H2968" i="3"/>
  <c r="H2969" i="3"/>
  <c r="H2970" i="3"/>
  <c r="H2971" i="3"/>
  <c r="H2972" i="3"/>
  <c r="H2973" i="3"/>
  <c r="H2974" i="3"/>
  <c r="H2975" i="3"/>
  <c r="H2976" i="3"/>
  <c r="H2977" i="3"/>
  <c r="H2978" i="3"/>
  <c r="H2979" i="3"/>
  <c r="H2980" i="3"/>
  <c r="H2981" i="3"/>
  <c r="H2982" i="3"/>
  <c r="H2983" i="3"/>
  <c r="H2984" i="3"/>
  <c r="H2985" i="3"/>
  <c r="H2986" i="3"/>
  <c r="H2987" i="3"/>
  <c r="H2988" i="3"/>
  <c r="H2989" i="3"/>
  <c r="H2990" i="3"/>
  <c r="H2991" i="3"/>
  <c r="H2992" i="3"/>
  <c r="H2993" i="3"/>
  <c r="H2994" i="3"/>
  <c r="H2995" i="3"/>
  <c r="H2996" i="3"/>
  <c r="H2997" i="3"/>
  <c r="H2998" i="3"/>
  <c r="H2999" i="3"/>
  <c r="H3000" i="3"/>
  <c r="H3001" i="3"/>
  <c r="H15" i="5"/>
  <c r="A2" i="5" a="1"/>
  <c r="A2" i="5" s="1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A2" i="8" l="1"/>
  <c r="B2" i="8" s="1" a="1"/>
  <c r="B2" i="8" s="1"/>
  <c r="B2" i="5" a="1"/>
  <c r="D2" i="8" l="1" a="1"/>
  <c r="D2" i="8" s="1"/>
  <c r="B2" i="5"/>
  <c r="C2" i="5" s="1" a="1"/>
  <c r="C2" i="5" l="1"/>
  <c r="F2" i="5" a="1"/>
  <c r="F2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0B27EB-1C5F-4DBF-9D35-3C117276D1A5}" keepAlive="1" name="Consulta - despesas" description="Conexão com a consulta 'despesas' na pasta de trabalho." type="5" refreshedVersion="8" background="1" saveData="1">
    <dbPr connection="Provider=Microsoft.Mashup.OleDb.1;Data Source=$Workbook$;Location=despesas;Extended Properties=&quot;&quot;" command="SELECT * FROM [despesas]"/>
  </connection>
  <connection id="2" xr16:uid="{EE8AC21F-9EC1-42EF-88B7-54D1394A05AB}" keepAlive="1" name="Consulta - receitas" description="Conexão com a consulta 'receitas' na pasta de trabalho." type="5" refreshedVersion="8" background="1" saveData="1">
    <dbPr connection="Provider=Microsoft.Mashup.OleDb.1;Data Source=$Workbook$;Location=receitas;Extended Properties=&quot;&quot;" command="SELECT * FROM [receita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<sst xmlns="http://schemas.openxmlformats.org/spreadsheetml/2006/main" count="9909" uniqueCount="1850">
  <si>
    <t>iddespesa</t>
  </si>
  <si>
    <t>data_transacao</t>
  </si>
  <si>
    <t>nomefornecedor</t>
  </si>
  <si>
    <t>nomeproduto</t>
  </si>
  <si>
    <t>quantidade</t>
  </si>
  <si>
    <t>preco_unitario</t>
  </si>
  <si>
    <t>valor_total_despesa</t>
  </si>
  <si>
    <t>Freitas Cassiano e Filhos</t>
  </si>
  <si>
    <t>Pomada para Assaduras Rexona 90g</t>
  </si>
  <si>
    <t>Omeprazol Pomada 30g - EMS (Genérico)</t>
  </si>
  <si>
    <t>Escitalopram 25mg - 30 Comprimidos - Aché</t>
  </si>
  <si>
    <t>Vacina contra Anemia - Dose Única</t>
  </si>
  <si>
    <t>Fluoxetina 25mg - 30 Comprimidos - Aché</t>
  </si>
  <si>
    <t>Monteiro - ME</t>
  </si>
  <si>
    <t>Vacina contra Hipertensão - Reforço</t>
  </si>
  <si>
    <t>Losartana Potássica 500mg - 20 Comprimidos - Aché</t>
  </si>
  <si>
    <t>Creme Dental Nivea Tamanho G (32 un)</t>
  </si>
  <si>
    <t>Vacina contra Hipertireoidismo - Reforço</t>
  </si>
  <si>
    <t>Sertralina Suspensão Oral 50ml - Eurofarma</t>
  </si>
  <si>
    <t>Soro Fisiológico CeraVe FPS 50</t>
  </si>
  <si>
    <t>Escitalopram 25mg - 30 Comprimidos - Medley (Genérico)</t>
  </si>
  <si>
    <t>Cefalexina 1g - 10 Comprimidos - Medley (Genérico)</t>
  </si>
  <si>
    <t>Metformina 500mg - 20 Comprimidos - Neo Química (Genérico)</t>
  </si>
  <si>
    <t>Vieira das Neves Ltda.</t>
  </si>
  <si>
    <t>Álcool em Gel 70% Johnson's 50 Metros</t>
  </si>
  <si>
    <t>Loratadina 500mg - 20 Comprimidos - Neo Química (Genérico)</t>
  </si>
  <si>
    <t>Tadalafila Suspensão Oral 50ml - EMS (Genérico)</t>
  </si>
  <si>
    <t>Dipirona Sódica Pomada 30g - Medley (Genérico)</t>
  </si>
  <si>
    <t>da Luz</t>
  </si>
  <si>
    <t>Vacina contra COVID-19 - Dose Única</t>
  </si>
  <si>
    <t>Monteiro Ltda.</t>
  </si>
  <si>
    <t>Fralda Descartável Listerine 50g</t>
  </si>
  <si>
    <t>Vacina contra Gripe - Reforço</t>
  </si>
  <si>
    <t>Vacina contra Depressão - Dose Única</t>
  </si>
  <si>
    <t>Andrade</t>
  </si>
  <si>
    <t>Desodorante Roll-on Bepantol 50g</t>
  </si>
  <si>
    <t>Fluoxetina 50mg - 30 Comprimidos - Eurofarma</t>
  </si>
  <si>
    <t>Azitromicina Xarope 120ml - Aché</t>
  </si>
  <si>
    <t>Vacina contra Ansiedade - Dose Única</t>
  </si>
  <si>
    <t>Clonazepam 25mg - 30 Comprimidos - Bayer</t>
  </si>
  <si>
    <t>Desodorante Roll-on G-Tech Tamanho M (40 un)</t>
  </si>
  <si>
    <t>Castro</t>
  </si>
  <si>
    <t>Amoxicilina 25mg - 30 Comprimidos - Eurofarma</t>
  </si>
  <si>
    <t>Atenolol Gotas 20ml - Eurofarma</t>
  </si>
  <si>
    <t>Pomada para Assaduras Needs 90g</t>
  </si>
  <si>
    <t>Metformina 1g - 10 Comprimidos - Neo Química (Genérico)</t>
  </si>
  <si>
    <t>Enxaguante Bucal Sempre Livre Tamanho G (32 un)</t>
  </si>
  <si>
    <t>Água Micelar Dove 150ml</t>
  </si>
  <si>
    <t>Metformina Suspensão Oral 50ml - Bayer</t>
  </si>
  <si>
    <t>Sousa</t>
  </si>
  <si>
    <t>Sérum Vitamina C Nivea 200ml</t>
  </si>
  <si>
    <t>Fluoxetina 25mg - 30 Comprimidos - EMS (Genérico)</t>
  </si>
  <si>
    <t>Shampoo Anticaspa Huggies 400ml</t>
  </si>
  <si>
    <t>Vacina contra Colesterol Alto - Reforço</t>
  </si>
  <si>
    <t>Omeprazol Pomada 30g - Bayer</t>
  </si>
  <si>
    <t>Pomada para Assaduras G-Tech 50 Metros</t>
  </si>
  <si>
    <t>Protetor Solar Facial Johnson's 90g</t>
  </si>
  <si>
    <t>Pomada para Assaduras Vichy FPS 70</t>
  </si>
  <si>
    <t>Nimesulida Suspensão Oral 50ml - Aché</t>
  </si>
  <si>
    <t>Sildenafila Suspensão Oral 50ml - Eurofarma</t>
  </si>
  <si>
    <t>Enxaguante Bucal Dove 50 Metros</t>
  </si>
  <si>
    <t>Atenolol 1g - 10 Comprimidos - Eurofarma</t>
  </si>
  <si>
    <t>Tadalafila 50mg - 30 Comprimidos - Eurofarma</t>
  </si>
  <si>
    <t>Água Micelar Vichy 500ml</t>
  </si>
  <si>
    <t>Sinvastatina Pomada 30g - Bayer</t>
  </si>
  <si>
    <t>Nascimento S.A.</t>
  </si>
  <si>
    <t>Metformina Gotas 20ml - Bayer</t>
  </si>
  <si>
    <t>Atenolol 1g - 10 Comprimidos - Aché</t>
  </si>
  <si>
    <t>Sabonete Líquido Clear 90g</t>
  </si>
  <si>
    <t>Aragão e Filhos</t>
  </si>
  <si>
    <t>Nimesulida 50mg - 30 Comprimidos - Medley (Genérico)</t>
  </si>
  <si>
    <t>Ibuprofeno Pomada 30g - Bayer</t>
  </si>
  <si>
    <t>Absorvente com Abas Nivea 200ml</t>
  </si>
  <si>
    <t>Nascimento</t>
  </si>
  <si>
    <t>Paracetamol 25mg - 30 Comprimidos - Medley (Genérico)</t>
  </si>
  <si>
    <t>Hastes Flexíveis (Cotonetes) Rexona 150ml</t>
  </si>
  <si>
    <t>Água Micelar La Roche-Posay 50 Metros</t>
  </si>
  <si>
    <t>Ibuprofeno 50mg - 30 Comprimidos - Bayer</t>
  </si>
  <si>
    <t>Curativos (Band-Aid) Panvel 50g</t>
  </si>
  <si>
    <t>Nimesulida Gotas 20ml - Aché</t>
  </si>
  <si>
    <t>Água Micelar Colgate 200ml</t>
  </si>
  <si>
    <t>Fluoxetina 500mg - 20 Comprimidos - Aché</t>
  </si>
  <si>
    <t>Azitromicina 500mg - 20 Comprimidos - Medley (Genérico)</t>
  </si>
  <si>
    <t>Sertralina Pomada 30g - Medley (Genérico)</t>
  </si>
  <si>
    <t>Azitromicina 1g - 10 Comprimidos - Medley (Genérico)</t>
  </si>
  <si>
    <t>Vacina contra Chikungunya - Dose Única</t>
  </si>
  <si>
    <t>Casa Grande - ME</t>
  </si>
  <si>
    <t>Creme Hidratante CeraVe 500ml</t>
  </si>
  <si>
    <t>Escitalopram Pomada 30g - Eurofarma</t>
  </si>
  <si>
    <t>Paracetamol Suspensão Oral 50ml - Aché</t>
  </si>
  <si>
    <t>Vacina contra Zika - Dose Única</t>
  </si>
  <si>
    <t>Vacina contra Trombose - Dose Única</t>
  </si>
  <si>
    <t>Clonazepam Pomada 30g - Medley (Genérico)</t>
  </si>
  <si>
    <t>Moreira</t>
  </si>
  <si>
    <t>Paracetamol Suspensão Oral 50ml - Medley (Genérico)</t>
  </si>
  <si>
    <t>Soro Fisiológico Needs 90g</t>
  </si>
  <si>
    <t>Sabonete em Barra Dove 50g</t>
  </si>
  <si>
    <t>Vieira</t>
  </si>
  <si>
    <t>Omeprazol 500mg - 20 Comprimidos - Aché</t>
  </si>
  <si>
    <t>Dipirona Sódica Xarope 120ml - Neo Química (Genérico)</t>
  </si>
  <si>
    <t>Fluoxetina 25mg - 30 Comprimidos - Neo Química (Genérico)</t>
  </si>
  <si>
    <t>Ibuprofeno 25mg - 30 Comprimidos - Medley (Genérico)</t>
  </si>
  <si>
    <t>Vacina contra Leucemia - Reforço</t>
  </si>
  <si>
    <t>Macedo Leão S/A</t>
  </si>
  <si>
    <t>Amoxicilina 500mg - 20 Comprimidos - Eurofarma</t>
  </si>
  <si>
    <t>Vacina contra Lúpus - Dose Única</t>
  </si>
  <si>
    <t>Amoxicilina Pomada 30g - Bayer</t>
  </si>
  <si>
    <t>Vacina contra Catarata - Dose Única</t>
  </si>
  <si>
    <t>Vacina contra Rinite - Dose Única</t>
  </si>
  <si>
    <t>Escitalopram Xarope 120ml - EMS (Genérico)</t>
  </si>
  <si>
    <t>Nogueira S/A</t>
  </si>
  <si>
    <t>Losartana Potássica 500mg - 20 Comprimidos - Bayer</t>
  </si>
  <si>
    <t>Fralda Descartável Bepantol 400ml</t>
  </si>
  <si>
    <t>Cefalexina 50mg - 30 Comprimidos - Eurofarma</t>
  </si>
  <si>
    <t>Dipirona Sódica 500mg - 20 Comprimidos - Medley (Genérico)</t>
  </si>
  <si>
    <t>Condicionador Hidratação Needs 200ml</t>
  </si>
  <si>
    <t>Absorvente com Abas Colgate 400ml</t>
  </si>
  <si>
    <t>Shampoo Anticaspa Huggies FPS 70</t>
  </si>
  <si>
    <t>Barros</t>
  </si>
  <si>
    <t>Clonazepam Xarope 120ml - EMS (Genérico)</t>
  </si>
  <si>
    <t>Sérum Vitamina C Needs FPS 70</t>
  </si>
  <si>
    <t>Água Micelar Panvel 150ml</t>
  </si>
  <si>
    <t>Creme Hidratante Sempre Livre 400ml</t>
  </si>
  <si>
    <t>Azitromicina 25mg - 30 Comprimidos - Medley (Genérico)</t>
  </si>
  <si>
    <t>Escitalopram Xarope 120ml - Aché</t>
  </si>
  <si>
    <t>Losartana Potássica Pomada 30g - Neo Química (Genérico)</t>
  </si>
  <si>
    <t>Vacina contra Psoríase - Dose Única</t>
  </si>
  <si>
    <t>Ibuprofeno Suspensão Oral 50ml - Bayer</t>
  </si>
  <si>
    <t>Tadalafila Gotas 20ml - Eurofarma</t>
  </si>
  <si>
    <t>Mendonça - EI</t>
  </si>
  <si>
    <t>Cefalexina Suspensão Oral 50ml - Medley (Genérico)</t>
  </si>
  <si>
    <t>Termômetro Digital Listerine 50g</t>
  </si>
  <si>
    <t>Ibuprofeno Xarope 120ml - Medley (Genérico)</t>
  </si>
  <si>
    <t>Fluoxetina 500mg - 20 Comprimidos - Bayer</t>
  </si>
  <si>
    <t>Curativos (Band-Aid) Bepantol Tamanho M (40 un)</t>
  </si>
  <si>
    <t>Álcool em Gel 70% Rexona 150ml</t>
  </si>
  <si>
    <t>Atenolol Suspensão Oral 50ml - Neo Química (Genérico)</t>
  </si>
  <si>
    <t>Barbosa Martins S.A.</t>
  </si>
  <si>
    <t>Diclofenaco 500mg - 20 Comprimidos - Medley (Genérico)</t>
  </si>
  <si>
    <t>Termômetro Digital Bepantol 150ml</t>
  </si>
  <si>
    <t>Vacina contra Lúpus - Reforço</t>
  </si>
  <si>
    <t>Paracetamol Pomada 30g - EMS (Genérico)</t>
  </si>
  <si>
    <t>Nimesulida 1g - 10 Comprimidos - EMS (Genérico)</t>
  </si>
  <si>
    <t>da Paz - EI</t>
  </si>
  <si>
    <t>Vacina contra Tuberculose - Dose Única</t>
  </si>
  <si>
    <t>Cefalexina Gotas 20ml - EMS (Genérico)</t>
  </si>
  <si>
    <t>Paracetamol 25mg - 30 Comprimidos - Neo Química (Genérico)</t>
  </si>
  <si>
    <t>Ibuprofeno Suspensão Oral 50ml - EMS (Genérico)</t>
  </si>
  <si>
    <t>Pantoprazol 25mg - 30 Comprimidos - Neo Química (Genérico)</t>
  </si>
  <si>
    <t>Curativos (Band-Aid) Pampers Tamanho G (32 un)</t>
  </si>
  <si>
    <t>Montenegro - EI</t>
  </si>
  <si>
    <t>Soro Fisiológico Dove FPS 70</t>
  </si>
  <si>
    <t>Metformina Gotas 20ml - EMS (Genérico)</t>
  </si>
  <si>
    <t>Cefalexina 50mg - 30 Comprimidos - Neo Química (Genérico)</t>
  </si>
  <si>
    <t>da Cruz</t>
  </si>
  <si>
    <t>Sildenafila 50mg - 30 Comprimidos - Medley (Genérico)</t>
  </si>
  <si>
    <t>Fralda Descartável Needs 150ml</t>
  </si>
  <si>
    <t>Escitalopram 1g - 10 Comprimidos - EMS (Genérico)</t>
  </si>
  <si>
    <t>Sertralina Pomada 30g - Neo Química (Genérico)</t>
  </si>
  <si>
    <t>Leite em Pó Infantil Colgate 150ml</t>
  </si>
  <si>
    <t>Loratadina Suspensão Oral 50ml - Eurofarma</t>
  </si>
  <si>
    <t>Loratadina 1g - 10 Comprimidos - EMS (Genérico)</t>
  </si>
  <si>
    <t>Vasconcelos S/A</t>
  </si>
  <si>
    <t>Protetor Solar Facial Panvel 90g</t>
  </si>
  <si>
    <t>da Mota - EI</t>
  </si>
  <si>
    <t>Ibuprofeno 50mg - 30 Comprimidos - Aché</t>
  </si>
  <si>
    <t>Água Micelar Clear Tamanho M (40 un)</t>
  </si>
  <si>
    <t>Enxaguante Bucal Johnson's FPS 50</t>
  </si>
  <si>
    <t>Ibuprofeno 1g - 10 Comprimidos - Eurofarma</t>
  </si>
  <si>
    <t>Sousa Camargo S/A</t>
  </si>
  <si>
    <t>Cefalexina 500mg - 20 Comprimidos - Medley (Genérico)</t>
  </si>
  <si>
    <t>Loratadina Xarope 120ml - Aché</t>
  </si>
  <si>
    <t>Sinvastatina Suspensão Oral 50ml - Aché</t>
  </si>
  <si>
    <t>Azitromicina 50mg - 30 Comprimidos - Medley (Genérico)</t>
  </si>
  <si>
    <t>Vacina contra Câncer de Mama - Dose Única</t>
  </si>
  <si>
    <t>Amoxicilina 50mg - 30 Comprimidos - Aché</t>
  </si>
  <si>
    <t>Vacina contra Embolia - Reforço</t>
  </si>
  <si>
    <t>Vacina contra Glaucoma - Dose Única</t>
  </si>
  <si>
    <t>Amoxicilina 50mg - 30 Comprimidos - Eurofarma</t>
  </si>
  <si>
    <t>Ramos</t>
  </si>
  <si>
    <t>Nimesulida Gotas 20ml - EMS (Genérico)</t>
  </si>
  <si>
    <t>Amoxicilina Gotas 20ml - Neo Química (Genérico)</t>
  </si>
  <si>
    <t>Escitalopram Suspensão Oral 50ml - Medley (Genérico)</t>
  </si>
  <si>
    <t>Atenolol Pomada 30g - Medley (Genérico)</t>
  </si>
  <si>
    <t>Hidroclorotiazida 25mg - 30 Comprimidos - Aché</t>
  </si>
  <si>
    <t>Casa Grande Garcia S.A.</t>
  </si>
  <si>
    <t>Sabonete Líquido Nivea Tamanho M (40 un)</t>
  </si>
  <si>
    <t>Pantoprazol Suspensão Oral 50ml - Bayer</t>
  </si>
  <si>
    <t>Cefalexina 500mg - 20 Comprimidos - Eurofarma</t>
  </si>
  <si>
    <t>Vacina contra Gripe - Dose Única</t>
  </si>
  <si>
    <t>Sertralina 25mg - 30 Comprimidos - Eurofarma</t>
  </si>
  <si>
    <t>Hidroclorotiazida Pomada 30g - EMS (Genérico)</t>
  </si>
  <si>
    <t>Duarte</t>
  </si>
  <si>
    <t>Diclofenaco Gotas 20ml - Aché</t>
  </si>
  <si>
    <t>Hastes Flexíveis (Cotonetes) Johnson's 90g</t>
  </si>
  <si>
    <t>Escitalopram 500mg - 20 Comprimidos - Eurofarma</t>
  </si>
  <si>
    <t>Sertralina Xarope 120ml - Neo Química (Genérico)</t>
  </si>
  <si>
    <t>Enalapril 500mg - 20 Comprimidos - EMS (Genérico)</t>
  </si>
  <si>
    <t>Soro Fisiológico Clear 50 Metros</t>
  </si>
  <si>
    <t>Fralda Descartável G-Tech 50g</t>
  </si>
  <si>
    <t>Aragão da Conceição - ME</t>
  </si>
  <si>
    <t>Fluoxetina 500mg - 20 Comprimidos - Eurofarma</t>
  </si>
  <si>
    <t>Sinvastatina Pomada 30g - EMS (Genérico)</t>
  </si>
  <si>
    <t>Cefalexina Pomada 30g - Bayer</t>
  </si>
  <si>
    <t>Shampoo Anticaspa Mió 150ml</t>
  </si>
  <si>
    <t>Diclofenaco 50mg - 30 Comprimidos - Bayer</t>
  </si>
  <si>
    <t>Martins</t>
  </si>
  <si>
    <t>Paracetamol 25mg - 30 Comprimidos - EMS (Genérico)</t>
  </si>
  <si>
    <t>Hastes Flexíveis (Cotonetes) Johnson's 200ml</t>
  </si>
  <si>
    <t>Protetor Solar Facial Rexona 50 Metros</t>
  </si>
  <si>
    <t>Fernandes</t>
  </si>
  <si>
    <t>Loratadina 25mg - 30 Comprimidos - Bayer</t>
  </si>
  <si>
    <t>Vacina contra Osteoporose - Reforço</t>
  </si>
  <si>
    <t>Losartana Potássica Pomada 30g - Bayer</t>
  </si>
  <si>
    <t>Protetor Solar Corporal Vichy 50 Metros</t>
  </si>
  <si>
    <t>Vacina contra Psoríase - Reforço</t>
  </si>
  <si>
    <t>Amoxicilina 25mg - 30 Comprimidos - Bayer</t>
  </si>
  <si>
    <t>Soro Fisiológico Mió 50g</t>
  </si>
  <si>
    <t>Viana</t>
  </si>
  <si>
    <t>Sabonete em Barra Mió FPS 70</t>
  </si>
  <si>
    <t>Dipirona Sódica 1g - 10 Comprimidos - Eurofarma</t>
  </si>
  <si>
    <t>da Cruz Cavalcanti - EI</t>
  </si>
  <si>
    <t>Paracetamol Gotas 20ml - Aché</t>
  </si>
  <si>
    <t>Freitas - EI</t>
  </si>
  <si>
    <t>Enalapril Suspensão Oral 50ml - Medley (Genérico)</t>
  </si>
  <si>
    <t>Fralda Descartável Johnson's FPS 50</t>
  </si>
  <si>
    <t>Cefalexina 25mg - 30 Comprimidos - Eurofarma</t>
  </si>
  <si>
    <t>Sertralina Suspensão Oral 50ml - Neo Química (Genérico)</t>
  </si>
  <si>
    <t>Vacina contra Parkinson - Reforço</t>
  </si>
  <si>
    <t>Pomada para Assaduras Dove 150ml</t>
  </si>
  <si>
    <t>Loratadina 1g - 10 Comprimidos - Bayer</t>
  </si>
  <si>
    <t>Tadalafila Pomada 30g - Eurofarma</t>
  </si>
  <si>
    <t>Termômetro Digital Colgate 90g</t>
  </si>
  <si>
    <t>Álcool em Gel 70% Nivea FPS 50</t>
  </si>
  <si>
    <t>da Mota</t>
  </si>
  <si>
    <t>Creme Hidratante Nivea 50 Metros</t>
  </si>
  <si>
    <t>Losartana Potássica 25mg - 30 Comprimidos - Bayer</t>
  </si>
  <si>
    <t>das Neves</t>
  </si>
  <si>
    <t>Sinvastatina Suspensão Oral 50ml - Medley (Genérico)</t>
  </si>
  <si>
    <t>Vacina contra Artrite - Dose Única</t>
  </si>
  <si>
    <t>Amoxicilina Pomada 30g - Aché</t>
  </si>
  <si>
    <t>Paracetamol 50mg - 30 Comprimidos - Neo Química (Genérico)</t>
  </si>
  <si>
    <t>Sinvastatina Pomada 30g - Medley (Genérico)</t>
  </si>
  <si>
    <t>Desodorante Roll-on Aptamil 50g</t>
  </si>
  <si>
    <t>Garcia</t>
  </si>
  <si>
    <t>Cavalcante</t>
  </si>
  <si>
    <t>Metformina Gotas 20ml - Neo Química (Genérico)</t>
  </si>
  <si>
    <t>Sampaio e Filhos</t>
  </si>
  <si>
    <t>Tadalafila Pomada 30g - Neo Química (Genérico)</t>
  </si>
  <si>
    <t>Loratadina Suspensão Oral 50ml - Bayer</t>
  </si>
  <si>
    <t>Nimesulida 50mg - 30 Comprimidos - EMS (Genérico)</t>
  </si>
  <si>
    <t>Ibuprofeno Xarope 120ml - Aché</t>
  </si>
  <si>
    <t>Protetor Solar Facial Pampers 400ml</t>
  </si>
  <si>
    <t>Vacina contra Diabetes Tipo 2 - Dose Única</t>
  </si>
  <si>
    <t>Absorvente com Abas Needs 90g</t>
  </si>
  <si>
    <t>Sildenafila Gotas 20ml - EMS (Genérico)</t>
  </si>
  <si>
    <t>Cefalexina Xarope 120ml - Aché</t>
  </si>
  <si>
    <t>Paracetamol Suspensão Oral 50ml - EMS (Genérico)</t>
  </si>
  <si>
    <t>Vacina contra Cirrose - Reforço</t>
  </si>
  <si>
    <t>Nimesulida 25mg - 30 Comprimidos - Aché</t>
  </si>
  <si>
    <t>Atenolol Suspensão Oral 50ml - Eurofarma</t>
  </si>
  <si>
    <t>Enalapril 500mg - 20 Comprimidos - Bayer</t>
  </si>
  <si>
    <t>Vacina contra Conjuntivite - Reforço</t>
  </si>
  <si>
    <t>Amoxicilina 50mg - 30 Comprimidos - EMS (Genérico)</t>
  </si>
  <si>
    <t>Ibuprofeno 500mg - 20 Comprimidos - Aché</t>
  </si>
  <si>
    <t>Fluoxetina Suspensão Oral 50ml - Aché</t>
  </si>
  <si>
    <t>Peixoto</t>
  </si>
  <si>
    <t>Condicionador Hidratação Panvel 400ml</t>
  </si>
  <si>
    <t>Sildenafila 1g - 10 Comprimidos - EMS (Genérico)</t>
  </si>
  <si>
    <t>Vacina contra Catarata - Reforço</t>
  </si>
  <si>
    <t>Clonazepam 25mg - 30 Comprimidos - EMS (Genérico)</t>
  </si>
  <si>
    <t>Tadalafila Gotas 20ml - EMS (Genérico)</t>
  </si>
  <si>
    <t>Sabonete em Barra Huggies FPS 70</t>
  </si>
  <si>
    <t>Soro Fisiológico Sempre Livre 50 Metros</t>
  </si>
  <si>
    <t>Metformina Pomada 30g - EMS (Genérico)</t>
  </si>
  <si>
    <t>Curativos (Band-Aid) Dove Tamanho M (40 un)</t>
  </si>
  <si>
    <t>Fluoxetina Xarope 120ml - Eurofarma</t>
  </si>
  <si>
    <t>Protetor Solar Corporal Panvel 150ml</t>
  </si>
  <si>
    <t>Termômetro Digital CeraVe 150ml</t>
  </si>
  <si>
    <t>Câmara Porto S/A</t>
  </si>
  <si>
    <t>Sabonete Líquido La Roche-Posay FPS 70</t>
  </si>
  <si>
    <t>Soro Fisiológico Pampers 400ml</t>
  </si>
  <si>
    <t>Sabonete em Barra Pampers 90g</t>
  </si>
  <si>
    <t>Shampoo Anticaspa Rexona 90g</t>
  </si>
  <si>
    <t>Clonazepam 500mg - 20 Comprimidos - Medley (Genérico)</t>
  </si>
  <si>
    <t>Desodorante Roll-on Johnson's FPS 50</t>
  </si>
  <si>
    <t>Azitromicina Suspensão Oral 50ml - Eurofarma</t>
  </si>
  <si>
    <t>Aragão</t>
  </si>
  <si>
    <t>Dipirona Sódica 50mg - 30 Comprimidos - Medley (Genérico)</t>
  </si>
  <si>
    <t>Aparecida</t>
  </si>
  <si>
    <t>Fluoxetina Xarope 120ml - Neo Química (Genérico)</t>
  </si>
  <si>
    <t>Clonazepam Gotas 20ml - Neo Química (Genérico)</t>
  </si>
  <si>
    <t>Sinvastatina 50mg - 30 Comprimidos - Eurofarma</t>
  </si>
  <si>
    <t>Azitromicina 1g - 10 Comprimidos - Bayer</t>
  </si>
  <si>
    <t>Hidroclorotiazida Pomada 30g - Aché</t>
  </si>
  <si>
    <t>Fralda Descartável Rexona Tamanho G (32 un)</t>
  </si>
  <si>
    <t>Protetor Solar Facial Pampers 200ml</t>
  </si>
  <si>
    <t>Loratadina 500mg - 20 Comprimidos - EMS (Genérico)</t>
  </si>
  <si>
    <t>Vacina contra Artrose - Dose Única</t>
  </si>
  <si>
    <t>Pantoprazol Suspensão Oral 50ml - Aché</t>
  </si>
  <si>
    <t>Enalapril Xarope 120ml - Eurofarma</t>
  </si>
  <si>
    <t>Cefalexina 500mg - 20 Comprimidos - Aché</t>
  </si>
  <si>
    <t>Sérum Vitamina C Sempre Livre FPS 50</t>
  </si>
  <si>
    <t>Lopes</t>
  </si>
  <si>
    <t>Fio Dental La Roche-Posay FPS 50</t>
  </si>
  <si>
    <t>Gonçalves e Filhos</t>
  </si>
  <si>
    <t>Ibuprofeno Pomada 30g - EMS (Genérico)</t>
  </si>
  <si>
    <t>Nimesulida Pomada 30g - Eurofarma</t>
  </si>
  <si>
    <t>Soro Fisiológico Sempre Livre 400ml</t>
  </si>
  <si>
    <t>Vacina contra Melanoma - Reforço</t>
  </si>
  <si>
    <t>Pires Mendonça - ME</t>
  </si>
  <si>
    <t>Cefalexina Xarope 120ml - Eurofarma</t>
  </si>
  <si>
    <t>Nimesulida Suspensão Oral 50ml - Medley (Genérico)</t>
  </si>
  <si>
    <t>Fluoxetina 1g - 10 Comprimidos - EMS (Genérico)</t>
  </si>
  <si>
    <t>Pastor</t>
  </si>
  <si>
    <t>Amoxicilina 25mg - 30 Comprimidos - EMS (Genérico)</t>
  </si>
  <si>
    <t>Lenço Umedecido Mió Tamanho M (40 un)</t>
  </si>
  <si>
    <t>Azitromicina 1g - 10 Comprimidos - EMS (Genérico)</t>
  </si>
  <si>
    <t>Atenolol 50mg - 30 Comprimidos - Aché</t>
  </si>
  <si>
    <t>Rezende Pimenta e Filhos</t>
  </si>
  <si>
    <t>Vacina contra Insônia - Dose Única</t>
  </si>
  <si>
    <t>Água Micelar Colgate 500ml</t>
  </si>
  <si>
    <t>Vacina contra Bipolaridade - Dose Única</t>
  </si>
  <si>
    <t>Vacina contra Enxaqueca - Dose Única</t>
  </si>
  <si>
    <t>Amoxicilina Suspensão Oral 50ml - Bayer</t>
  </si>
  <si>
    <t>Diclofenaco Suspensão Oral 50ml - Medley (Genérico)</t>
  </si>
  <si>
    <t>Clonazepam Pomada 30g - Aché</t>
  </si>
  <si>
    <t>Paracetamol 500mg - 20 Comprimidos - EMS (Genérico)</t>
  </si>
  <si>
    <t>Atenolol 1g - 10 Comprimidos - Medley (Genérico)</t>
  </si>
  <si>
    <t>da Paz Cassiano e Filhos</t>
  </si>
  <si>
    <t>da Mata</t>
  </si>
  <si>
    <t>Pomada para Assaduras Dove FPS 70</t>
  </si>
  <si>
    <t>Sérum Vitamina C Nivea 500ml</t>
  </si>
  <si>
    <t>Vacina contra Rinite - Reforço</t>
  </si>
  <si>
    <t>Paracetamol 500mg - 20 Comprimidos - Medley (Genérico)</t>
  </si>
  <si>
    <t>Amoxicilina 500mg - 20 Comprimidos - Aché</t>
  </si>
  <si>
    <t>Escitalopram 500mg - 20 Comprimidos - Bayer</t>
  </si>
  <si>
    <t>Fluoxetina Xarope 120ml - Medley (Genérico)</t>
  </si>
  <si>
    <t>Absorvente com Abas Sempre Livre 90g</t>
  </si>
  <si>
    <t>Pantoprazol Gotas 20ml - EMS (Genérico)</t>
  </si>
  <si>
    <t>Creme Dental Needs 200ml</t>
  </si>
  <si>
    <t>Amoxicilina 500mg - 20 Comprimidos - Bayer</t>
  </si>
  <si>
    <t>Sérum Vitamina C Rexona Tamanho G (32 un)</t>
  </si>
  <si>
    <t>Sildenafila Pomada 30g - Aché</t>
  </si>
  <si>
    <t>Pires</t>
  </si>
  <si>
    <t>Termômetro Digital CeraVe 50 Metros</t>
  </si>
  <si>
    <t>Vacina contra Conjuntivite - Dose Única</t>
  </si>
  <si>
    <t>Sinvastatina 1g - 10 Comprimidos - Medley (Genérico)</t>
  </si>
  <si>
    <t>Água Micelar Johnson's Tamanho M (40 un)</t>
  </si>
  <si>
    <t>Fluoxetina 25mg - 30 Comprimidos - Eurofarma</t>
  </si>
  <si>
    <t>Pastor Vieira - ME</t>
  </si>
  <si>
    <t>Soro Fisiológico Sempre Livre Tamanho M (40 un)</t>
  </si>
  <si>
    <t>Lenço Umedecido Bepantol 500ml</t>
  </si>
  <si>
    <t>Ibuprofeno Xarope 120ml - Eurofarma</t>
  </si>
  <si>
    <t>Atenolol 25mg - 30 Comprimidos - Medley (Genérico)</t>
  </si>
  <si>
    <t>Água Micelar CeraVe Tamanho G (32 un)</t>
  </si>
  <si>
    <t>Sousa Fogaça e Filhos</t>
  </si>
  <si>
    <t>Hastes Flexíveis (Cotonetes) G-Tech FPS 50</t>
  </si>
  <si>
    <t>Azitromicina 50mg - 30 Comprimidos - Aché</t>
  </si>
  <si>
    <t>Sildenafila 25mg - 30 Comprimidos - Eurofarma</t>
  </si>
  <si>
    <t>Vacina contra Artrose - Reforço</t>
  </si>
  <si>
    <t>Pereira</t>
  </si>
  <si>
    <t>Sabonete Líquido Rexona 90g</t>
  </si>
  <si>
    <t>Protetor Solar Facial Rexona 50g</t>
  </si>
  <si>
    <t>Dipirona Sódica 1g - 10 Comprimidos - EMS (Genérico)</t>
  </si>
  <si>
    <t>Losartana Potássica 500mg - 20 Comprimidos - EMS (Genérico)</t>
  </si>
  <si>
    <t>Fralda Descartável Needs 500ml</t>
  </si>
  <si>
    <t>Omeprazol 25mg - 30 Comprimidos - Neo Química (Genérico)</t>
  </si>
  <si>
    <t>Creme Hidratante La Roche-Posay 50g</t>
  </si>
  <si>
    <t>Enxaguante Bucal Vichy 50 Metros</t>
  </si>
  <si>
    <t>Lenço Umedecido Sempre Livre 150ml</t>
  </si>
  <si>
    <t>Losartana Potássica 50mg - 30 Comprimidos - Medley (Genérico)</t>
  </si>
  <si>
    <t>Gonçalves Nogueira S.A.</t>
  </si>
  <si>
    <t>Sertralina 50mg - 30 Comprimidos - Eurofarma</t>
  </si>
  <si>
    <t>Escitalopram Pomada 30g - Aché</t>
  </si>
  <si>
    <t>Sildenafila 25mg - 30 Comprimidos - Medley (Genérico)</t>
  </si>
  <si>
    <t>Escitalopram 1g - 10 Comprimidos - Eurofarma</t>
  </si>
  <si>
    <t>Cefalexina Xarope 120ml - EMS (Genérico)</t>
  </si>
  <si>
    <t>Enalapril Xarope 120ml - EMS (Genérico)</t>
  </si>
  <si>
    <t>Vacina contra Sinusite - Dose Única</t>
  </si>
  <si>
    <t>Sertralina Gotas 20ml - Aché</t>
  </si>
  <si>
    <t>Dipirona Sódica 50mg - 30 Comprimidos - Neo Química (Genérico)</t>
  </si>
  <si>
    <t>Condicionador Hidratação Mió 150ml</t>
  </si>
  <si>
    <t>Clonazepam Suspensão Oral 50ml - EMS (Genérico)</t>
  </si>
  <si>
    <t>Silveira</t>
  </si>
  <si>
    <t>Vacina contra Ansiedade - Reforço</t>
  </si>
  <si>
    <t>Hidroclorotiazida 50mg - 30 Comprimidos - Aché</t>
  </si>
  <si>
    <t>Vacina contra Vitiligo - Reforço</t>
  </si>
  <si>
    <t>Tadalafila 500mg - 20 Comprimidos - Neo Química (Genérico)</t>
  </si>
  <si>
    <t>Dipirona Sódica Gotas 20ml - EMS (Genérico)</t>
  </si>
  <si>
    <t>Vacina contra Insuficiência Cardíaca - Dose Única</t>
  </si>
  <si>
    <t>Costela Silveira - EI</t>
  </si>
  <si>
    <t>Hastes Flexíveis (Cotonetes) Panvel 150ml</t>
  </si>
  <si>
    <t>Fio Dental Huggies 50 Metros</t>
  </si>
  <si>
    <t>Loratadina 500mg - 20 Comprimidos - Aché</t>
  </si>
  <si>
    <t>Loratadina Xarope 120ml - EMS (Genérico)</t>
  </si>
  <si>
    <t>Pacheco S/A</t>
  </si>
  <si>
    <t>Omeprazol Gotas 20ml - Medley (Genérico)</t>
  </si>
  <si>
    <t>Shampoo Anticaspa Mió 90g</t>
  </si>
  <si>
    <t>Paracetamol 500mg - 20 Comprimidos - Bayer</t>
  </si>
  <si>
    <t>Paracetamol Gotas 20ml - Medley (Genérico)</t>
  </si>
  <si>
    <t>Enalapril 25mg - 30 Comprimidos - Eurofarma</t>
  </si>
  <si>
    <t>Escitalopram Suspensão Oral 50ml - Aché</t>
  </si>
  <si>
    <t>Fogaça</t>
  </si>
  <si>
    <t>Ibuprofeno 1g - 10 Comprimidos - Neo Química (Genérico)</t>
  </si>
  <si>
    <t>Mendes S/A</t>
  </si>
  <si>
    <t>Nimesulida Pomada 30g - Aché</t>
  </si>
  <si>
    <t>Sertralina Suspensão Oral 50ml - Aché</t>
  </si>
  <si>
    <t>Casa Grande</t>
  </si>
  <si>
    <t>Shampoo Anticaspa Aptamil 500ml</t>
  </si>
  <si>
    <t>Metformina 50mg - 30 Comprimidos - Eurofarma</t>
  </si>
  <si>
    <t>Diclofenaco Suspensão Oral 50ml - Bayer</t>
  </si>
  <si>
    <t>Vacina contra Epilepsia - Dose Única</t>
  </si>
  <si>
    <t>Vacina contra Trombose - Reforço</t>
  </si>
  <si>
    <t>Condicionador Hidratação La Roche-Posay 500ml</t>
  </si>
  <si>
    <t>Vacina contra Alzheimer - Dose Única</t>
  </si>
  <si>
    <t>Sabonete em Barra Clear Tamanho M (40 un)</t>
  </si>
  <si>
    <t>Escitalopram 1g - 10 Comprimidos - Medley (Genérico)</t>
  </si>
  <si>
    <t>Amoxicilina Xarope 120ml - Aché</t>
  </si>
  <si>
    <t>Omeprazol Gotas 20ml - Aché</t>
  </si>
  <si>
    <t>Desodorante Roll-on Needs 150ml</t>
  </si>
  <si>
    <t>da Paz Camargo Ltda.</t>
  </si>
  <si>
    <t>Vacina contra Hepatite B - Reforço</t>
  </si>
  <si>
    <t>Sabonete em Barra Needs 400ml</t>
  </si>
  <si>
    <t>Enalapril 1g - 10 Comprimidos - Neo Química (Genérico)</t>
  </si>
  <si>
    <t>Absorvente com Abas Johnson's 150ml</t>
  </si>
  <si>
    <t>Vacina contra Insuficiência Renal - Reforço</t>
  </si>
  <si>
    <t>Vacina contra Úlcera - Reforço</t>
  </si>
  <si>
    <t>Fluoxetina 500mg - 20 Comprimidos - Neo Química (Genérico)</t>
  </si>
  <si>
    <t>Condicionador Hidratação Sempre Livre 50g</t>
  </si>
  <si>
    <t>Sampaio</t>
  </si>
  <si>
    <t>Gomes e Filhos</t>
  </si>
  <si>
    <t>Pantoprazol 50mg - 30 Comprimidos - Medley (Genérico)</t>
  </si>
  <si>
    <t>Leite em Pó Infantil Nivea FPS 50</t>
  </si>
  <si>
    <t>Absorvente com Abas Johnson's FPS 50</t>
  </si>
  <si>
    <t>Creme Hidratante Dove 200ml</t>
  </si>
  <si>
    <t>Vacina contra Depressão - Reforço</t>
  </si>
  <si>
    <t>Montenegro</t>
  </si>
  <si>
    <t>Paracetamol Gotas 20ml - EMS (Genérico)</t>
  </si>
  <si>
    <t>Dipirona Sódica Gotas 20ml - Medley (Genérico)</t>
  </si>
  <si>
    <t>Amoxicilina Gotas 20ml - Eurofarma</t>
  </si>
  <si>
    <t>Lenço Umedecido Clear FPS 70</t>
  </si>
  <si>
    <t>Diclofenaco Pomada 30g - Medley (Genérico)</t>
  </si>
  <si>
    <t>Fonseca</t>
  </si>
  <si>
    <t>Losartana Potássica Pomada 30g - Eurofarma</t>
  </si>
  <si>
    <t>Sildenafila Pomada 30g - Neo Química (Genérico)</t>
  </si>
  <si>
    <t>Tadalafila 500mg - 20 Comprimidos - Eurofarma</t>
  </si>
  <si>
    <t>Pantoprazol 50mg - 30 Comprimidos - Aché</t>
  </si>
  <si>
    <t>Diclofenaco Pomada 30g - Bayer</t>
  </si>
  <si>
    <t>Azitromicina Xarope 120ml - Eurofarma</t>
  </si>
  <si>
    <t>Água Micelar Pampers FPS 50</t>
  </si>
  <si>
    <t>Diclofenaco 1g - 10 Comprimidos - Neo Química (Genérico)</t>
  </si>
  <si>
    <t>Sérum Vitamina C Dove 90g</t>
  </si>
  <si>
    <t>Nimesulida 1g - 10 Comprimidos - Medley (Genérico)</t>
  </si>
  <si>
    <t>Escitalopram Pomada 30g - Bayer</t>
  </si>
  <si>
    <t>Caldeira S/A</t>
  </si>
  <si>
    <t>Água Micelar Dove 90g</t>
  </si>
  <si>
    <t>Azitromicina 500mg - 20 Comprimidos - Bayer</t>
  </si>
  <si>
    <t>Absorvente com Abas Colgate 500ml</t>
  </si>
  <si>
    <t>Protetor Solar Facial CeraVe FPS 50</t>
  </si>
  <si>
    <t>Omeprazol Suspensão Oral 50ml - Aché</t>
  </si>
  <si>
    <t>Pomada para Assaduras Panvel 400ml</t>
  </si>
  <si>
    <t>Rios</t>
  </si>
  <si>
    <t>Diclofenaco 25mg - 30 Comprimidos - Aché</t>
  </si>
  <si>
    <t>Curativos (Band-Aid) Mió FPS 50</t>
  </si>
  <si>
    <t>Creme Dental Dove 50 Metros</t>
  </si>
  <si>
    <t>Vacina contra Dengue - Reforço</t>
  </si>
  <si>
    <t>Omeprazol 50mg - 30 Comprimidos - Neo Química (Genérico)</t>
  </si>
  <si>
    <t>Termômetro Digital Needs 50g</t>
  </si>
  <si>
    <t>Clonazepam Gotas 20ml - Medley (Genérico)</t>
  </si>
  <si>
    <t>Cirino</t>
  </si>
  <si>
    <t>Atenolol 500mg - 20 Comprimidos - Neo Química (Genérico)</t>
  </si>
  <si>
    <t>Fio Dental Nivea Tamanho M (40 un)</t>
  </si>
  <si>
    <t>Costa</t>
  </si>
  <si>
    <t>Sertralina 1g - 10 Comprimidos - EMS (Genérico)</t>
  </si>
  <si>
    <t>Losartana Potássica 50mg - 30 Comprimidos - Aché</t>
  </si>
  <si>
    <t>Enxaguante Bucal Bepantol Tamanho M (40 un)</t>
  </si>
  <si>
    <t>Vacina contra Refluxo - Dose Única</t>
  </si>
  <si>
    <t>Absorvente com Abas G-Tech 90g</t>
  </si>
  <si>
    <t>Caldeira</t>
  </si>
  <si>
    <t>Cefalexina Pomada 30g - Neo Química (Genérico)</t>
  </si>
  <si>
    <t>Escitalopram Suspensão Oral 50ml - Eurofarma</t>
  </si>
  <si>
    <t>Loratadina Xarope 120ml - Bayer</t>
  </si>
  <si>
    <t>Cefalexina 500mg - 20 Comprimidos - Neo Química (Genérico)</t>
  </si>
  <si>
    <t>Hastes Flexíveis (Cotonetes) Aptamil Tamanho M (40 un)</t>
  </si>
  <si>
    <t>Mendes - ME</t>
  </si>
  <si>
    <t>Macedo</t>
  </si>
  <si>
    <t>Hidroclorotiazida 500mg - 20 Comprimidos - Bayer</t>
  </si>
  <si>
    <t>Amoxicilina 50mg - 30 Comprimidos - Bayer</t>
  </si>
  <si>
    <t>Fralda Descartável Johnson's 400ml</t>
  </si>
  <si>
    <t>Hidroclorotiazida 1g - 10 Comprimidos - Eurofarma</t>
  </si>
  <si>
    <t>Termômetro Digital Rexona 400ml</t>
  </si>
  <si>
    <t>Desodorante Aerosol Listerine 90g</t>
  </si>
  <si>
    <t>Curativos (Band-Aid) Listerine FPS 70</t>
  </si>
  <si>
    <t>Dipirona Sódica 1g - 10 Comprimidos - Neo Química (Genérico)</t>
  </si>
  <si>
    <t>Novaes - EI</t>
  </si>
  <si>
    <t>Pomada para Assaduras Colgate FPS 70</t>
  </si>
  <si>
    <t>Azitromicina 500mg - 20 Comprimidos - Neo Química (Genérico)</t>
  </si>
  <si>
    <t>Cefalexina 25mg - 30 Comprimidos - EMS (Genérico)</t>
  </si>
  <si>
    <t>Cavalcanti Borges Ltda.</t>
  </si>
  <si>
    <t>Losartana Potássica 1g - 10 Comprimidos - Bayer</t>
  </si>
  <si>
    <t>Lopes Martins - ME</t>
  </si>
  <si>
    <t>Cefalexina 500mg - 20 Comprimidos - EMS (Genérico)</t>
  </si>
  <si>
    <t>Diclofenaco Xarope 120ml - Eurofarma</t>
  </si>
  <si>
    <t>Brito Viana e Filhos</t>
  </si>
  <si>
    <t>Vacina contra Câncer de Pulmão - Reforço</t>
  </si>
  <si>
    <t>Vargas</t>
  </si>
  <si>
    <t>Vacina contra Dermatite - Reforço</t>
  </si>
  <si>
    <t>Absorvente com Abas La Roche-Posay Tamanho G (32 un)</t>
  </si>
  <si>
    <t>Losartana Potássica 25mg - 30 Comprimidos - EMS (Genérico)</t>
  </si>
  <si>
    <t>Leite em Pó Infantil Mió FPS 50</t>
  </si>
  <si>
    <t>Vacina contra Hepatite C - Dose Única</t>
  </si>
  <si>
    <t>Escitalopram 500mg - 20 Comprimidos - Medley (Genérico)</t>
  </si>
  <si>
    <t>Clonazepam 1g - 10 Comprimidos - Aché</t>
  </si>
  <si>
    <t>Protetor Solar Corporal Listerine FPS 70</t>
  </si>
  <si>
    <t>Dipirona Sódica 500mg - 20 Comprimidos - EMS (Genérico)</t>
  </si>
  <si>
    <t>Termômetro Digital La Roche-Posay 500ml</t>
  </si>
  <si>
    <t>da Mata Ltda.</t>
  </si>
  <si>
    <t>Sinvastatina 1g - 10 Comprimidos - Eurofarma</t>
  </si>
  <si>
    <t>Vacina contra Resfriado - Dose Única</t>
  </si>
  <si>
    <t>Cefalexina Pomada 30g - Medley (Genérico)</t>
  </si>
  <si>
    <t>Rezende</t>
  </si>
  <si>
    <t>Diclofenaco Gotas 20ml - Bayer</t>
  </si>
  <si>
    <t>Ibuprofeno 500mg - 20 Comprimidos - EMS (Genérico)</t>
  </si>
  <si>
    <t>da Conceição S/A</t>
  </si>
  <si>
    <t>Paracetamol Suspensão Oral 50ml - Bayer</t>
  </si>
  <si>
    <t>Vacina contra Gota - Dose Única</t>
  </si>
  <si>
    <t>Vacina contra Gota - Reforço</t>
  </si>
  <si>
    <t>Azitromicina Xarope 120ml - Neo Química (Genérico)</t>
  </si>
  <si>
    <t>Paracetamol Xarope 120ml - EMS (Genérico)</t>
  </si>
  <si>
    <t>da Rocha</t>
  </si>
  <si>
    <t>Omeprazol Suspensão Oral 50ml - Bayer</t>
  </si>
  <si>
    <t>Almeida</t>
  </si>
  <si>
    <t>Diclofenaco Gotas 20ml - Neo Química (Genérico)</t>
  </si>
  <si>
    <t>Creme Dental Clear 50g</t>
  </si>
  <si>
    <t>Protetor Solar Corporal Panvel 50g</t>
  </si>
  <si>
    <t>Campos da Costa - ME</t>
  </si>
  <si>
    <t>Vacina contra Câncer de Próstata - Reforço</t>
  </si>
  <si>
    <t>Fonseca S/A</t>
  </si>
  <si>
    <t>Metformina Xarope 120ml - Bayer</t>
  </si>
  <si>
    <t>Enxaguante Bucal Nivea Tamanho M (40 un)</t>
  </si>
  <si>
    <t>Amoxicilina 1g - 10 Comprimidos - Bayer</t>
  </si>
  <si>
    <t>Escitalopram Gotas 20ml - Aché</t>
  </si>
  <si>
    <t>Fluoxetina 50mg - 30 Comprimidos - EMS (Genérico)</t>
  </si>
  <si>
    <t>Loratadina Gotas 20ml - Medley (Genérico)</t>
  </si>
  <si>
    <t>Loratadina Suspensão Oral 50ml - Medley (Genérico)</t>
  </si>
  <si>
    <t>Azitromicina Pomada 30g - Medley (Genérico)</t>
  </si>
  <si>
    <t>Dipirona Sódica 1g - 10 Comprimidos - Bayer</t>
  </si>
  <si>
    <t>Hidroclorotiazida 500mg - 20 Comprimidos - Neo Química (Genérico)</t>
  </si>
  <si>
    <t>Rodrigues S/A</t>
  </si>
  <si>
    <t>Vacina contra Artrite - Reforço</t>
  </si>
  <si>
    <t>Paracetamol Pomada 30g - Bayer</t>
  </si>
  <si>
    <t>Siqueira - ME</t>
  </si>
  <si>
    <t>Sildenafila 500mg - 20 Comprimidos - Medley (Genérico)</t>
  </si>
  <si>
    <t>Sertralina 50mg - 30 Comprimidos - Bayer</t>
  </si>
  <si>
    <t>Enalapril Suspensão Oral 50ml - Aché</t>
  </si>
  <si>
    <t>Ibuprofeno Suspensão Oral 50ml - Eurofarma</t>
  </si>
  <si>
    <t>Clonazepam 1g - 10 Comprimidos - Eurofarma</t>
  </si>
  <si>
    <t>Paracetamol 1g - 10 Comprimidos - Bayer</t>
  </si>
  <si>
    <t>Dipirona Sódica 500mg - 20 Comprimidos - Aché</t>
  </si>
  <si>
    <t>Pereira S.A.</t>
  </si>
  <si>
    <t>Termômetro Digital Aptamil 400ml</t>
  </si>
  <si>
    <t>Hidroclorotiazida 1g - 10 Comprimidos - Bayer</t>
  </si>
  <si>
    <t>Omeprazol 500mg - 20 Comprimidos - Neo Química (Genérico)</t>
  </si>
  <si>
    <t>Loratadina 50mg - 30 Comprimidos - Neo Química (Genérico)</t>
  </si>
  <si>
    <t>Clonazepam 50mg - 30 Comprimidos - Bayer</t>
  </si>
  <si>
    <t>Dipirona Sódica Gotas 20ml - Eurofarma</t>
  </si>
  <si>
    <t>Protetor Solar Facial CeraVe FPS 70</t>
  </si>
  <si>
    <t>Dipirona Sódica Suspensão Oral 50ml - Neo Química (Genérico)</t>
  </si>
  <si>
    <t>Monteiro</t>
  </si>
  <si>
    <t>Diclofenaco 50mg - 30 Comprimidos - Neo Química (Genérico)</t>
  </si>
  <si>
    <t>Sinvastatina Xarope 120ml - EMS (Genérico)</t>
  </si>
  <si>
    <t>Azitromicina Suspensão Oral 50ml - Aché</t>
  </si>
  <si>
    <t>Creme Hidratante G-Tech Tamanho G (32 un)</t>
  </si>
  <si>
    <t>Shampoo Anticaspa Panvel Tamanho G (32 un)</t>
  </si>
  <si>
    <t>Dias e Filhos</t>
  </si>
  <si>
    <t>Azitromicina 50mg - 30 Comprimidos - Bayer</t>
  </si>
  <si>
    <t>Condicionador Hidratação Huggies 90g</t>
  </si>
  <si>
    <t>Moraes</t>
  </si>
  <si>
    <t>Termômetro Digital G-Tech Tamanho M (40 un)</t>
  </si>
  <si>
    <t>Rocha e Filhos</t>
  </si>
  <si>
    <t>Losartana Potássica 1g - 10 Comprimidos - Medley (Genérico)</t>
  </si>
  <si>
    <t>Diclofenaco Xarope 120ml - Aché</t>
  </si>
  <si>
    <t>Loratadina Suspensão Oral 50ml - Neo Química (Genérico)</t>
  </si>
  <si>
    <t>Silva - EI</t>
  </si>
  <si>
    <t>Vacina contra Insuficiência Renal - Dose Única</t>
  </si>
  <si>
    <t>da Cunha</t>
  </si>
  <si>
    <t>Sildenafila 1g - 10 Comprimidos - Neo Química (Genérico)</t>
  </si>
  <si>
    <t>Metformina 1g - 10 Comprimidos - Aché</t>
  </si>
  <si>
    <t>Fralda Descartável Sempre Livre 50 Metros</t>
  </si>
  <si>
    <t>Amoxicilina 25mg - 30 Comprimidos - Medley (Genérico)</t>
  </si>
  <si>
    <t>Pomada para Assaduras Huggies Tamanho G (32 un)</t>
  </si>
  <si>
    <t>Vacina contra Hepatite A - Dose Única</t>
  </si>
  <si>
    <t>Fio Dental Needs FPS 50</t>
  </si>
  <si>
    <t>Loratadina 500mg - 20 Comprimidos - Bayer</t>
  </si>
  <si>
    <t>Machado - ME</t>
  </si>
  <si>
    <t>Diclofenaco Suspensão Oral 50ml - Neo Química (Genérico)</t>
  </si>
  <si>
    <t>Enxaguante Bucal Pampers 500ml</t>
  </si>
  <si>
    <t>Cefalexina Suspensão Oral 50ml - Neo Química (Genérico)</t>
  </si>
  <si>
    <t>Sabonete em Barra Nivea 500ml</t>
  </si>
  <si>
    <t>Enxaguante Bucal Pampers 200ml</t>
  </si>
  <si>
    <t>Sinvastatina Gotas 20ml - Bayer</t>
  </si>
  <si>
    <t>Azitromicina 25mg - 30 Comprimidos - Aché</t>
  </si>
  <si>
    <t>Sérum Vitamina C Johnson's 500ml</t>
  </si>
  <si>
    <t>Clonazepam Gotas 20ml - Bayer</t>
  </si>
  <si>
    <t>Dipirona Sódica Suspensão Oral 50ml - Aché</t>
  </si>
  <si>
    <t>Pomada para Assaduras Nivea 90g</t>
  </si>
  <si>
    <t>Loratadina 1g - 10 Comprimidos - Aché</t>
  </si>
  <si>
    <t>Loratadina 25mg - 30 Comprimidos - Eurofarma</t>
  </si>
  <si>
    <t>Pantoprazol 25mg - 30 Comprimidos - Eurofarma</t>
  </si>
  <si>
    <t>Lenço Umedecido Huggies Tamanho M (40 un)</t>
  </si>
  <si>
    <t>Amoxicilina Suspensão Oral 50ml - Neo Química (Genérico)</t>
  </si>
  <si>
    <t>Condicionador Hidratação La Roche-Posay 150ml</t>
  </si>
  <si>
    <t>Sérum Vitamina C Johnson's FPS 70</t>
  </si>
  <si>
    <t>Escitalopram 50mg - 30 Comprimidos - Bayer</t>
  </si>
  <si>
    <t>Porto e Filhos</t>
  </si>
  <si>
    <t>Diclofenaco 500mg - 20 Comprimidos - Aché</t>
  </si>
  <si>
    <t>Loratadina Xarope 120ml - Medley (Genérico)</t>
  </si>
  <si>
    <t>Creme Hidratante Nivea Tamanho M (40 un)</t>
  </si>
  <si>
    <t>Curativos (Band-Aid) Clear 400ml</t>
  </si>
  <si>
    <t>Vacina contra Obesidade - Reforço</t>
  </si>
  <si>
    <t>Enalapril 50mg - 30 Comprimidos - Bayer</t>
  </si>
  <si>
    <t>Diclofenaco 50mg - 30 Comprimidos - EMS (Genérico)</t>
  </si>
  <si>
    <t>Correia Alves - EI</t>
  </si>
  <si>
    <t>Leite em Pó Infantil CeraVe 400ml</t>
  </si>
  <si>
    <t>Protetor Solar Facial Rexona Tamanho G (32 un)</t>
  </si>
  <si>
    <t>Vacina contra Acne - Reforço</t>
  </si>
  <si>
    <t>Vacina contra Pedra nos Rins - Reforço</t>
  </si>
  <si>
    <t>Atenolol Pomada 30g - Neo Química (Genérico)</t>
  </si>
  <si>
    <t>Hastes Flexíveis (Cotonetes) La Roche-Posay 150ml</t>
  </si>
  <si>
    <t>Hidroclorotiazida 25mg - 30 Comprimidos - Neo Química (Genérico)</t>
  </si>
  <si>
    <t>Sildenafila Xarope 120ml - Eurofarma</t>
  </si>
  <si>
    <t>Nimesulida Xarope 120ml - Eurofarma</t>
  </si>
  <si>
    <t>Castro da Rosa - EI</t>
  </si>
  <si>
    <t>Metformina Pomada 30g - Neo Química (Genérico)</t>
  </si>
  <si>
    <t>Paracetamol Pomada 30g - Medley (Genérico)</t>
  </si>
  <si>
    <t>Vasconcelos</t>
  </si>
  <si>
    <t>Álcool em Gel 70% Nivea 500ml</t>
  </si>
  <si>
    <t>Álcool em Gel 70% Pampers 400ml</t>
  </si>
  <si>
    <t>Hidroclorotiazida Suspensão Oral 50ml - Bayer</t>
  </si>
  <si>
    <t>Pantoprazol Gotas 20ml - Medley (Genérico)</t>
  </si>
  <si>
    <t>Ibuprofeno Gotas 20ml - EMS (Genérico)</t>
  </si>
  <si>
    <t>Pantoprazol Pomada 30g - Eurofarma</t>
  </si>
  <si>
    <t>Cardoso</t>
  </si>
  <si>
    <t>Fluoxetina Suspensão Oral 50ml - Bayer</t>
  </si>
  <si>
    <t>Martins S/A</t>
  </si>
  <si>
    <t>Termômetro Digital Vichy 50g</t>
  </si>
  <si>
    <t>Nogueira</t>
  </si>
  <si>
    <t>Vacina contra Infecção Urinária - Reforço</t>
  </si>
  <si>
    <t>Hastes Flexíveis (Cotonetes) Mió 150ml</t>
  </si>
  <si>
    <t>Cefalexina Gotas 20ml - Medley (Genérico)</t>
  </si>
  <si>
    <t>Fernandes Alves S/A</t>
  </si>
  <si>
    <t>Costela</t>
  </si>
  <si>
    <t>Pantoprazol Gotas 20ml - Bayer</t>
  </si>
  <si>
    <t>Pantoprazol 25mg - 30 Comprimidos - Aché</t>
  </si>
  <si>
    <t>Sá</t>
  </si>
  <si>
    <t>Atenolol Xarope 120ml - Eurofarma</t>
  </si>
  <si>
    <t>Machado e Filhos</t>
  </si>
  <si>
    <t>Hidroclorotiazida Xarope 120ml - Medley (Genérico)</t>
  </si>
  <si>
    <t>Cavalcante Marques S/A</t>
  </si>
  <si>
    <t>Sildenafila Gotas 20ml - Bayer</t>
  </si>
  <si>
    <t>Sinvastatina 50mg - 30 Comprimidos - Neo Química (Genérico)</t>
  </si>
  <si>
    <t>Vacina contra Hipotireoidismo - Dose Única</t>
  </si>
  <si>
    <t>Costa - EI</t>
  </si>
  <si>
    <t>Condicionador Hidratação Johnson's 500ml</t>
  </si>
  <si>
    <t>Hastes Flexíveis (Cotonetes) Colgate 50g</t>
  </si>
  <si>
    <t>Termômetro Digital Listerine 400ml</t>
  </si>
  <si>
    <t>Pantoprazol Xarope 120ml - Bayer</t>
  </si>
  <si>
    <t>Creme Dental Mió 150ml</t>
  </si>
  <si>
    <t>Vacina contra Pneumonia - Dose Única</t>
  </si>
  <si>
    <t>Vacina contra Leucemia - Dose Única</t>
  </si>
  <si>
    <t>Cassiano</t>
  </si>
  <si>
    <t>Sabonete Líquido Sempre Livre FPS 50</t>
  </si>
  <si>
    <t>Oliveira Silva S.A.</t>
  </si>
  <si>
    <t>Lima</t>
  </si>
  <si>
    <t>Pomada para Assaduras Rexona 400ml</t>
  </si>
  <si>
    <t>Sinvastatina 1g - 10 Comprimidos - EMS (Genérico)</t>
  </si>
  <si>
    <t>Fio Dental Sempre Livre 50 Metros</t>
  </si>
  <si>
    <t>Soro Fisiológico Nivea 50g</t>
  </si>
  <si>
    <t>Escitalopram 500mg - 20 Comprimidos - Aché</t>
  </si>
  <si>
    <t>Termômetro Digital Colgate 500ml</t>
  </si>
  <si>
    <t>Souza Cunha Ltda.</t>
  </si>
  <si>
    <t>Diclofenaco Gotas 20ml - Eurofarma</t>
  </si>
  <si>
    <t>Barbosa</t>
  </si>
  <si>
    <t>Enalapril Gotas 20ml - Medley (Genérico)</t>
  </si>
  <si>
    <t>Paracetamol 50mg - 30 Comprimidos - Aché</t>
  </si>
  <si>
    <t>Dipirona Sódica Xarope 120ml - Eurofarma</t>
  </si>
  <si>
    <t>Alves S/A</t>
  </si>
  <si>
    <t>Ibuprofeno 50mg - 30 Comprimidos - Medley (Genérico)</t>
  </si>
  <si>
    <t>Campos S/A</t>
  </si>
  <si>
    <t>Santos</t>
  </si>
  <si>
    <t>Sales - ME</t>
  </si>
  <si>
    <t>Fralda Descartável Nivea FPS 50</t>
  </si>
  <si>
    <t>Desodorante Roll-on Mió FPS 50</t>
  </si>
  <si>
    <t>Vacina contra Asma - Reforço</t>
  </si>
  <si>
    <t>Sabonete em Barra La Roche-Posay 150ml</t>
  </si>
  <si>
    <t>Lenço Umedecido Mió Tamanho G (32 un)</t>
  </si>
  <si>
    <t>Protetor Solar Facial Vichy Tamanho G (32 un)</t>
  </si>
  <si>
    <t>Clonazepam Xarope 120ml - Aché</t>
  </si>
  <si>
    <t>Sertralina 1g - 10 Comprimidos - Bayer</t>
  </si>
  <si>
    <t>Sinvastatina Suspensão Oral 50ml - Bayer</t>
  </si>
  <si>
    <t>Pantoprazol Pomada 30g - EMS (Genérico)</t>
  </si>
  <si>
    <t>Vacina contra Otite - Dose Única</t>
  </si>
  <si>
    <t>Tadalafila 500mg - 20 Comprimidos - Medley (Genérico)</t>
  </si>
  <si>
    <t>idreceita</t>
  </si>
  <si>
    <t>nomecliente</t>
  </si>
  <si>
    <t>valor_total_receita</t>
  </si>
  <si>
    <t>Isaque Albuquerque</t>
  </si>
  <si>
    <t>Enrico Freitas</t>
  </si>
  <si>
    <t>Dra. Alana Moreira</t>
  </si>
  <si>
    <t>Thiago Rezende</t>
  </si>
  <si>
    <t>Brenda da Paz</t>
  </si>
  <si>
    <t>Sr. Otávio Nunes</t>
  </si>
  <si>
    <t>Luiz Felipe Farias</t>
  </si>
  <si>
    <t>Dr. João Lucas Cavalcante</t>
  </si>
  <si>
    <t>Yasmin Pinto</t>
  </si>
  <si>
    <t>Ana Vitória Abreu</t>
  </si>
  <si>
    <t>Sr. Henry Gomes</t>
  </si>
  <si>
    <t>Yan Correia</t>
  </si>
  <si>
    <t>Dr. Lucca Duarte</t>
  </si>
  <si>
    <t>Vinicius da Cruz</t>
  </si>
  <si>
    <t>Heitor Oliveira</t>
  </si>
  <si>
    <t>Sabonete em Barra Nivea Tamanho M (40 un)</t>
  </si>
  <si>
    <t>Sr. Juan Cunha</t>
  </si>
  <si>
    <t>Miguel Nogueira</t>
  </si>
  <si>
    <t>Allana Araújo</t>
  </si>
  <si>
    <t>Dr. Mathias Guerra</t>
  </si>
  <si>
    <t>Léo Gonçalves</t>
  </si>
  <si>
    <t>Sophia Dias</t>
  </si>
  <si>
    <t>Leonardo Correia</t>
  </si>
  <si>
    <t>Srta. Elisa Vargas</t>
  </si>
  <si>
    <t>Guilherme Costela</t>
  </si>
  <si>
    <t>Maria Isis Silveira</t>
  </si>
  <si>
    <t>Ian Cardoso</t>
  </si>
  <si>
    <t>Theodoro Santos</t>
  </si>
  <si>
    <t>André Costela</t>
  </si>
  <si>
    <t>Catarina Cirino</t>
  </si>
  <si>
    <t>Alice Pimenta</t>
  </si>
  <si>
    <t>Dr. Ryan Garcia</t>
  </si>
  <si>
    <t>Cauã Dias</t>
  </si>
  <si>
    <t>Vicente Silveira</t>
  </si>
  <si>
    <t>Maria Luísa Garcia</t>
  </si>
  <si>
    <t>Ana Carolina Martins</t>
  </si>
  <si>
    <t>Júlia Oliveira</t>
  </si>
  <si>
    <t>Maria Cecília Rocha</t>
  </si>
  <si>
    <t>Matteo Correia</t>
  </si>
  <si>
    <t>Heloísa Nascimento</t>
  </si>
  <si>
    <t>Dr. Benjamim Gonçalves</t>
  </si>
  <si>
    <t>Anthony Gabriel Montenegro</t>
  </si>
  <si>
    <t>Dr. Otto Lopes</t>
  </si>
  <si>
    <t>Davi Lucas Gomes</t>
  </si>
  <si>
    <t>Srta. Júlia Santos</t>
  </si>
  <si>
    <t>Aurora Nogueira</t>
  </si>
  <si>
    <t>Srta. Amanda Costela</t>
  </si>
  <si>
    <t>Lorena Cunha</t>
  </si>
  <si>
    <t>Dr. João Gabriel Nunes</t>
  </si>
  <si>
    <t>Maria Fernanda Cavalcanti</t>
  </si>
  <si>
    <t>Sra. Maria Julia Abreu</t>
  </si>
  <si>
    <t>Diego Siqueira</t>
  </si>
  <si>
    <t>Apollo Costa</t>
  </si>
  <si>
    <t>Heloísa Viana</t>
  </si>
  <si>
    <t>Caio Pacheco</t>
  </si>
  <si>
    <t>Rael Silva</t>
  </si>
  <si>
    <t>Sr. Benjamim Novais</t>
  </si>
  <si>
    <t>Sra. Agatha Pacheco</t>
  </si>
  <si>
    <t>Eduardo da Cunha</t>
  </si>
  <si>
    <t>Miguel Câmara</t>
  </si>
  <si>
    <t>Vitor Hugo Nunes</t>
  </si>
  <si>
    <t>Valentina Novaes</t>
  </si>
  <si>
    <t>Esther Pimenta</t>
  </si>
  <si>
    <t>Liz Fonseca</t>
  </si>
  <si>
    <t>Melissa Araújo</t>
  </si>
  <si>
    <t>Aylla Brito</t>
  </si>
  <si>
    <t>Lorenzo das Neves</t>
  </si>
  <si>
    <t>Ravi Lucca Fogaça</t>
  </si>
  <si>
    <t>Aurora da Rocha</t>
  </si>
  <si>
    <t>Matteo Araújo</t>
  </si>
  <si>
    <t>João Felipe Novaes</t>
  </si>
  <si>
    <t>Isabella Ribeiro</t>
  </si>
  <si>
    <t>Dr. Noah Porto</t>
  </si>
  <si>
    <t>Milena da Rocha</t>
  </si>
  <si>
    <t>Enzo Farias</t>
  </si>
  <si>
    <t>Rhavi Viana</t>
  </si>
  <si>
    <t>Julia Cavalcanti</t>
  </si>
  <si>
    <t>Kamilly da Conceição</t>
  </si>
  <si>
    <t>Davi Lucas Dias</t>
  </si>
  <si>
    <t>Heloísa da Cunha</t>
  </si>
  <si>
    <t>Aurora das Neves</t>
  </si>
  <si>
    <t>Sra. Manuela Cirino</t>
  </si>
  <si>
    <t>Dra. Nicole Fogaça</t>
  </si>
  <si>
    <t>Ester Pacheco</t>
  </si>
  <si>
    <t>Marina Lima</t>
  </si>
  <si>
    <t>Lavínia Andrade</t>
  </si>
  <si>
    <t>Henry da Rocha</t>
  </si>
  <si>
    <t>Caio Montenegro</t>
  </si>
  <si>
    <t>Augusto Silva</t>
  </si>
  <si>
    <t>Larissa Santos</t>
  </si>
  <si>
    <t>Bento Lima</t>
  </si>
  <si>
    <t>Dr. Diogo Silveira</t>
  </si>
  <si>
    <t>Anthony Gabriel Melo</t>
  </si>
  <si>
    <t>Isabel Vasconcelos</t>
  </si>
  <si>
    <t>Natália Souza</t>
  </si>
  <si>
    <t>Luiza Aparecida</t>
  </si>
  <si>
    <t>Maria Julia Dias</t>
  </si>
  <si>
    <t>Juliana Oliveira</t>
  </si>
  <si>
    <t>Olívia Novais</t>
  </si>
  <si>
    <t>Sr. Benjamim Nascimento</t>
  </si>
  <si>
    <t>Antony Dias</t>
  </si>
  <si>
    <t>Mathias da Rosa</t>
  </si>
  <si>
    <t>Marcos Vinicius Guerra</t>
  </si>
  <si>
    <t>João Gabriel Santos</t>
  </si>
  <si>
    <t>Milena Cardoso</t>
  </si>
  <si>
    <t>Otávio da Rocha</t>
  </si>
  <si>
    <t>Francisco Sales</t>
  </si>
  <si>
    <t>Lorenzo Cassiano</t>
  </si>
  <si>
    <t>Juan da Paz</t>
  </si>
  <si>
    <t>Rebeca Brito</t>
  </si>
  <si>
    <t>Anthony Gabriel Pacheco</t>
  </si>
  <si>
    <t>André Cardoso</t>
  </si>
  <si>
    <t>Théo Fogaça</t>
  </si>
  <si>
    <t>Lucas Gabriel Melo</t>
  </si>
  <si>
    <t>Lorena Duarte</t>
  </si>
  <si>
    <t>João Guilherme Marques</t>
  </si>
  <si>
    <t>Ana Júlia Vieira</t>
  </si>
  <si>
    <t>Leandro Correia</t>
  </si>
  <si>
    <t>Francisco Cavalcanti</t>
  </si>
  <si>
    <t>Maria Fernanda da Cunha</t>
  </si>
  <si>
    <t>Maya Pereira</t>
  </si>
  <si>
    <t>Sr. Valentim Pastor</t>
  </si>
  <si>
    <t>Sra. Ana Vitória Jesus</t>
  </si>
  <si>
    <t>Levi Araújo</t>
  </si>
  <si>
    <t>Maria Helena da Rocha</t>
  </si>
  <si>
    <t>Valentim Aparecida</t>
  </si>
  <si>
    <t>Dante Gomes</t>
  </si>
  <si>
    <t>Clonazepam 1g - 10 Comprimidos - Neo Química (Genérico)</t>
  </si>
  <si>
    <t>Luiz Miguel Macedo</t>
  </si>
  <si>
    <t>Dr. Luiz Otávio Rodrigues</t>
  </si>
  <si>
    <t>Emanuel Leão</t>
  </si>
  <si>
    <t>Isabelly Almeida</t>
  </si>
  <si>
    <t>Lívia da Cunha</t>
  </si>
  <si>
    <t>Enzo Gabriel Correia</t>
  </si>
  <si>
    <t>Marcelo Nascimento</t>
  </si>
  <si>
    <t>João Pedro Sá</t>
  </si>
  <si>
    <t>Allana Ramos</t>
  </si>
  <si>
    <t>Sara Alves</t>
  </si>
  <si>
    <t>Hadassa Costela</t>
  </si>
  <si>
    <t>Bella Souza</t>
  </si>
  <si>
    <t>Asafe Aparecida</t>
  </si>
  <si>
    <t>Sr. Dom Azevedo</t>
  </si>
  <si>
    <t>Yasmin Siqueira</t>
  </si>
  <si>
    <t>Melina Peixoto</t>
  </si>
  <si>
    <t>Laís Costa</t>
  </si>
  <si>
    <t>Sr. Theo Fernandes</t>
  </si>
  <si>
    <t>Fernanda Vieira</t>
  </si>
  <si>
    <t>Gustavo Henrique Caldeira</t>
  </si>
  <si>
    <t>Aurora Duarte</t>
  </si>
  <si>
    <t>Luiza Moreira</t>
  </si>
  <si>
    <t>Dra. Maria Liz Rocha</t>
  </si>
  <si>
    <t>Julia Marques</t>
  </si>
  <si>
    <t>Metformina Xarope 120ml - EMS (Genérico)</t>
  </si>
  <si>
    <t>Fernando Andrade</t>
  </si>
  <si>
    <t>Rhavi Rodrigues</t>
  </si>
  <si>
    <t>Maitê Rocha</t>
  </si>
  <si>
    <t>Sophie Dias</t>
  </si>
  <si>
    <t>Rael Machado</t>
  </si>
  <si>
    <t>Vitória Fernandes</t>
  </si>
  <si>
    <t>Heitor Vargas</t>
  </si>
  <si>
    <t>Igor Cassiano</t>
  </si>
  <si>
    <t>Renan Barbosa</t>
  </si>
  <si>
    <t>Igor Melo</t>
  </si>
  <si>
    <t>Lucca Guerra</t>
  </si>
  <si>
    <t>Dr. André Correia</t>
  </si>
  <si>
    <t>Alexandre Caldeira</t>
  </si>
  <si>
    <t>Bella Duarte</t>
  </si>
  <si>
    <t>Isis Nascimento</t>
  </si>
  <si>
    <t>Lívia Nunes</t>
  </si>
  <si>
    <t>Maria Júlia Cassiano</t>
  </si>
  <si>
    <t>Metformina Pomada 30g - Bayer</t>
  </si>
  <si>
    <t>Gael Azevedo</t>
  </si>
  <si>
    <t>João Lucas Jesus</t>
  </si>
  <si>
    <t>Rafaela Alves</t>
  </si>
  <si>
    <t>Dra. Ana Júlia Viana</t>
  </si>
  <si>
    <t>Srta. Laís Cassiano</t>
  </si>
  <si>
    <t>Maria Cecília Leão</t>
  </si>
  <si>
    <t>Dra. Vitória Almeida</t>
  </si>
  <si>
    <t>Luiz Henrique Sousa</t>
  </si>
  <si>
    <t>Vitor Gabriel da Conceição</t>
  </si>
  <si>
    <t>Natália Sousa</t>
  </si>
  <si>
    <t>Levi Carvalho</t>
  </si>
  <si>
    <t>Stephany Fogaça</t>
  </si>
  <si>
    <t>Ana Carolina Lima</t>
  </si>
  <si>
    <t>Dra. Ana Laura Peixoto</t>
  </si>
  <si>
    <t>Dra. Ana Liz Câmara</t>
  </si>
  <si>
    <t>Bruno Rezende</t>
  </si>
  <si>
    <t>João Lucas Rodrigues</t>
  </si>
  <si>
    <t>Enzo Castro</t>
  </si>
  <si>
    <t>Srta. Allana Silva</t>
  </si>
  <si>
    <t>Breno da Cruz</t>
  </si>
  <si>
    <t>Pietro Araújo</t>
  </si>
  <si>
    <t>Maria Rocha</t>
  </si>
  <si>
    <t>Ísis Moraes</t>
  </si>
  <si>
    <t>Dr. Miguel Pinto</t>
  </si>
  <si>
    <t>Hidroclorotiazida Gotas 20ml - Eurofarma</t>
  </si>
  <si>
    <t>Noah Pimenta</t>
  </si>
  <si>
    <t>Samuel Casa Grande</t>
  </si>
  <si>
    <t>Henry Araújo</t>
  </si>
  <si>
    <t>Luiz Miguel Duarte</t>
  </si>
  <si>
    <t>Olivia Leão</t>
  </si>
  <si>
    <t>Nicole Mendonça</t>
  </si>
  <si>
    <t>Elisa Jesus</t>
  </si>
  <si>
    <t>Caleb Cardoso</t>
  </si>
  <si>
    <t>Felipe Mendes</t>
  </si>
  <si>
    <t>Ryan Siqueira</t>
  </si>
  <si>
    <t>Ana Carolina Costela</t>
  </si>
  <si>
    <t>Antonella Moreira</t>
  </si>
  <si>
    <t>Ana Cecília Caldeira</t>
  </si>
  <si>
    <t>Bruna Porto</t>
  </si>
  <si>
    <t>Emilly Barbosa</t>
  </si>
  <si>
    <t>Maria Júlia Costa</t>
  </si>
  <si>
    <t>Augusto Castro</t>
  </si>
  <si>
    <t>Ravi Lucca Correia</t>
  </si>
  <si>
    <t>Kaique Oliveira</t>
  </si>
  <si>
    <t>Larissa Lopes</t>
  </si>
  <si>
    <t>José Miguel Azevedo</t>
  </si>
  <si>
    <t>Murilo Peixoto</t>
  </si>
  <si>
    <t>Olívia Novaes</t>
  </si>
  <si>
    <t>Renan Viana</t>
  </si>
  <si>
    <t>Anthony Mendonça</t>
  </si>
  <si>
    <t>Luísa Souza</t>
  </si>
  <si>
    <t>Josué Nunes</t>
  </si>
  <si>
    <t>Danilo Sampaio</t>
  </si>
  <si>
    <t>Brayan da Mata</t>
  </si>
  <si>
    <t>Ana Vitória Rios</t>
  </si>
  <si>
    <t>Elisa Fonseca</t>
  </si>
  <si>
    <t>Theodoro Melo</t>
  </si>
  <si>
    <t>Srta. Liz Casa Grande</t>
  </si>
  <si>
    <t>Bento Gomes</t>
  </si>
  <si>
    <t>Rhavi Marques</t>
  </si>
  <si>
    <t>Apollo Teixeira</t>
  </si>
  <si>
    <t>Sofia da Paz</t>
  </si>
  <si>
    <t>Srta. Mariah Caldeira</t>
  </si>
  <si>
    <t>Daniel Ribeiro</t>
  </si>
  <si>
    <t>Mariah Novais</t>
  </si>
  <si>
    <t>Vitor Machado</t>
  </si>
  <si>
    <t>Felipe Rodrigues</t>
  </si>
  <si>
    <t>Dra. Ana Liz Oliveira</t>
  </si>
  <si>
    <t>Alexandre Costa</t>
  </si>
  <si>
    <t>Benicio Nascimento</t>
  </si>
  <si>
    <t>Otávio Siqueira</t>
  </si>
  <si>
    <t>Rael Caldeira</t>
  </si>
  <si>
    <t>Rodrigo Correia</t>
  </si>
  <si>
    <t>Heloísa Sampaio</t>
  </si>
  <si>
    <t>Luísa Fernandes</t>
  </si>
  <si>
    <t>Sr. Miguel da Luz</t>
  </si>
  <si>
    <t>Luiz Otávio Caldeira</t>
  </si>
  <si>
    <t>Lucas Gabriel Jesus</t>
  </si>
  <si>
    <t>Sabrina Pires</t>
  </si>
  <si>
    <t>José Miguel Caldeira</t>
  </si>
  <si>
    <t>Julia Ferreira</t>
  </si>
  <si>
    <t>Cecília Casa Grande</t>
  </si>
  <si>
    <t>Henrique Sousa</t>
  </si>
  <si>
    <t>Caroline Costela</t>
  </si>
  <si>
    <t>Fernando Silveira</t>
  </si>
  <si>
    <t>Luiz Fernando das Neves</t>
  </si>
  <si>
    <t>Melissa Camargo</t>
  </si>
  <si>
    <t>Diogo Lima</t>
  </si>
  <si>
    <t>Dr. Caleb Moraes</t>
  </si>
  <si>
    <t>Ravi Rezende</t>
  </si>
  <si>
    <t>Davi Luiz Caldeira</t>
  </si>
  <si>
    <t>Dr. Lucca Lima</t>
  </si>
  <si>
    <t>Maria Liz Novais</t>
  </si>
  <si>
    <t>Gabrielly Dias</t>
  </si>
  <si>
    <t>Sabrina Ferreira</t>
  </si>
  <si>
    <t>Bruna Caldeira</t>
  </si>
  <si>
    <t>Ana Sophia Montenegro</t>
  </si>
  <si>
    <t>Melina Novais</t>
  </si>
  <si>
    <t>Ana Castro</t>
  </si>
  <si>
    <t>Lunna Mendonça</t>
  </si>
  <si>
    <t>Dr. Kevin Cavalcante</t>
  </si>
  <si>
    <t>Maria Cecília Araújo</t>
  </si>
  <si>
    <t>Anthony Gabriel Gomes</t>
  </si>
  <si>
    <t>Melissa Melo</t>
  </si>
  <si>
    <t>Sr. Murilo Cirino</t>
  </si>
  <si>
    <t>Nicole Caldeira</t>
  </si>
  <si>
    <t>Ana Beatriz Monteiro</t>
  </si>
  <si>
    <t>Ana Beatriz Peixoto</t>
  </si>
  <si>
    <t>Sophie Gonçalves</t>
  </si>
  <si>
    <t>Enrico Costela</t>
  </si>
  <si>
    <t>Benício Andrade</t>
  </si>
  <si>
    <t>Sr. Leandro Silva</t>
  </si>
  <si>
    <t>Maria Isis Novais</t>
  </si>
  <si>
    <t>Dra. Sabrina Costela</t>
  </si>
  <si>
    <t>Maria Fernanda Azevedo</t>
  </si>
  <si>
    <t>Lorena Novaes</t>
  </si>
  <si>
    <t>Daniel Nunes</t>
  </si>
  <si>
    <t>Sra. Luísa Aragão</t>
  </si>
  <si>
    <t>Ana Lívia da Costa</t>
  </si>
  <si>
    <t>Lucas Gabriel Albuquerque</t>
  </si>
  <si>
    <t>Luiz Otávio Costa</t>
  </si>
  <si>
    <t>Brayan Sousa</t>
  </si>
  <si>
    <t>Azitromicina Xarope 120ml - Medley (Genérico)</t>
  </si>
  <si>
    <t>Bernardo Dias</t>
  </si>
  <si>
    <t>Ester Rocha</t>
  </si>
  <si>
    <t>João Sampaio</t>
  </si>
  <si>
    <t>Lívia Siqueira</t>
  </si>
  <si>
    <t>Henrique Camargo</t>
  </si>
  <si>
    <t>Benicio Cavalcante</t>
  </si>
  <si>
    <t>Theo Montenegro</t>
  </si>
  <si>
    <t>Henrique Cunha</t>
  </si>
  <si>
    <t>Leonardo Abreu</t>
  </si>
  <si>
    <t>Anthony Sampaio</t>
  </si>
  <si>
    <t>Kaique Guerra</t>
  </si>
  <si>
    <t>Agatha Cavalcante</t>
  </si>
  <si>
    <t>Liam Castro</t>
  </si>
  <si>
    <t>Maysa Castro</t>
  </si>
  <si>
    <t>Dra. Joana Nogueira</t>
  </si>
  <si>
    <t>Murilo Montenegro</t>
  </si>
  <si>
    <t>José Fogaça</t>
  </si>
  <si>
    <t>Dr. Ryan Ribeiro</t>
  </si>
  <si>
    <t>Brenda Montenegro</t>
  </si>
  <si>
    <t>Benicio Rios</t>
  </si>
  <si>
    <t>Dra. Ana Sophia da Cruz</t>
  </si>
  <si>
    <t>Sarah Campos</t>
  </si>
  <si>
    <t>Gustavo Moreira</t>
  </si>
  <si>
    <t>Ana Clara Farias</t>
  </si>
  <si>
    <t>Maria Laura Peixoto</t>
  </si>
  <si>
    <t>Giovanna Câmara</t>
  </si>
  <si>
    <t>Lavínia Leão</t>
  </si>
  <si>
    <t>João Novais</t>
  </si>
  <si>
    <t>Joaquim Porto</t>
  </si>
  <si>
    <t>Melissa Alves</t>
  </si>
  <si>
    <t>Yasmin Montenegro</t>
  </si>
  <si>
    <t>João Gabriel Garcia</t>
  </si>
  <si>
    <t>Maria Liz Caldeira</t>
  </si>
  <si>
    <t>Sra. Vitória Aparecida</t>
  </si>
  <si>
    <t>Sra. Maria Alice Farias</t>
  </si>
  <si>
    <t>Zoe Guerra</t>
  </si>
  <si>
    <t>Kamilly Rios</t>
  </si>
  <si>
    <t>Valentim Nascimento</t>
  </si>
  <si>
    <t>Luigi da Costa</t>
  </si>
  <si>
    <t>Bruno Farias</t>
  </si>
  <si>
    <t>Isabella Barbosa</t>
  </si>
  <si>
    <t>Rodrigo Camargo</t>
  </si>
  <si>
    <t>Júlia Aparecida</t>
  </si>
  <si>
    <t>Rael da Cunha</t>
  </si>
  <si>
    <t>Rafael Araújo</t>
  </si>
  <si>
    <t>Lavínia da Rosa</t>
  </si>
  <si>
    <t>Lavínia Mendonça</t>
  </si>
  <si>
    <t>Théo Campos</t>
  </si>
  <si>
    <t>Caio Pires</t>
  </si>
  <si>
    <t>Diego Rezende</t>
  </si>
  <si>
    <t>Dr. Samuel Alves</t>
  </si>
  <si>
    <t>Metformina 50mg - 30 Comprimidos - Bayer</t>
  </si>
  <si>
    <t>Zoe Porto</t>
  </si>
  <si>
    <t>Bento Fonseca</t>
  </si>
  <si>
    <t>Pedro Câmara</t>
  </si>
  <si>
    <t>Benicio da Conceição</t>
  </si>
  <si>
    <t>Dante Melo</t>
  </si>
  <si>
    <t>Brayan Barbosa</t>
  </si>
  <si>
    <t>Luiz Gustavo Farias</t>
  </si>
  <si>
    <t>Maria Helena Araújo</t>
  </si>
  <si>
    <t>Arthur Fonseca</t>
  </si>
  <si>
    <t>Diogo Câmara</t>
  </si>
  <si>
    <t>Manuela Souza</t>
  </si>
  <si>
    <t>Maria Luiza Carvalho</t>
  </si>
  <si>
    <t>Léo Vieira</t>
  </si>
  <si>
    <t>Marcela da Mota</t>
  </si>
  <si>
    <t>João Lucas Melo</t>
  </si>
  <si>
    <t>Marina Andrade</t>
  </si>
  <si>
    <t>Juliana Farias</t>
  </si>
  <si>
    <t>Luiz Miguel Vieira</t>
  </si>
  <si>
    <t>Théo Machado</t>
  </si>
  <si>
    <t>Hellena Alves</t>
  </si>
  <si>
    <t>Dra. Heloísa Sales</t>
  </si>
  <si>
    <t>Theo Pires</t>
  </si>
  <si>
    <t>Lucas Cavalcanti</t>
  </si>
  <si>
    <t>Erick Pimenta</t>
  </si>
  <si>
    <t>Ágatha Rocha</t>
  </si>
  <si>
    <t>Gabriela Correia</t>
  </si>
  <si>
    <t>Anthony Martins</t>
  </si>
  <si>
    <t>Dr. Lucca Mendes</t>
  </si>
  <si>
    <t>Amanda Casa Grande</t>
  </si>
  <si>
    <t>Lucca Caldeira</t>
  </si>
  <si>
    <t>Luiz Miguel Pimenta</t>
  </si>
  <si>
    <t>Gabrielly Ribeiro</t>
  </si>
  <si>
    <t>Julia Castro</t>
  </si>
  <si>
    <t>Dra. Laís Alves</t>
  </si>
  <si>
    <t>Ravi Lucca Castro</t>
  </si>
  <si>
    <t>Sra. Rafaela Pimenta</t>
  </si>
  <si>
    <t>Matheus Guerra</t>
  </si>
  <si>
    <t>Arthur Miguel Monteiro</t>
  </si>
  <si>
    <t>Thiago Pastor</t>
  </si>
  <si>
    <t>Ísis Ramos</t>
  </si>
  <si>
    <t>Sra. Alice Rezende</t>
  </si>
  <si>
    <t>Dr. Nicolas Albuquerque</t>
  </si>
  <si>
    <t>Maria Sophia da Paz</t>
  </si>
  <si>
    <t>Ravy Montenegro</t>
  </si>
  <si>
    <t>Enzo Gabriel Vasconcelos</t>
  </si>
  <si>
    <t>Danilo Aparecida</t>
  </si>
  <si>
    <t>Dante Araújo</t>
  </si>
  <si>
    <t>Davi Lucca Moreira</t>
  </si>
  <si>
    <t>Ravy da Mata</t>
  </si>
  <si>
    <t>Sofia Camargo</t>
  </si>
  <si>
    <t>Gael Henrique Alves</t>
  </si>
  <si>
    <t>Vitor Gabriel da Rocha</t>
  </si>
  <si>
    <t>Srta. Cecilia Cavalcante</t>
  </si>
  <si>
    <t>Heloísa Novais</t>
  </si>
  <si>
    <t>Antônio Dias</t>
  </si>
  <si>
    <t>Benicio Machado</t>
  </si>
  <si>
    <t>Sinvastatina 50mg - 30 Comprimidos - EMS (Genérico)</t>
  </si>
  <si>
    <t>Ravi Lucca Câmara</t>
  </si>
  <si>
    <t>Bárbara Cassiano</t>
  </si>
  <si>
    <t>Ana Lívia Porto</t>
  </si>
  <si>
    <t>Elisa Vargas</t>
  </si>
  <si>
    <t>Diogo Ramos</t>
  </si>
  <si>
    <t>Julia Vasconcelos</t>
  </si>
  <si>
    <t>Olivia Novaes</t>
  </si>
  <si>
    <t>Isabelly Dias</t>
  </si>
  <si>
    <t>Dr. Dom Gonçalves</t>
  </si>
  <si>
    <t>Isaac Santos</t>
  </si>
  <si>
    <t>Sra. Amanda Rodrigues</t>
  </si>
  <si>
    <t>Clarice Pastor</t>
  </si>
  <si>
    <t>Yasmin da Mota</t>
  </si>
  <si>
    <t>Benício Cunha</t>
  </si>
  <si>
    <t>Sara Nogueira</t>
  </si>
  <si>
    <t>Ana Sampaio</t>
  </si>
  <si>
    <t>Nicolas Rios</t>
  </si>
  <si>
    <t>Maria Liz da Paz</t>
  </si>
  <si>
    <t>Dr. Theo da Mota</t>
  </si>
  <si>
    <t>Lucas Cunha</t>
  </si>
  <si>
    <t>Caroline Dias</t>
  </si>
  <si>
    <t>Nicole Teixeira</t>
  </si>
  <si>
    <t>Heloisa Lima</t>
  </si>
  <si>
    <t>Milena Sampaio</t>
  </si>
  <si>
    <t>João Lucas Porto</t>
  </si>
  <si>
    <t>Dra. Eduarda Dias</t>
  </si>
  <si>
    <t>Sra. Ester da Conceição</t>
  </si>
  <si>
    <t>Sophie Porto</t>
  </si>
  <si>
    <t>Rael Guerra</t>
  </si>
  <si>
    <t>Caroline Martins</t>
  </si>
  <si>
    <t>Pietro Moura</t>
  </si>
  <si>
    <t>Maria Fernanda Casa Grande</t>
  </si>
  <si>
    <t>Ana Sophia Sá</t>
  </si>
  <si>
    <t>Sr. Levi Camargo</t>
  </si>
  <si>
    <t>Isaque Monteiro</t>
  </si>
  <si>
    <t>Dr. Leandro Leão</t>
  </si>
  <si>
    <t>Valentina Santos</t>
  </si>
  <si>
    <t>Erick Siqueira</t>
  </si>
  <si>
    <t>Ana Julia Viana</t>
  </si>
  <si>
    <t>Augusto Mendonça</t>
  </si>
  <si>
    <t>Paulo Machado</t>
  </si>
  <si>
    <t>Juan Pereira</t>
  </si>
  <si>
    <t>Amanda Nunes</t>
  </si>
  <si>
    <t>Henry Camargo</t>
  </si>
  <si>
    <t>Maya Camargo</t>
  </si>
  <si>
    <t>Maria Luiza Ribeiro</t>
  </si>
  <si>
    <t>Vitor Oliveira</t>
  </si>
  <si>
    <t>Ana Laura Sá</t>
  </si>
  <si>
    <t>Arthur Miguel Fonseca</t>
  </si>
  <si>
    <t>Srta. Fernanda Freitas</t>
  </si>
  <si>
    <t>Luiz Felipe Oliveira</t>
  </si>
  <si>
    <t>Vitor Hugo Novais</t>
  </si>
  <si>
    <t>Gabrielly Nunes</t>
  </si>
  <si>
    <t>Thales da Costa</t>
  </si>
  <si>
    <t>Maria Laura Campos</t>
  </si>
  <si>
    <t>Valentina Moraes</t>
  </si>
  <si>
    <t>Ágatha Borges</t>
  </si>
  <si>
    <t>Ana Carolina das Neves</t>
  </si>
  <si>
    <t>Henry Costela</t>
  </si>
  <si>
    <t>Ana Julia Duarte</t>
  </si>
  <si>
    <t>Srta. Emilly das Neves</t>
  </si>
  <si>
    <t>Gustavo Gomes</t>
  </si>
  <si>
    <t>João Gabriel Pacheco</t>
  </si>
  <si>
    <t>Ana Julia Novais</t>
  </si>
  <si>
    <t>Isabel da Mota</t>
  </si>
  <si>
    <t>Sra. Lívia Guerra</t>
  </si>
  <si>
    <t>Sara Castro</t>
  </si>
  <si>
    <t>Murilo Jesus</t>
  </si>
  <si>
    <t>Sra. Maria Fernanda Pacheco</t>
  </si>
  <si>
    <t>Carlos Eduardo Guerra</t>
  </si>
  <si>
    <t>Sra. Zoe Araújo</t>
  </si>
  <si>
    <t>Murilo Nascimento</t>
  </si>
  <si>
    <t>Sr. Enzo Cassiano</t>
  </si>
  <si>
    <t>Yan Novais</t>
  </si>
  <si>
    <t>Dra. Maria Vitória Nascimento</t>
  </si>
  <si>
    <t>Olivia Mendes</t>
  </si>
  <si>
    <t>Dra. Maria Fernanda Brito</t>
  </si>
  <si>
    <t>Nathan Duarte</t>
  </si>
  <si>
    <t>Vicente Ferreira</t>
  </si>
  <si>
    <t>Sr. João Guilherme Casa Grande</t>
  </si>
  <si>
    <t>Ana Lívia da Mota</t>
  </si>
  <si>
    <t>Srta. Ana Melo</t>
  </si>
  <si>
    <t>Ana Vitória Fogaça</t>
  </si>
  <si>
    <t>Luiza Pacheco</t>
  </si>
  <si>
    <t>Dr. Nicolas Caldeira</t>
  </si>
  <si>
    <t>Ravy Aragão</t>
  </si>
  <si>
    <t>Pietra Silva</t>
  </si>
  <si>
    <t>João Lucas Castro</t>
  </si>
  <si>
    <t>Rael da Mota</t>
  </si>
  <si>
    <t>Dra. Isabelly Campos</t>
  </si>
  <si>
    <t>Bruno Marques</t>
  </si>
  <si>
    <t>Vinicius Silva</t>
  </si>
  <si>
    <t>Luiz Gustavo Brito</t>
  </si>
  <si>
    <t>Catarina Cassiano</t>
  </si>
  <si>
    <t>Cauê Cirino</t>
  </si>
  <si>
    <t>Samuel das Neves</t>
  </si>
  <si>
    <t>Rafaela Lima</t>
  </si>
  <si>
    <t>Dra. Maria Liz Jesus</t>
  </si>
  <si>
    <t>Sra. Julia Ramos</t>
  </si>
  <si>
    <t>Asafe Novaes</t>
  </si>
  <si>
    <t>Alice Fogaça</t>
  </si>
  <si>
    <t>Ana Julia Fogaça</t>
  </si>
  <si>
    <t>Ana Luiza Nunes</t>
  </si>
  <si>
    <t>Clarice Barros</t>
  </si>
  <si>
    <t>Asafe Garcia</t>
  </si>
  <si>
    <t>Maria Julia Vasconcelos</t>
  </si>
  <si>
    <t>Alice Casa Grande</t>
  </si>
  <si>
    <t>Dr. João Pedro Siqueira</t>
  </si>
  <si>
    <t>Gustavo Henrique Vieira</t>
  </si>
  <si>
    <t>Srta. Lara Pastor</t>
  </si>
  <si>
    <t>Desodorante Roll-on G-Tech 500ml</t>
  </si>
  <si>
    <t>Enzo Cirino</t>
  </si>
  <si>
    <t>Rael Nunes</t>
  </si>
  <si>
    <t>Ana Clara Caldeira</t>
  </si>
  <si>
    <t>Maria Macedo</t>
  </si>
  <si>
    <t>Ana Beatriz Abreu</t>
  </si>
  <si>
    <t>Dr. Thomas Santos</t>
  </si>
  <si>
    <t>Dra. Laura Rezende</t>
  </si>
  <si>
    <t>Agatha Almeida</t>
  </si>
  <si>
    <t>Maria Flor Silveira</t>
  </si>
  <si>
    <t>Daniel Costela</t>
  </si>
  <si>
    <t>Leandro Almeida</t>
  </si>
  <si>
    <t>José Santos</t>
  </si>
  <si>
    <t>Maria Sophia Fernandes</t>
  </si>
  <si>
    <t>Fernanda Pastor</t>
  </si>
  <si>
    <t>Calebe Costela</t>
  </si>
  <si>
    <t>João Vitor Azevedo</t>
  </si>
  <si>
    <t>Dra. Evelyn Câmara</t>
  </si>
  <si>
    <t>Daniel da Mota</t>
  </si>
  <si>
    <t>Lívia Mendonça</t>
  </si>
  <si>
    <t>Bryan Nascimento</t>
  </si>
  <si>
    <t>Emanuel Borges</t>
  </si>
  <si>
    <t>Valentim Souza</t>
  </si>
  <si>
    <t>Camila Cavalcanti</t>
  </si>
  <si>
    <t>Dra. Alice Campos</t>
  </si>
  <si>
    <t>Dr. Isaac da Rosa</t>
  </si>
  <si>
    <t>Bella Machado</t>
  </si>
  <si>
    <t>Manuela Rodrigues</t>
  </si>
  <si>
    <t>Caio Costa</t>
  </si>
  <si>
    <t>Nina Jesus</t>
  </si>
  <si>
    <t>Enrico Azevedo</t>
  </si>
  <si>
    <t>Larissa Cirino</t>
  </si>
  <si>
    <t>Gustavo Henrique Rodrigues</t>
  </si>
  <si>
    <t>Antony Guerra</t>
  </si>
  <si>
    <t>Cauê Guerra</t>
  </si>
  <si>
    <t>Luara Moura</t>
  </si>
  <si>
    <t>Sra. Luana da Mata</t>
  </si>
  <si>
    <t>Ana Sophia Vargas</t>
  </si>
  <si>
    <t>Ana Lívia Dias</t>
  </si>
  <si>
    <t>Davi Lucas da Costa</t>
  </si>
  <si>
    <t>Luan Vargas</t>
  </si>
  <si>
    <t>Sofia Leão</t>
  </si>
  <si>
    <t>Sr. Isaac Mendes</t>
  </si>
  <si>
    <t>Ryan Borges</t>
  </si>
  <si>
    <t>Ana Cavalcanti</t>
  </si>
  <si>
    <t>Joaquim Barbosa</t>
  </si>
  <si>
    <t>Bernardo Ribeiro</t>
  </si>
  <si>
    <t>Sr. João Gabriel Ramos</t>
  </si>
  <si>
    <t>Noah Câmara</t>
  </si>
  <si>
    <t>Anthony Brito</t>
  </si>
  <si>
    <t>Cauê Aragão</t>
  </si>
  <si>
    <t>Bento da Costa</t>
  </si>
  <si>
    <t>Guilherme Peixoto</t>
  </si>
  <si>
    <t>Clarice Mendonça</t>
  </si>
  <si>
    <t>João Guilherme Vasconcelos</t>
  </si>
  <si>
    <t>Liam Vieira</t>
  </si>
  <si>
    <t>Dr. Thiago Guerra</t>
  </si>
  <si>
    <t>Augusto da Luz</t>
  </si>
  <si>
    <t>Dra. Cecilia Dias</t>
  </si>
  <si>
    <t>Paracetamol 50mg - 30 Comprimidos - Eurofarma</t>
  </si>
  <si>
    <t>Fernando Cardoso</t>
  </si>
  <si>
    <t>Pedro Lucas Andrade</t>
  </si>
  <si>
    <t>Pietro Rocha</t>
  </si>
  <si>
    <t>Isaque Gonçalves</t>
  </si>
  <si>
    <t>Ana Sophia Gonçalves</t>
  </si>
  <si>
    <t>Ana Liz Rezende</t>
  </si>
  <si>
    <t>Dr. Pietro Costela</t>
  </si>
  <si>
    <t>Gabriel Cardoso</t>
  </si>
  <si>
    <t>Olívia Moraes</t>
  </si>
  <si>
    <t>Theo da Mota</t>
  </si>
  <si>
    <t>Bella Costa</t>
  </si>
  <si>
    <t>Alícia Andrade</t>
  </si>
  <si>
    <t>Dr. Ravy da Rocha</t>
  </si>
  <si>
    <t>Diogo Sá</t>
  </si>
  <si>
    <t>Marcela Gonçalves</t>
  </si>
  <si>
    <t>Antonella Aragão</t>
  </si>
  <si>
    <t>Valentina Rios</t>
  </si>
  <si>
    <t>Breno da Rocha</t>
  </si>
  <si>
    <t>Maria Luiza Abreu</t>
  </si>
  <si>
    <t>Jade Oliveira</t>
  </si>
  <si>
    <t>Srta. Helena Novais</t>
  </si>
  <si>
    <t>Stella Martins</t>
  </si>
  <si>
    <t>Manuela Mendes</t>
  </si>
  <si>
    <t>Maria Helena Lopes</t>
  </si>
  <si>
    <t>Arthur Miguel Azevedo</t>
  </si>
  <si>
    <t>Anna Liz Vargas</t>
  </si>
  <si>
    <t>João Gabriel Costela</t>
  </si>
  <si>
    <t>Sra. Ester Casa Grande</t>
  </si>
  <si>
    <t>Ana Júlia Ribeiro</t>
  </si>
  <si>
    <t>Luiz Otávio Nunes</t>
  </si>
  <si>
    <t>Hadassa Garcia</t>
  </si>
  <si>
    <t>Pedro Lucas Fernandes</t>
  </si>
  <si>
    <t>Aurora Vargas</t>
  </si>
  <si>
    <t>Paracetamol Xarope 120ml - Medley (Genérico)</t>
  </si>
  <si>
    <t>Manuella Barros</t>
  </si>
  <si>
    <t>Olivia Vargas</t>
  </si>
  <si>
    <t>Maria Clara Nogueira</t>
  </si>
  <si>
    <t>Sr. Valentim da Paz</t>
  </si>
  <si>
    <t>Valentina Costela</t>
  </si>
  <si>
    <t>Carolina Macedo</t>
  </si>
  <si>
    <t>Luara Rocha</t>
  </si>
  <si>
    <t>Álcool em Gel 70% La Roche-Posay 150ml</t>
  </si>
  <si>
    <t>Thales Casa Grande</t>
  </si>
  <si>
    <t>Brayan Sá</t>
  </si>
  <si>
    <t>Enzo Mendonça</t>
  </si>
  <si>
    <t>Rael Brito</t>
  </si>
  <si>
    <t>Otto Rocha</t>
  </si>
  <si>
    <t>Srta. Mariane Melo</t>
  </si>
  <si>
    <t>Cauã Sousa</t>
  </si>
  <si>
    <t>Enzo Costa</t>
  </si>
  <si>
    <t>Yasmin Souza</t>
  </si>
  <si>
    <t>Marcela Castro</t>
  </si>
  <si>
    <t>Mateus Cassiano</t>
  </si>
  <si>
    <t>Elisa Nogueira</t>
  </si>
  <si>
    <t>Dr. Luiz Felipe da Costa</t>
  </si>
  <si>
    <t>Emanuel da Cunha</t>
  </si>
  <si>
    <t>Guilherme Novaes</t>
  </si>
  <si>
    <t>Dra. Nina da Rosa</t>
  </si>
  <si>
    <t>Julia Brito</t>
  </si>
  <si>
    <t>Cefalexina Suspensão Oral 50ml - Eurofarma</t>
  </si>
  <si>
    <t>João Pedro Pacheco</t>
  </si>
  <si>
    <t>Sr. Breno Viana</t>
  </si>
  <si>
    <t>Benjamin Pires</t>
  </si>
  <si>
    <t>Kamilly Costa</t>
  </si>
  <si>
    <t>Henrique Melo</t>
  </si>
  <si>
    <t>Thomas Lima</t>
  </si>
  <si>
    <t>Sophie Guerra</t>
  </si>
  <si>
    <t>Brenda Barros</t>
  </si>
  <si>
    <t>Pedro Lucas Guerra</t>
  </si>
  <si>
    <t>Clarice Rezende</t>
  </si>
  <si>
    <t>Maria Júlia da Luz</t>
  </si>
  <si>
    <t>Srta. Ana Clara das Neves</t>
  </si>
  <si>
    <t>Luan Campos</t>
  </si>
  <si>
    <t>Luiz Otávio Pereira</t>
  </si>
  <si>
    <t>Arthur Silveira</t>
  </si>
  <si>
    <t>Maitê Mendonça</t>
  </si>
  <si>
    <t>Loratadina 50mg - 30 Comprimidos - Aché</t>
  </si>
  <si>
    <t>Sr. Rael Fernandes</t>
  </si>
  <si>
    <t>Sr. Yago Pimenta</t>
  </si>
  <si>
    <t>Miguel da Rosa</t>
  </si>
  <si>
    <t>Helena Cassiano</t>
  </si>
  <si>
    <t>José Caldeira</t>
  </si>
  <si>
    <t>Sr. Benicio das Neves</t>
  </si>
  <si>
    <t>Ana Júlia da Rosa</t>
  </si>
  <si>
    <t>Bella Vargas</t>
  </si>
  <si>
    <t>Sarah Garcia</t>
  </si>
  <si>
    <t>Davi Miguel Brito</t>
  </si>
  <si>
    <t>Mariane Sampaio</t>
  </si>
  <si>
    <t>Raul Nunes</t>
  </si>
  <si>
    <t>Daniela da Rosa</t>
  </si>
  <si>
    <t>Lucas Gabriel Mendonça</t>
  </si>
  <si>
    <t>Bárbara Vasconcelos</t>
  </si>
  <si>
    <t>Dom Macedo</t>
  </si>
  <si>
    <t>Luiza Ferreira</t>
  </si>
  <si>
    <t>Lara Rodrigues</t>
  </si>
  <si>
    <t>Erick Mendonça</t>
  </si>
  <si>
    <t>Srta. Evelyn Ferreira</t>
  </si>
  <si>
    <t>Thomas Aragão</t>
  </si>
  <si>
    <t>Gael Henrique Câmara</t>
  </si>
  <si>
    <t>Dr. Davi Lucca Martins</t>
  </si>
  <si>
    <t>Dra. Maria Júlia da Rocha</t>
  </si>
  <si>
    <t>Vitória Porto</t>
  </si>
  <si>
    <t>Henry Gabriel Cassiano</t>
  </si>
  <si>
    <t>Srta. Beatriz Marques</t>
  </si>
  <si>
    <t>Heloisa Fogaça</t>
  </si>
  <si>
    <t>Enzo Gabriel da Cunha</t>
  </si>
  <si>
    <t>Vinicius da Cunha</t>
  </si>
  <si>
    <t>Benjamim Rodrigues</t>
  </si>
  <si>
    <t>Eloah Aragão</t>
  </si>
  <si>
    <t>Léo Oliveira</t>
  </si>
  <si>
    <t>Cecilia Pimenta</t>
  </si>
  <si>
    <t>Srta. Carolina da Conceição</t>
  </si>
  <si>
    <t>Metformina 50mg - 30 Comprimidos - Medley (Genérico)</t>
  </si>
  <si>
    <t>Dra. Valentina Albuquerque</t>
  </si>
  <si>
    <t>Ana Laura Moura</t>
  </si>
  <si>
    <t>João Felipe Moreira</t>
  </si>
  <si>
    <t>Dr. Luiz Henrique Sá</t>
  </si>
  <si>
    <t>Gustavo Novais</t>
  </si>
  <si>
    <t>Agatha Moura</t>
  </si>
  <si>
    <t>Luiz Henrique Ribeiro</t>
  </si>
  <si>
    <t>Lívia Farias</t>
  </si>
  <si>
    <t>Catarina da Conceição</t>
  </si>
  <si>
    <t>Amanda Mendonça</t>
  </si>
  <si>
    <t>Leonardo Pinto</t>
  </si>
  <si>
    <t>Antonella Cavalcanti</t>
  </si>
  <si>
    <t>Ana Vitória Silveira</t>
  </si>
  <si>
    <t>Srta. Gabrielly Pimenta</t>
  </si>
  <si>
    <t>Ayla Carvalho</t>
  </si>
  <si>
    <t>Sr. Arthur Miguel Cassiano</t>
  </si>
  <si>
    <t>Raul Ramos</t>
  </si>
  <si>
    <t>Maria Helena Moura</t>
  </si>
  <si>
    <t>Dra. Natália Rios</t>
  </si>
  <si>
    <t>Valentina Macedo</t>
  </si>
  <si>
    <t>Enzo Costela</t>
  </si>
  <si>
    <t>Marcela Macedo</t>
  </si>
  <si>
    <t>Vinicius Melo</t>
  </si>
  <si>
    <t>Théo Cavalcanti</t>
  </si>
  <si>
    <t>Sra. Cecília Carvalho</t>
  </si>
  <si>
    <t>Dr. Rhavi da Rocha</t>
  </si>
  <si>
    <t>Camila Casa Grande</t>
  </si>
  <si>
    <t>Allana da Costa</t>
  </si>
  <si>
    <t>Lucas da Rocha</t>
  </si>
  <si>
    <t>Bruna da Conceição</t>
  </si>
  <si>
    <t>Dr. Breno Costa</t>
  </si>
  <si>
    <t>Nicolas da Cunha</t>
  </si>
  <si>
    <t>Melina Souza</t>
  </si>
  <si>
    <t>Luiza Santos</t>
  </si>
  <si>
    <t>Enzo Lima</t>
  </si>
  <si>
    <t>Hellena Marques</t>
  </si>
  <si>
    <t>Alícia das Neves</t>
  </si>
  <si>
    <t>João Castro</t>
  </si>
  <si>
    <t>Maria Sophia Carvalho</t>
  </si>
  <si>
    <t>Laís Santos</t>
  </si>
  <si>
    <t>Srta. Ana Cecília Lima</t>
  </si>
  <si>
    <t>Mateus Ribeiro</t>
  </si>
  <si>
    <t>Sara Ramos</t>
  </si>
  <si>
    <t>Sra. Ana Lívia Brito</t>
  </si>
  <si>
    <t>Theodoro Lopes</t>
  </si>
  <si>
    <t>Samuel Teixeira</t>
  </si>
  <si>
    <t>Dr. Miguel Sousa</t>
  </si>
  <si>
    <t>Atenolol Pomada 30g - Aché</t>
  </si>
  <si>
    <t>Sra. Carolina Andrade</t>
  </si>
  <si>
    <t>Noah Novais</t>
  </si>
  <si>
    <t>Lavínia Oliveira</t>
  </si>
  <si>
    <t>Cecilia Silveira</t>
  </si>
  <si>
    <t>Thiago da Luz</t>
  </si>
  <si>
    <t>Sra. Ana Julia Andrade</t>
  </si>
  <si>
    <t>Fluoxetina 50mg - 30 Comprimidos - Aché</t>
  </si>
  <si>
    <t>Srta. Alícia Ramos</t>
  </si>
  <si>
    <t>Milena Leão</t>
  </si>
  <si>
    <t>Ian Viana</t>
  </si>
  <si>
    <t>Danilo Cirino</t>
  </si>
  <si>
    <t>Nicole Jesus</t>
  </si>
  <si>
    <t>Marina Pires</t>
  </si>
  <si>
    <t>Ibuprofeno Pomada 30g - Eurofarma</t>
  </si>
  <si>
    <t>Nicolas Leão</t>
  </si>
  <si>
    <t>Thiago da Paz</t>
  </si>
  <si>
    <t>Catarina Teixeira</t>
  </si>
  <si>
    <t>Lucas Gabriel Oliveira</t>
  </si>
  <si>
    <t>Maria Sophia Porto</t>
  </si>
  <si>
    <t>Dr. Felipe Pires</t>
  </si>
  <si>
    <t>Rafaela Monteiro</t>
  </si>
  <si>
    <t>Thomas Pastor</t>
  </si>
  <si>
    <t>Benjamin Nogueira</t>
  </si>
  <si>
    <t>Igor Montenegro</t>
  </si>
  <si>
    <t>Ayla Peixoto</t>
  </si>
  <si>
    <t>Helena Duarte</t>
  </si>
  <si>
    <t>Enzo Marques</t>
  </si>
  <si>
    <t>Gael das Neves</t>
  </si>
  <si>
    <t>Sophia Santos</t>
  </si>
  <si>
    <t>Yan Costa</t>
  </si>
  <si>
    <t>José Pedro Novais</t>
  </si>
  <si>
    <t>Raquel Rodrigues</t>
  </si>
  <si>
    <t>Mariana da Luz</t>
  </si>
  <si>
    <t>Isadora Cassiano</t>
  </si>
  <si>
    <t>Renan Nunes</t>
  </si>
  <si>
    <t>Mathias Nunes</t>
  </si>
  <si>
    <t>Olivia Vieira</t>
  </si>
  <si>
    <t>Mirella das Neves</t>
  </si>
  <si>
    <t>Sra. Ana Vitória Cirino</t>
  </si>
  <si>
    <t>Laura Siqueira</t>
  </si>
  <si>
    <t>Maria Isis da Mota</t>
  </si>
  <si>
    <t>Rebeca Caldeira</t>
  </si>
  <si>
    <t>Ana Lívia Monteiro</t>
  </si>
  <si>
    <t>Thales Campos</t>
  </si>
  <si>
    <t>Vinicius Pastor</t>
  </si>
  <si>
    <t>Noah Cunha</t>
  </si>
  <si>
    <t>Sr. Arthur Gabriel Freitas</t>
  </si>
  <si>
    <t>Samuel da Mata</t>
  </si>
  <si>
    <t>Sr. Gabriel Cardoso</t>
  </si>
  <si>
    <t>Dr. Cauê Porto</t>
  </si>
  <si>
    <t>José Pedro Pinto</t>
  </si>
  <si>
    <t>Srta. Maria Luísa Azevedo</t>
  </si>
  <si>
    <t>Miguel Mendonça</t>
  </si>
  <si>
    <t>Luiz Miguel Almeida</t>
  </si>
  <si>
    <t>Sofia da Mata</t>
  </si>
  <si>
    <t>Hadassa Pires</t>
  </si>
  <si>
    <t>Sra. Brenda Castro</t>
  </si>
  <si>
    <t>Thomas Viana</t>
  </si>
  <si>
    <t>Sr. Kaique Alves</t>
  </si>
  <si>
    <t>Isadora Ramos</t>
  </si>
  <si>
    <t>Rafael Vargas</t>
  </si>
  <si>
    <t>Thiago Freitas</t>
  </si>
  <si>
    <t>Sr. Nicolas Oliveira</t>
  </si>
  <si>
    <t>Breno Sousa</t>
  </si>
  <si>
    <t>Marcelo da Luz</t>
  </si>
  <si>
    <t>Cauê Cunha</t>
  </si>
  <si>
    <t>Manuela da Mota</t>
  </si>
  <si>
    <t>Anna Liz Correia</t>
  </si>
  <si>
    <t>Luiz Gustavo Barbosa</t>
  </si>
  <si>
    <t>Isabelly Fonseca</t>
  </si>
  <si>
    <t>Luna da Luz</t>
  </si>
  <si>
    <t>Melina Sousa</t>
  </si>
  <si>
    <t>Mathias Costa</t>
  </si>
  <si>
    <t>Ana Moraes</t>
  </si>
  <si>
    <t>Sophia Câmara</t>
  </si>
  <si>
    <t>Levi Dias</t>
  </si>
  <si>
    <t>Dra. Mariah Rodrigues</t>
  </si>
  <si>
    <t>Fernando Araújo</t>
  </si>
  <si>
    <t>Maria Luísa Almeida</t>
  </si>
  <si>
    <t>Gustavo Novaes</t>
  </si>
  <si>
    <t>Nicolas Pimenta</t>
  </si>
  <si>
    <t>Natália Alves</t>
  </si>
  <si>
    <t>Manuela Moreira</t>
  </si>
  <si>
    <t>Sr. Enzo Novaes</t>
  </si>
  <si>
    <t>Dr. Pedro Vasconcelos</t>
  </si>
  <si>
    <t>Evelyn Caldeira</t>
  </si>
  <si>
    <t>Marina Silva</t>
  </si>
  <si>
    <t>Sra. Maria Clara Freitas</t>
  </si>
  <si>
    <t>Dr. João Guilherme Peixoto</t>
  </si>
  <si>
    <t>Maria Cecília Cavalcanti</t>
  </si>
  <si>
    <t>Natália Costela</t>
  </si>
  <si>
    <t>Maria Helena da Luz</t>
  </si>
  <si>
    <t>Raul Correia</t>
  </si>
  <si>
    <t>Srta. Maitê Moreira</t>
  </si>
  <si>
    <t>Dr. Bernardo Jesus</t>
  </si>
  <si>
    <t>Bella da Conceição</t>
  </si>
  <si>
    <t>Dr. Samuel Pires</t>
  </si>
  <si>
    <t>Sarah Moraes</t>
  </si>
  <si>
    <t>Jade Barbosa</t>
  </si>
  <si>
    <t>Luiza da Costa</t>
  </si>
  <si>
    <t>Ian Machado</t>
  </si>
  <si>
    <t>Cauã Aparecida</t>
  </si>
  <si>
    <t>Nicole Cunha</t>
  </si>
  <si>
    <t>Luan Duarte</t>
  </si>
  <si>
    <t>Kaique Alves</t>
  </si>
  <si>
    <t>Srta. Ana Clara Ferreira</t>
  </si>
  <si>
    <t>Gabrielly Guerra</t>
  </si>
  <si>
    <t>João Miguel Moreira</t>
  </si>
  <si>
    <t>Maria Cecília Macedo</t>
  </si>
  <si>
    <t>Murilo Martins</t>
  </si>
  <si>
    <t>Yuri Pastor</t>
  </si>
  <si>
    <t>Sra. Bárbara da Rosa</t>
  </si>
  <si>
    <t>Dr. Mateus Sampaio</t>
  </si>
  <si>
    <t>Fernanda Viana</t>
  </si>
  <si>
    <t>Mariane da Rocha</t>
  </si>
  <si>
    <t>Ísis Martins</t>
  </si>
  <si>
    <t>Dra. Stephany Silva</t>
  </si>
  <si>
    <t>Dr. Arthur Gabriel da Mota</t>
  </si>
  <si>
    <t>Dr. Ravi Silva</t>
  </si>
  <si>
    <t>Matheus Dias</t>
  </si>
  <si>
    <t>Benício Pires</t>
  </si>
  <si>
    <t>João da Mota</t>
  </si>
  <si>
    <t>Luiz Felipe Borges</t>
  </si>
  <si>
    <t>Sr. Gustavo Vasconcelos</t>
  </si>
  <si>
    <t>Fernando Ribeiro</t>
  </si>
  <si>
    <t>Lucas Gabriel Nogueira</t>
  </si>
  <si>
    <t>Anna Liz Pastor</t>
  </si>
  <si>
    <t>Alícia Machado</t>
  </si>
  <si>
    <t>Larissa Fogaça</t>
  </si>
  <si>
    <t>José Miguel Campos</t>
  </si>
  <si>
    <t>Ana Sophia Siqueira</t>
  </si>
  <si>
    <t>Pedro Miguel Cavalcanti</t>
  </si>
  <si>
    <t>José Barbosa</t>
  </si>
  <si>
    <t>Isaque Vasconcelos</t>
  </si>
  <si>
    <t>Sr. Gael Henrique Cardoso</t>
  </si>
  <si>
    <t>Sr. Paulo Barros</t>
  </si>
  <si>
    <t>Daniela Pereira</t>
  </si>
  <si>
    <t>Maya Leão</t>
  </si>
  <si>
    <t>Arthur Gabriel da Paz</t>
  </si>
  <si>
    <t>Levi Mendes</t>
  </si>
  <si>
    <t>Caleb Farias</t>
  </si>
  <si>
    <t>Alice da Cruz</t>
  </si>
  <si>
    <t>Ágatha Andrade</t>
  </si>
  <si>
    <t>Júlia Azevedo</t>
  </si>
  <si>
    <t>João Vitor Gomes</t>
  </si>
  <si>
    <t>Sr. Fernando Cavalcanti</t>
  </si>
  <si>
    <t>Maria Fernanda Araújo</t>
  </si>
  <si>
    <t>Luísa Araújo</t>
  </si>
  <si>
    <t>Arthur Gabriel Moreira</t>
  </si>
  <si>
    <t>Ana Cecília da Cruz</t>
  </si>
  <si>
    <t>Mathias Castro</t>
  </si>
  <si>
    <t>Arthur Miguel Viana</t>
  </si>
  <si>
    <t>José Pedro Silva</t>
  </si>
  <si>
    <t>Dr. Dante Melo</t>
  </si>
  <si>
    <t>Ravy Monteiro</t>
  </si>
  <si>
    <t>Levi da Mata</t>
  </si>
  <si>
    <t>Paulo Araújo</t>
  </si>
  <si>
    <t>Sr. Lorenzo Albuquerque</t>
  </si>
  <si>
    <t>Liam Almeida</t>
  </si>
  <si>
    <t>Maria Julia Ribeiro</t>
  </si>
  <si>
    <t>Antonella Pimenta</t>
  </si>
  <si>
    <t>Arthur Miguel Cavalcante</t>
  </si>
  <si>
    <t>Henrique Nascimento</t>
  </si>
  <si>
    <t>Ana Liz Aragão</t>
  </si>
  <si>
    <t>Olívia Oliveira</t>
  </si>
  <si>
    <t>Dr. Davi Lucas Silva</t>
  </si>
  <si>
    <t>Marina Ribeiro</t>
  </si>
  <si>
    <t>Léo da Conceição</t>
  </si>
  <si>
    <t>Davi Miguel Cunha</t>
  </si>
  <si>
    <t>Yuri Nascimento</t>
  </si>
  <si>
    <t>Loratadina 50mg - 30 Comprimidos - Bayer</t>
  </si>
  <si>
    <t>Nicolas Pereira</t>
  </si>
  <si>
    <t>Zoe Aparecida</t>
  </si>
  <si>
    <t>Rafael Barbosa</t>
  </si>
  <si>
    <t>Vitor Lima</t>
  </si>
  <si>
    <t>Henrique Brito</t>
  </si>
  <si>
    <t>Fernanda Camargo</t>
  </si>
  <si>
    <t>Luiz Gustavo Silva</t>
  </si>
  <si>
    <t>Dr. Antony Andrade</t>
  </si>
  <si>
    <t>Henrique das Neves</t>
  </si>
  <si>
    <t>Otávio Souza</t>
  </si>
  <si>
    <t>Maria Fernanda Câmara</t>
  </si>
  <si>
    <t>Enzo Gabriel Barbosa</t>
  </si>
  <si>
    <t>Juliana Fonseca</t>
  </si>
  <si>
    <t>Sra. Alice Jesus</t>
  </si>
  <si>
    <t>Rhavi Machado</t>
  </si>
  <si>
    <t>Bianca Silveira</t>
  </si>
  <si>
    <t>Mathias Teixeira</t>
  </si>
  <si>
    <t>Valentina Camargo</t>
  </si>
  <si>
    <t>Srta. Amanda Fogaça</t>
  </si>
  <si>
    <t>Ágatha Nogueira</t>
  </si>
  <si>
    <t>Sr. Ravi Nogueira</t>
  </si>
  <si>
    <t>Dr. Caio Fernandes</t>
  </si>
  <si>
    <t>Nina da Costa</t>
  </si>
  <si>
    <t>Isis Caldeira</t>
  </si>
  <si>
    <t>Nicole Vasconcelos</t>
  </si>
  <si>
    <t>Dra. Maria Fernanda Castro</t>
  </si>
  <si>
    <t>Ester Viana</t>
  </si>
  <si>
    <t>Benjamim Ribeiro</t>
  </si>
  <si>
    <t>Srta. Sarah da Conceição</t>
  </si>
  <si>
    <t>Sra. Ana Júlia Aragão</t>
  </si>
  <si>
    <t>Olívia Lopes</t>
  </si>
  <si>
    <t>Cauã Machado</t>
  </si>
  <si>
    <t>Eloá Marques</t>
  </si>
  <si>
    <t>Sr. Heitor Lima</t>
  </si>
  <si>
    <t>Dr. Diogo Rocha</t>
  </si>
  <si>
    <t>Ravi Leão</t>
  </si>
  <si>
    <t>Gustavo Henrique Cunha</t>
  </si>
  <si>
    <t>Letícia Nascimento</t>
  </si>
  <si>
    <t>Isabela Abreu</t>
  </si>
  <si>
    <t>Brayan Vargas</t>
  </si>
  <si>
    <t>Vicente Pacheco</t>
  </si>
  <si>
    <t>Cecília Carvalho</t>
  </si>
  <si>
    <t>Sra. Agatha Moraes</t>
  </si>
  <si>
    <t>Luiz Fernando da Mata</t>
  </si>
  <si>
    <t>Sr. Guilherme da Costa</t>
  </si>
  <si>
    <t>Luiz Felipe Jesus</t>
  </si>
  <si>
    <t>Ravi Cunha</t>
  </si>
  <si>
    <t>Enzo Rocha</t>
  </si>
  <si>
    <t>Calebe Vargas</t>
  </si>
  <si>
    <t>Maria Liz Peixoto</t>
  </si>
  <si>
    <t>Fernando Lima</t>
  </si>
  <si>
    <t>Maria Vitória Garcia</t>
  </si>
  <si>
    <t>Bento Gonçalves</t>
  </si>
  <si>
    <t>Bárbara Sampaio</t>
  </si>
  <si>
    <t>Mariah Casa Grande</t>
  </si>
  <si>
    <t>Srta. Sophie Fogaça</t>
  </si>
  <si>
    <t>Rodrigo Carvalho</t>
  </si>
  <si>
    <t>Gustavo Henrique Azevedo</t>
  </si>
  <si>
    <t>Sabrina Jesus</t>
  </si>
  <si>
    <t>Sr. Pedro Lucas Cavalcanti</t>
  </si>
  <si>
    <t>Srta. Ágatha Vieira</t>
  </si>
  <si>
    <t>Srta. Maria Helena Cavalcante</t>
  </si>
  <si>
    <t>Brayan da Costa</t>
  </si>
  <si>
    <t>Evelyn Rodrigues</t>
  </si>
  <si>
    <t>Antony Castro</t>
  </si>
  <si>
    <t>Evelyn Melo</t>
  </si>
  <si>
    <t>Sr. Luiz Fernando Pinto</t>
  </si>
  <si>
    <t>Isadora Pinto</t>
  </si>
  <si>
    <t>Caleb Mendonça</t>
  </si>
  <si>
    <t>Larissa Duarte</t>
  </si>
  <si>
    <t>Ísis Sousa</t>
  </si>
  <si>
    <t>Isabela Vieira</t>
  </si>
  <si>
    <t>José Pedro Cavalcante</t>
  </si>
  <si>
    <t>Stephany Duarte</t>
  </si>
  <si>
    <t>Aylla Vieira</t>
  </si>
  <si>
    <t>Gabrielly Câmara</t>
  </si>
  <si>
    <t>Sra. Bianca Oliveira</t>
  </si>
  <si>
    <t>Kamilly Cavalcanti</t>
  </si>
  <si>
    <t>Isabelly Aparecida</t>
  </si>
  <si>
    <t>Luna Silveira</t>
  </si>
  <si>
    <t>Mathias Mendonça</t>
  </si>
  <si>
    <t>Heloísa Costa</t>
  </si>
  <si>
    <t>Davi Lucca Jesus</t>
  </si>
  <si>
    <t>Helena Silveira</t>
  </si>
  <si>
    <t>Benjamim Abreu</t>
  </si>
  <si>
    <t>Stephany Casa Grande</t>
  </si>
  <si>
    <t>Gabrielly Montenegro</t>
  </si>
  <si>
    <t>Nina Cavalcanti</t>
  </si>
  <si>
    <t>Ana Luiza Mendes</t>
  </si>
  <si>
    <t>Olívia Macedo</t>
  </si>
  <si>
    <t>Ana Júlia Souza</t>
  </si>
  <si>
    <t>Daniela Campos</t>
  </si>
  <si>
    <t>Nina Ferreira</t>
  </si>
  <si>
    <t>Enrico Vieira</t>
  </si>
  <si>
    <t>Dr. Raul Moreira</t>
  </si>
  <si>
    <t>João Felipe Castro</t>
  </si>
  <si>
    <t>Ana Luiza Rodrigues</t>
  </si>
  <si>
    <t>Otávio Alves</t>
  </si>
  <si>
    <t>Ana Júlia Mendonça</t>
  </si>
  <si>
    <t>Paulo Pacheco</t>
  </si>
  <si>
    <t>Rebeca Martins</t>
  </si>
  <si>
    <t>Sr. João Pedro Costela</t>
  </si>
  <si>
    <t>Enzo Melo</t>
  </si>
  <si>
    <t>Isaque Freitas</t>
  </si>
  <si>
    <t>Hidroclorotiazida Suspensão Oral 50ml - Eurofarma</t>
  </si>
  <si>
    <t>Anthony Gabriel Machado</t>
  </si>
  <si>
    <t>Luan Silveira</t>
  </si>
  <si>
    <t>Guilherme da Mata</t>
  </si>
  <si>
    <t>Dr. Leandro da Cruz</t>
  </si>
  <si>
    <t>Davi Carvalho</t>
  </si>
  <si>
    <t>Eloá Câmara</t>
  </si>
  <si>
    <t>José Miguel Gomes</t>
  </si>
  <si>
    <t>Fernanda Campos</t>
  </si>
  <si>
    <t>Luigi Barros</t>
  </si>
  <si>
    <t>Lívia Rios</t>
  </si>
  <si>
    <t>Matteo Viana</t>
  </si>
  <si>
    <t>Maria Luiza Rezende</t>
  </si>
  <si>
    <t>Pedro Lucas Castro</t>
  </si>
  <si>
    <t>Vinicius Albuquerque</t>
  </si>
  <si>
    <t>João Gabriel da Conceição</t>
  </si>
  <si>
    <t>Asafe Peixoto</t>
  </si>
  <si>
    <t>Francisco Almeida</t>
  </si>
  <si>
    <t>Camila da Cruz</t>
  </si>
  <si>
    <t>Sr. Ravy Sales</t>
  </si>
  <si>
    <t>Bella Pastor</t>
  </si>
  <si>
    <t>Maria Sophia Melo</t>
  </si>
  <si>
    <t>Carolina Pires</t>
  </si>
  <si>
    <t>Marcela Pereira</t>
  </si>
  <si>
    <t>Benjamim Siqueira</t>
  </si>
  <si>
    <t>Isaac Vargas</t>
  </si>
  <si>
    <t>Apollo Garcia</t>
  </si>
  <si>
    <t>Nicole Cardoso</t>
  </si>
  <si>
    <t>Sra. Maria Cecília Jesus</t>
  </si>
  <si>
    <t>Luiz Felipe Pires</t>
  </si>
  <si>
    <t>Apollo Leão</t>
  </si>
  <si>
    <t>Bento Peixoto</t>
  </si>
  <si>
    <t>Ana Júlia Campos</t>
  </si>
  <si>
    <t>Srta. Fernanda Gonçalves</t>
  </si>
  <si>
    <t>Noah Aparecida</t>
  </si>
  <si>
    <t>Eduardo Pimenta</t>
  </si>
  <si>
    <t>Antônio Câmara</t>
  </si>
  <si>
    <t>Dr. José da Rocha</t>
  </si>
  <si>
    <t>Manuela Cassiano</t>
  </si>
  <si>
    <t>Isabelly Machado</t>
  </si>
  <si>
    <t>Marina Sampaio</t>
  </si>
  <si>
    <t>Luiz Henrique Pinto</t>
  </si>
  <si>
    <t>Maria Fernanda Abreu</t>
  </si>
  <si>
    <t>Srta. Ana Beatriz da Mata</t>
  </si>
  <si>
    <t>João Pedro Aparecida</t>
  </si>
  <si>
    <t>Sra. Alexia Gomes</t>
  </si>
  <si>
    <t>Lucca Sousa</t>
  </si>
  <si>
    <t>Isabella Alves</t>
  </si>
  <si>
    <t>Dr. Pedro Lucas Nogueira</t>
  </si>
  <si>
    <t>Breno Ramos</t>
  </si>
  <si>
    <t>Carolina Castro</t>
  </si>
  <si>
    <t>Arthur Lima</t>
  </si>
  <si>
    <t>Sabrina da Rosa</t>
  </si>
  <si>
    <t>Erick Araújo</t>
  </si>
  <si>
    <t>Ana Julia Nunes</t>
  </si>
  <si>
    <t>Ísis Mendes</t>
  </si>
  <si>
    <t>Clarice Guerra</t>
  </si>
  <si>
    <t>Caroline Camargo</t>
  </si>
  <si>
    <t>Jade Almeida</t>
  </si>
  <si>
    <t>Catarina Brito</t>
  </si>
  <si>
    <t>Luiza Sampaio</t>
  </si>
  <si>
    <t>Cecília Cirino</t>
  </si>
  <si>
    <t>Bryan Santos</t>
  </si>
  <si>
    <t>Rael Martins</t>
  </si>
  <si>
    <t>Maria Liz Novaes</t>
  </si>
  <si>
    <t>Olivia Pinto</t>
  </si>
  <si>
    <t>José da Luz</t>
  </si>
  <si>
    <t>Sophia Campos</t>
  </si>
  <si>
    <t>Dra. Lara Rios</t>
  </si>
  <si>
    <t>Vitor Gabriel Rezende</t>
  </si>
  <si>
    <t>Lavínia Peixoto</t>
  </si>
  <si>
    <t>Valentim Carvalho</t>
  </si>
  <si>
    <t>Mariah Pimenta</t>
  </si>
  <si>
    <t>Catarina Peixoto</t>
  </si>
  <si>
    <t>Isaac Leão</t>
  </si>
  <si>
    <t>Maria Helena Cunha</t>
  </si>
  <si>
    <t>Bernardo Vasconcelos</t>
  </si>
  <si>
    <t>Sr. Oliver Siqueira</t>
  </si>
  <si>
    <t>Juan Montenegro</t>
  </si>
  <si>
    <t>Luiza Porto</t>
  </si>
  <si>
    <t>Sra. Zoe Santos</t>
  </si>
  <si>
    <t>Dr. Daniel Viana</t>
  </si>
  <si>
    <t>Dr. Benicio Almeida</t>
  </si>
  <si>
    <t>Davi Lucca Machado</t>
  </si>
  <si>
    <t>Lucas Rodrigues</t>
  </si>
  <si>
    <t>Daniela Santos</t>
  </si>
  <si>
    <t>Olivia Lopes</t>
  </si>
  <si>
    <t>João Vitor Rodrigues</t>
  </si>
  <si>
    <t>Thiago Borges</t>
  </si>
  <si>
    <t>Milena Nunes</t>
  </si>
  <si>
    <t>Isaque Abreu</t>
  </si>
  <si>
    <t>Lucas Gabriel Borges</t>
  </si>
  <si>
    <t>Laís Araújo</t>
  </si>
  <si>
    <t>Ana Liz Gomes</t>
  </si>
  <si>
    <t>Lavínia Novaes</t>
  </si>
  <si>
    <t>Raul Lopes</t>
  </si>
  <si>
    <t>Joaquim das Neves</t>
  </si>
  <si>
    <t>Srta. Juliana Duarte</t>
  </si>
  <si>
    <t>Davi Pimenta</t>
  </si>
  <si>
    <t>Pedro Miguel Campos</t>
  </si>
  <si>
    <t>Gustavo Silveira</t>
  </si>
  <si>
    <t>Sr. Luiz Fernando Cunha</t>
  </si>
  <si>
    <t>Miguel Moreira</t>
  </si>
  <si>
    <t>Nicolas das Neves</t>
  </si>
  <si>
    <t>Kevin Monteiro</t>
  </si>
  <si>
    <t>Maria Luísa da Rocha</t>
  </si>
  <si>
    <t>Sara Câmara</t>
  </si>
  <si>
    <t>Caleb da Mota</t>
  </si>
  <si>
    <t>Rodrigo Araújo</t>
  </si>
  <si>
    <t>Heloisa Leão</t>
  </si>
  <si>
    <t>André Leão</t>
  </si>
  <si>
    <t>Davi Miguel Andrade</t>
  </si>
  <si>
    <t>Erick Costa</t>
  </si>
  <si>
    <t>PRODUTO</t>
  </si>
  <si>
    <t>VENDA TOTAL</t>
  </si>
  <si>
    <t>LUCRO</t>
  </si>
  <si>
    <t>Validação de dados</t>
  </si>
  <si>
    <t>Título do Gráfico</t>
  </si>
  <si>
    <t>mes_ano</t>
  </si>
  <si>
    <t>RECEITAS</t>
  </si>
  <si>
    <t>MESES</t>
  </si>
  <si>
    <t>DESPESAS</t>
  </si>
  <si>
    <t>Nomes</t>
  </si>
  <si>
    <t>Valores</t>
  </si>
  <si>
    <t>Nome</t>
  </si>
  <si>
    <t>Valor</t>
  </si>
  <si>
    <t>Fornecedores</t>
  </si>
  <si>
    <t>TITULO</t>
  </si>
  <si>
    <t>Gasto Total</t>
  </si>
  <si>
    <t>VOL/TicMedio</t>
  </si>
  <si>
    <t>Clientes</t>
  </si>
  <si>
    <t>Volume</t>
  </si>
  <si>
    <t>Painel de desempenho Comercial</t>
  </si>
  <si>
    <t>Modifique os gráficos com as células azul claras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</si>
</sst>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48"/>
      <color theme="0"/>
      <name val="Aptos Narrow"/>
      <family val="2"/>
      <scheme val="minor"/>
    </font>
    <font>
      <sz val="28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indent="1"/>
    </xf>
    <xf numFmtId="0" fontId="4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Receitas vs Despesas Mensais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ReceitaDespesa!$B$1</c:f>
              <c:strCache>
                <c:ptCount val="1"/>
                <c:pt idx="0">
                  <c:v>RECEITAS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ReceitaDespesa!$A$2:$A$26</c:f>
              <c:strCache>
                <c:ptCount val="25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  <c:pt idx="24">
                  <c:v>2026-09</c:v>
                </c:pt>
              </c:strCache>
            </c:strRef>
          </c:cat>
          <c:val>
            <c:numRef>
              <c:f>ReceitaDespesa!$B$2:$B$26</c:f>
              <c:numCache>
                <c:formatCode>"R$"\ #,##0.00</c:formatCode>
                <c:ptCount val="25"/>
                <c:pt idx="0">
                  <c:v>2906675</c:v>
                </c:pt>
                <c:pt idx="1">
                  <c:v>4576658</c:v>
                </c:pt>
                <c:pt idx="2">
                  <c:v>4290587</c:v>
                </c:pt>
                <c:pt idx="3">
                  <c:v>5430932</c:v>
                </c:pt>
                <c:pt idx="4">
                  <c:v>4154325</c:v>
                </c:pt>
                <c:pt idx="5">
                  <c:v>3652181</c:v>
                </c:pt>
                <c:pt idx="6">
                  <c:v>4037482</c:v>
                </c:pt>
                <c:pt idx="7">
                  <c:v>3257222</c:v>
                </c:pt>
                <c:pt idx="8">
                  <c:v>4215011</c:v>
                </c:pt>
                <c:pt idx="9">
                  <c:v>3800465</c:v>
                </c:pt>
                <c:pt idx="10">
                  <c:v>3721447</c:v>
                </c:pt>
                <c:pt idx="11">
                  <c:v>4459814</c:v>
                </c:pt>
                <c:pt idx="12">
                  <c:v>5251479</c:v>
                </c:pt>
                <c:pt idx="13">
                  <c:v>4202736</c:v>
                </c:pt>
                <c:pt idx="14">
                  <c:v>3826089</c:v>
                </c:pt>
                <c:pt idx="15">
                  <c:v>3874794</c:v>
                </c:pt>
                <c:pt idx="16">
                  <c:v>3729753</c:v>
                </c:pt>
                <c:pt idx="17">
                  <c:v>4684966</c:v>
                </c:pt>
                <c:pt idx="18">
                  <c:v>4603525</c:v>
                </c:pt>
                <c:pt idx="19">
                  <c:v>3972483</c:v>
                </c:pt>
                <c:pt idx="20">
                  <c:v>4126103</c:v>
                </c:pt>
                <c:pt idx="21">
                  <c:v>3743148</c:v>
                </c:pt>
                <c:pt idx="22">
                  <c:v>4574102</c:v>
                </c:pt>
                <c:pt idx="23">
                  <c:v>3590351</c:v>
                </c:pt>
                <c:pt idx="24">
                  <c:v>2103639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07-47BA-BE24-CE945FE11E40}"/>
            </c:ext>
          </c:extLst>
        </c:ser>
        <c:ser>
          <c:idx val="1"/>
          <c:order val="1"/>
          <c:tx>
            <c:strRef>
              <c:f>ReceitaDespesa!$C$1</c:f>
              <c:strCache>
                <c:ptCount val="1"/>
                <c:pt idx="0">
                  <c:v>DESPESAS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ReceitaDespesa!$A$2:$A$26</c:f>
              <c:strCache>
                <c:ptCount val="25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  <c:pt idx="24">
                  <c:v>2026-09</c:v>
                </c:pt>
              </c:strCache>
            </c:strRef>
          </c:cat>
          <c:val>
            <c:numRef>
              <c:f>ReceitaDespesa!$C$2:$C$26</c:f>
              <c:numCache>
                <c:formatCode>"R$"\ #,##0.00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155787</c:v>
                </c:pt>
                <c:pt idx="13">
                  <c:v>325165</c:v>
                </c:pt>
                <c:pt idx="14">
                  <c:v>261753</c:v>
                </c:pt>
                <c:pt idx="15">
                  <c:v>283837</c:v>
                </c:pt>
                <c:pt idx="16">
                  <c:v>446114</c:v>
                </c:pt>
                <c:pt idx="17">
                  <c:v>353402</c:v>
                </c:pt>
                <c:pt idx="18">
                  <c:v>316187</c:v>
                </c:pt>
                <c:pt idx="19">
                  <c:v>373812</c:v>
                </c:pt>
                <c:pt idx="20">
                  <c:v>283083</c:v>
                </c:pt>
                <c:pt idx="21">
                  <c:v>292548</c:v>
                </c:pt>
                <c:pt idx="22">
                  <c:v>281730</c:v>
                </c:pt>
                <c:pt idx="23">
                  <c:v>319257</c:v>
                </c:pt>
                <c:pt idx="24">
                  <c:v>140846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07-47BA-BE24-CE945FE11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6100463"/>
        <c:axId val="5616047"/>
      </c:barChart>
      <c:catAx>
        <c:axId val="45610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16047"/>
        <c:crosses val="autoZero"/>
        <c:auto val="1"/>
        <c:lblAlgn val="ctr"/>
        <c:lblOffset val="100"/>
        <c:noMultiLvlLbl val="0"/>
      </c:catAx>
      <c:valAx>
        <c:axId val="561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6100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ReceitaDespesa!$E$1</c:f>
              <c:strCache>
                <c:ptCount val="1"/>
                <c:pt idx="0">
                  <c:v>VOL/TicMedio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ReceitaDespesa!$A$2:$A$26</c:f>
              <c:strCache>
                <c:ptCount val="25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  <c:pt idx="24">
                  <c:v>2026-09</c:v>
                </c:pt>
              </c:strCache>
            </c:strRef>
          </c:cat>
          <c:val>
            <c:numRef>
              <c:f>ReceitaDespesa!$E$2:$E$26</c:f>
              <c:numCache>
                <c:formatCode>General</c:formatCode>
                <c:ptCount val="25"/>
                <c:pt idx="0">
                  <c:v>245</c:v>
                </c:pt>
                <c:pt idx="1">
                  <c:v>423</c:v>
                </c:pt>
                <c:pt idx="2">
                  <c:v>393</c:v>
                </c:pt>
                <c:pt idx="3">
                  <c:v>454</c:v>
                </c:pt>
                <c:pt idx="4">
                  <c:v>381</c:v>
                </c:pt>
                <c:pt idx="5">
                  <c:v>314</c:v>
                </c:pt>
                <c:pt idx="6">
                  <c:v>352</c:v>
                </c:pt>
                <c:pt idx="7">
                  <c:v>321</c:v>
                </c:pt>
                <c:pt idx="8">
                  <c:v>366</c:v>
                </c:pt>
                <c:pt idx="9">
                  <c:v>337</c:v>
                </c:pt>
                <c:pt idx="10">
                  <c:v>305</c:v>
                </c:pt>
                <c:pt idx="11">
                  <c:v>386</c:v>
                </c:pt>
                <c:pt idx="12">
                  <c:v>429</c:v>
                </c:pt>
                <c:pt idx="13">
                  <c:v>384</c:v>
                </c:pt>
                <c:pt idx="14">
                  <c:v>348</c:v>
                </c:pt>
                <c:pt idx="15">
                  <c:v>376</c:v>
                </c:pt>
                <c:pt idx="16">
                  <c:v>331</c:v>
                </c:pt>
                <c:pt idx="17">
                  <c:v>409</c:v>
                </c:pt>
                <c:pt idx="18">
                  <c:v>398</c:v>
                </c:pt>
                <c:pt idx="19">
                  <c:v>352</c:v>
                </c:pt>
                <c:pt idx="20">
                  <c:v>378</c:v>
                </c:pt>
                <c:pt idx="21">
                  <c:v>356</c:v>
                </c:pt>
                <c:pt idx="22">
                  <c:v>386</c:v>
                </c:pt>
                <c:pt idx="23">
                  <c:v>388</c:v>
                </c:pt>
                <c:pt idx="24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47-44B6-9029-1B097FFCE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4903903"/>
        <c:axId val="5569007"/>
      </c:lineChart>
      <c:catAx>
        <c:axId val="45490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69007"/>
        <c:crosses val="autoZero"/>
        <c:auto val="1"/>
        <c:lblAlgn val="ctr"/>
        <c:lblOffset val="100"/>
        <c:noMultiLvlLbl val="0"/>
      </c:catAx>
      <c:valAx>
        <c:axId val="556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4903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TopLucros!$H$15</c:f>
          <c:strCache>
            <c:ptCount val="1"/>
            <c:pt idx="0">
              <c:v>Lucro dos Top 8 Produtos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TopLucros!$F$2:$F$9</c:f>
              <c:strCache>
                <c:ptCount val="8"/>
                <c:pt idx="0">
                  <c:v>Absorvente com Abas Johnson's 150ml</c:v>
                </c:pt>
                <c:pt idx="1">
                  <c:v>Amoxicilina 25mg - 30 Comprimidos - Eurofarma</c:v>
                </c:pt>
                <c:pt idx="2">
                  <c:v>Escitalopram Suspensão Oral 50ml - Eurofarma</c:v>
                </c:pt>
                <c:pt idx="3">
                  <c:v>Paracetamol 500mg - 20 Comprimidos - Medley (Genérico)</c:v>
                </c:pt>
                <c:pt idx="4">
                  <c:v>Paracetamol Xarope 120ml - EMS (Genérico)</c:v>
                </c:pt>
                <c:pt idx="5">
                  <c:v>Ibuprofeno 50mg - 30 Comprimidos - Medley (Genérico)</c:v>
                </c:pt>
                <c:pt idx="6">
                  <c:v>Creme Dental Nivea Tamanho G (32 un)</c:v>
                </c:pt>
                <c:pt idx="7">
                  <c:v>Azitromicina Pomada 30g - Medley (Genérico)</c:v>
                </c:pt>
              </c:strCache>
            </c:strRef>
          </c:cat>
          <c:val>
            <c:numRef>
              <c:f>TopLucros!$H$2:$H$9</c:f>
              <c:numCache>
                <c:formatCode>General</c:formatCode>
                <c:ptCount val="8"/>
                <c:pt idx="0">
                  <c:v>960832</c:v>
                </c:pt>
                <c:pt idx="1">
                  <c:v>728848</c:v>
                </c:pt>
                <c:pt idx="2">
                  <c:v>655531</c:v>
                </c:pt>
                <c:pt idx="3">
                  <c:v>644044</c:v>
                </c:pt>
                <c:pt idx="4">
                  <c:v>610157</c:v>
                </c:pt>
                <c:pt idx="5">
                  <c:v>605904</c:v>
                </c:pt>
                <c:pt idx="6">
                  <c:v>566230</c:v>
                </c:pt>
                <c:pt idx="7">
                  <c:v>559412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A4-4A3F-B048-CAA06506D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9542975"/>
        <c:axId val="5647727"/>
      </c:barChart>
      <c:catAx>
        <c:axId val="28954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7727"/>
        <c:crosses val="autoZero"/>
        <c:auto val="1"/>
        <c:lblAlgn val="ctr"/>
        <c:lblOffset val="100"/>
        <c:noMultiLvlLbl val="0"/>
      </c:catAx>
      <c:valAx>
        <c:axId val="564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9542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TopLucros!$H$15</c:f>
          <c:strCache>
            <c:ptCount val="1"/>
            <c:pt idx="0">
              <c:v>Lucro dos Top 8 Produtos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45955718329193701"/>
          <c:y val="0.17171296296296296"/>
          <c:w val="0.49210320603595153"/>
          <c:h val="0.62308654126567509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TopLucros!$F$2:$F$9</c:f>
              <c:strCache>
                <c:ptCount val="8"/>
                <c:pt idx="0">
                  <c:v>Absorvente com Abas Johnson's 150ml</c:v>
                </c:pt>
                <c:pt idx="1">
                  <c:v>Amoxicilina 25mg - 30 Comprimidos - Eurofarma</c:v>
                </c:pt>
                <c:pt idx="2">
                  <c:v>Escitalopram Suspensão Oral 50ml - Eurofarma</c:v>
                </c:pt>
                <c:pt idx="3">
                  <c:v>Paracetamol 500mg - 20 Comprimidos - Medley (Genérico)</c:v>
                </c:pt>
                <c:pt idx="4">
                  <c:v>Paracetamol Xarope 120ml - EMS (Genérico)</c:v>
                </c:pt>
                <c:pt idx="5">
                  <c:v>Ibuprofeno 50mg - 30 Comprimidos - Medley (Genérico)</c:v>
                </c:pt>
                <c:pt idx="6">
                  <c:v>Creme Dental Nivea Tamanho G (32 un)</c:v>
                </c:pt>
                <c:pt idx="7">
                  <c:v>Azitromicina Pomada 30g - Medley (Genérico)</c:v>
                </c:pt>
              </c:strCache>
            </c:strRef>
          </c:cat>
          <c:val>
            <c:numRef>
              <c:f>TopLucros!$H$2:$H$9</c:f>
              <c:numCache>
                <c:formatCode>General</c:formatCode>
                <c:ptCount val="8"/>
                <c:pt idx="0">
                  <c:v>960832</c:v>
                </c:pt>
                <c:pt idx="1">
                  <c:v>728848</c:v>
                </c:pt>
                <c:pt idx="2">
                  <c:v>655531</c:v>
                </c:pt>
                <c:pt idx="3">
                  <c:v>644044</c:v>
                </c:pt>
                <c:pt idx="4">
                  <c:v>610157</c:v>
                </c:pt>
                <c:pt idx="5">
                  <c:v>605904</c:v>
                </c:pt>
                <c:pt idx="6">
                  <c:v>566230</c:v>
                </c:pt>
                <c:pt idx="7">
                  <c:v>559412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03-4C41-80BB-2DF6CE81E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89542975"/>
        <c:axId val="5647727"/>
      </c:barChart>
      <c:catAx>
        <c:axId val="289542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7727"/>
        <c:crosses val="autoZero"/>
        <c:auto val="1"/>
        <c:lblAlgn val="ctr"/>
        <c:lblOffset val="100"/>
        <c:noMultiLvlLbl val="0"/>
      </c:catAx>
      <c:valAx>
        <c:axId val="5647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baseline="0"/>
                  <a:t>Lucro Total (R$)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9542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Receitas vs Despesas Mensais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ReceitaDespesa!$B$1</c:f>
              <c:strCache>
                <c:ptCount val="1"/>
                <c:pt idx="0">
                  <c:v>RECEITAS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ReceitaDespesa!$A$2:$A$26</c:f>
              <c:strCache>
                <c:ptCount val="25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  <c:pt idx="24">
                  <c:v>2026-09</c:v>
                </c:pt>
              </c:strCache>
            </c:strRef>
          </c:cat>
          <c:val>
            <c:numRef>
              <c:f>ReceitaDespesa!$B$2:$B$26</c:f>
              <c:numCache>
                <c:formatCode>"R$"\ #,##0.00</c:formatCode>
                <c:ptCount val="25"/>
                <c:pt idx="0">
                  <c:v>2906675</c:v>
                </c:pt>
                <c:pt idx="1">
                  <c:v>4576658</c:v>
                </c:pt>
                <c:pt idx="2">
                  <c:v>4290587</c:v>
                </c:pt>
                <c:pt idx="3">
                  <c:v>5430932</c:v>
                </c:pt>
                <c:pt idx="4">
                  <c:v>4154325</c:v>
                </c:pt>
                <c:pt idx="5">
                  <c:v>3652181</c:v>
                </c:pt>
                <c:pt idx="6">
                  <c:v>4037482</c:v>
                </c:pt>
                <c:pt idx="7">
                  <c:v>3257222</c:v>
                </c:pt>
                <c:pt idx="8">
                  <c:v>4215011</c:v>
                </c:pt>
                <c:pt idx="9">
                  <c:v>3800465</c:v>
                </c:pt>
                <c:pt idx="10">
                  <c:v>3721447</c:v>
                </c:pt>
                <c:pt idx="11">
                  <c:v>4459814</c:v>
                </c:pt>
                <c:pt idx="12">
                  <c:v>5251479</c:v>
                </c:pt>
                <c:pt idx="13">
                  <c:v>4202736</c:v>
                </c:pt>
                <c:pt idx="14">
                  <c:v>3826089</c:v>
                </c:pt>
                <c:pt idx="15">
                  <c:v>3874794</c:v>
                </c:pt>
                <c:pt idx="16">
                  <c:v>3729753</c:v>
                </c:pt>
                <c:pt idx="17">
                  <c:v>4684966</c:v>
                </c:pt>
                <c:pt idx="18">
                  <c:v>4603525</c:v>
                </c:pt>
                <c:pt idx="19">
                  <c:v>3972483</c:v>
                </c:pt>
                <c:pt idx="20">
                  <c:v>4126103</c:v>
                </c:pt>
                <c:pt idx="21">
                  <c:v>3743148</c:v>
                </c:pt>
                <c:pt idx="22">
                  <c:v>4574102</c:v>
                </c:pt>
                <c:pt idx="23">
                  <c:v>3590351</c:v>
                </c:pt>
                <c:pt idx="24">
                  <c:v>2103639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94-48FF-B29D-58195485608E}"/>
            </c:ext>
          </c:extLst>
        </c:ser>
        <c:ser>
          <c:idx val="1"/>
          <c:order val="1"/>
          <c:tx>
            <c:strRef>
              <c:f>ReceitaDespesa!$C$1</c:f>
              <c:strCache>
                <c:ptCount val="1"/>
                <c:pt idx="0">
                  <c:v>DESPESAS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ReceitaDespesa!$A$2:$A$26</c:f>
              <c:strCache>
                <c:ptCount val="25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  <c:pt idx="24">
                  <c:v>2026-09</c:v>
                </c:pt>
              </c:strCache>
            </c:strRef>
          </c:cat>
          <c:val>
            <c:numRef>
              <c:f>ReceitaDespesa!$C$2:$C$26</c:f>
              <c:numCache>
                <c:formatCode>"R$"\ #,##0.00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155787</c:v>
                </c:pt>
                <c:pt idx="13">
                  <c:v>325165</c:v>
                </c:pt>
                <c:pt idx="14">
                  <c:v>261753</c:v>
                </c:pt>
                <c:pt idx="15">
                  <c:v>283837</c:v>
                </c:pt>
                <c:pt idx="16">
                  <c:v>446114</c:v>
                </c:pt>
                <c:pt idx="17">
                  <c:v>353402</c:v>
                </c:pt>
                <c:pt idx="18">
                  <c:v>316187</c:v>
                </c:pt>
                <c:pt idx="19">
                  <c:v>373812</c:v>
                </c:pt>
                <c:pt idx="20">
                  <c:v>283083</c:v>
                </c:pt>
                <c:pt idx="21">
                  <c:v>292548</c:v>
                </c:pt>
                <c:pt idx="22">
                  <c:v>281730</c:v>
                </c:pt>
                <c:pt idx="23">
                  <c:v>319257</c:v>
                </c:pt>
                <c:pt idx="24">
                  <c:v>140846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94-48FF-B29D-581954856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6100463"/>
        <c:axId val="5616047"/>
      </c:barChart>
      <c:catAx>
        <c:axId val="45610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16047"/>
        <c:crosses val="autoZero"/>
        <c:auto val="1"/>
        <c:lblAlgn val="ctr"/>
        <c:lblOffset val="100"/>
        <c:noMultiLvlLbl val="0"/>
      </c:catAx>
      <c:valAx>
        <c:axId val="561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6100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Planilha5!$N$2</c:f>
          <c:strCache>
            <c:ptCount val="1"/>
            <c:pt idx="0">
              <c:v>Top 8 Clientes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Planilha5!$E$1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Planilha5!$D$2:$D$9</c:f>
              <c:strCache>
                <c:ptCount val="8"/>
                <c:pt idx="0">
                  <c:v>Luiza Aparecida</c:v>
                </c:pt>
                <c:pt idx="1">
                  <c:v>Ana Vitória Fogaça</c:v>
                </c:pt>
                <c:pt idx="2">
                  <c:v>Lara Rodrigues</c:v>
                </c:pt>
                <c:pt idx="3">
                  <c:v>Brayan da Mata</c:v>
                </c:pt>
                <c:pt idx="4">
                  <c:v>Sra. Agatha Pacheco</c:v>
                </c:pt>
                <c:pt idx="5">
                  <c:v>Ísis Ramos</c:v>
                </c:pt>
                <c:pt idx="6">
                  <c:v>Erick Siqueira</c:v>
                </c:pt>
                <c:pt idx="7">
                  <c:v>Maria Liz Novais</c:v>
                </c:pt>
              </c:strCache>
            </c:strRef>
          </c:cat>
          <c:val>
            <c:numRef>
              <c:f>Planilha5!$E$2:$E$9</c:f>
              <c:numCache>
                <c:formatCode>General</c:formatCode>
                <c:ptCount val="8"/>
                <c:pt idx="0">
                  <c:v>406498</c:v>
                </c:pt>
                <c:pt idx="1">
                  <c:v>398160</c:v>
                </c:pt>
                <c:pt idx="2">
                  <c:v>379230</c:v>
                </c:pt>
                <c:pt idx="3">
                  <c:v>370492</c:v>
                </c:pt>
                <c:pt idx="4">
                  <c:v>357212</c:v>
                </c:pt>
                <c:pt idx="5">
                  <c:v>324098</c:v>
                </c:pt>
                <c:pt idx="6">
                  <c:v>323239</c:v>
                </c:pt>
                <c:pt idx="7">
                  <c:v>320709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D7-4A5E-8470-CAF3D05F4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9471519"/>
        <c:axId val="5624207"/>
      </c:barChart>
      <c:catAx>
        <c:axId val="28947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4207"/>
        <c:crosses val="autoZero"/>
        <c:auto val="1"/>
        <c:lblAlgn val="ctr"/>
        <c:lblOffset val="100"/>
        <c:noMultiLvlLbl val="0"/>
      </c:catAx>
      <c:valAx>
        <c:axId val="562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9471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Concentração de Custos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DistDespesa!$E$1</c:f>
              <c:strCache>
                <c:ptCount val="1"/>
                <c:pt idx="0">
                  <c:v>Valor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0B-423E-9EB4-7EA2E524FB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0B-423E-9EB4-7EA2E524FB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10B-423E-9EB4-7EA2E524FB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8D6-40E3-A28D-6A7162A4B55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DistDespesa!$D$2:$D$9</c:f>
              <c:strCache>
                <c:ptCount val="8"/>
                <c:pt idx="0">
                  <c:v>Fonseca S/A</c:v>
                </c:pt>
                <c:pt idx="1">
                  <c:v>Costela Silveira - EI</c:v>
                </c:pt>
                <c:pt idx="2">
                  <c:v>Nascimento</c:v>
                </c:pt>
                <c:pt idx="3">
                  <c:v>Duarte</c:v>
                </c:pt>
                <c:pt idx="4">
                  <c:v>Moreira</c:v>
                </c:pt>
                <c:pt idx="5">
                  <c:v>Rezende</c:v>
                </c:pt>
                <c:pt idx="6">
                  <c:v>Fernandes</c:v>
                </c:pt>
                <c:pt idx="7">
                  <c:v>Freitas - EI</c:v>
                </c:pt>
              </c:strCache>
            </c:strRef>
          </c:cat>
          <c:val>
            <c:numRef>
              <c:f>DistDespesa!$E$2:$E$9</c:f>
              <c:numCache>
                <c:formatCode>General</c:formatCode>
                <c:ptCount val="8"/>
                <c:pt idx="0">
                  <c:v>91483</c:v>
                </c:pt>
                <c:pt idx="1">
                  <c:v>91199</c:v>
                </c:pt>
                <c:pt idx="2">
                  <c:v>78597</c:v>
                </c:pt>
                <c:pt idx="3">
                  <c:v>75160</c:v>
                </c:pt>
                <c:pt idx="4">
                  <c:v>74887</c:v>
                </c:pt>
                <c:pt idx="5">
                  <c:v>73436</c:v>
                </c:pt>
                <c:pt idx="6">
                  <c:v>73393</c:v>
                </c:pt>
                <c:pt idx="7">
                  <c:v>70524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10B-423E-9EB4-7EA2E524F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DashBoard!$R$22</c:f>
          <c:strCache>
            <c:ptCount val="1"/>
            <c:pt idx="0">
              <c:v>Volume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ReceitaDespesa!$E$1</c:f>
              <c:strCache>
                <c:ptCount val="1"/>
                <c:pt idx="0">
                  <c:v>VOL/TicMedio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ReceitaDespesa!$A$2:$A$26</c:f>
              <c:strCache>
                <c:ptCount val="25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  <c:pt idx="24">
                  <c:v>2026-09</c:v>
                </c:pt>
              </c:strCache>
            </c:strRef>
          </c:cat>
          <c:val>
            <c:numRef>
              <c:f>ReceitaDespesa!$E$2:$E$26</c:f>
              <c:numCache>
                <c:formatCode>General</c:formatCode>
                <c:ptCount val="25"/>
                <c:pt idx="0">
                  <c:v>245</c:v>
                </c:pt>
                <c:pt idx="1">
                  <c:v>423</c:v>
                </c:pt>
                <c:pt idx="2">
                  <c:v>393</c:v>
                </c:pt>
                <c:pt idx="3">
                  <c:v>454</c:v>
                </c:pt>
                <c:pt idx="4">
                  <c:v>381</c:v>
                </c:pt>
                <c:pt idx="5">
                  <c:v>314</c:v>
                </c:pt>
                <c:pt idx="6">
                  <c:v>352</c:v>
                </c:pt>
                <c:pt idx="7">
                  <c:v>321</c:v>
                </c:pt>
                <c:pt idx="8">
                  <c:v>366</c:v>
                </c:pt>
                <c:pt idx="9">
                  <c:v>337</c:v>
                </c:pt>
                <c:pt idx="10">
                  <c:v>305</c:v>
                </c:pt>
                <c:pt idx="11">
                  <c:v>386</c:v>
                </c:pt>
                <c:pt idx="12">
                  <c:v>429</c:v>
                </c:pt>
                <c:pt idx="13">
                  <c:v>384</c:v>
                </c:pt>
                <c:pt idx="14">
                  <c:v>348</c:v>
                </c:pt>
                <c:pt idx="15">
                  <c:v>376</c:v>
                </c:pt>
                <c:pt idx="16">
                  <c:v>331</c:v>
                </c:pt>
                <c:pt idx="17">
                  <c:v>409</c:v>
                </c:pt>
                <c:pt idx="18">
                  <c:v>398</c:v>
                </c:pt>
                <c:pt idx="19">
                  <c:v>352</c:v>
                </c:pt>
                <c:pt idx="20">
                  <c:v>378</c:v>
                </c:pt>
                <c:pt idx="21">
                  <c:v>356</c:v>
                </c:pt>
                <c:pt idx="22">
                  <c:v>386</c:v>
                </c:pt>
                <c:pt idx="23">
                  <c:v>388</c:v>
                </c:pt>
                <c:pt idx="24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45-455A-81BA-80EEDC31B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4903903"/>
        <c:axId val="5569007"/>
      </c:lineChart>
      <c:catAx>
        <c:axId val="45490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69007"/>
        <c:crosses val="autoZero"/>
        <c:auto val="1"/>
        <c:lblAlgn val="ctr"/>
        <c:lblOffset val="100"/>
        <c:noMultiLvlLbl val="0"/>
      </c:catAx>
      <c:valAx>
        <c:axId val="556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4903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DistDespesa!$E$1</c:f>
              <c:strCache>
                <c:ptCount val="1"/>
                <c:pt idx="0">
                  <c:v>Valor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C8-4D72-BB72-40D2A58FCB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C8-4D72-BB72-40D2A58FCB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FC8-4D72-BB72-40D2A58FCB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FC8-4D72-BB72-40D2A58FCB5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FC8-4D72-BB72-40D2A58FCB5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FC8-4D72-BB72-40D2A58FCB5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FC8-4D72-BB72-40D2A58FCB5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FC8-4D72-BB72-40D2A58FCB5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DistDespesa!$D$2:$D$9</c:f>
              <c:strCache>
                <c:ptCount val="8"/>
                <c:pt idx="0">
                  <c:v>Fonseca S/A</c:v>
                </c:pt>
                <c:pt idx="1">
                  <c:v>Costela Silveira - EI</c:v>
                </c:pt>
                <c:pt idx="2">
                  <c:v>Nascimento</c:v>
                </c:pt>
                <c:pt idx="3">
                  <c:v>Duarte</c:v>
                </c:pt>
                <c:pt idx="4">
                  <c:v>Moreira</c:v>
                </c:pt>
                <c:pt idx="5">
                  <c:v>Rezende</c:v>
                </c:pt>
                <c:pt idx="6">
                  <c:v>Fernandes</c:v>
                </c:pt>
                <c:pt idx="7">
                  <c:v>Freitas - EI</c:v>
                </c:pt>
              </c:strCache>
            </c:strRef>
          </c:cat>
          <c:val>
            <c:numRef>
              <c:f>DistDespesa!$E$2:$E$9</c:f>
              <c:numCache>
                <c:formatCode>General</c:formatCode>
                <c:ptCount val="8"/>
                <c:pt idx="0">
                  <c:v>91483</c:v>
                </c:pt>
                <c:pt idx="1">
                  <c:v>91199</c:v>
                </c:pt>
                <c:pt idx="2">
                  <c:v>78597</c:v>
                </c:pt>
                <c:pt idx="3">
                  <c:v>75160</c:v>
                </c:pt>
                <c:pt idx="4">
                  <c:v>74887</c:v>
                </c:pt>
                <c:pt idx="5">
                  <c:v>73436</c:v>
                </c:pt>
                <c:pt idx="6">
                  <c:v>73393</c:v>
                </c:pt>
                <c:pt idx="7">
                  <c:v>70524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37-4F09-8150-0701298B9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Planilha5!$E$1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Planilha5!$D$2:$D$9</c:f>
              <c:strCache>
                <c:ptCount val="8"/>
                <c:pt idx="0">
                  <c:v>Luiza Aparecida</c:v>
                </c:pt>
                <c:pt idx="1">
                  <c:v>Ana Vitória Fogaça</c:v>
                </c:pt>
                <c:pt idx="2">
                  <c:v>Lara Rodrigues</c:v>
                </c:pt>
                <c:pt idx="3">
                  <c:v>Brayan da Mata</c:v>
                </c:pt>
                <c:pt idx="4">
                  <c:v>Sra. Agatha Pacheco</c:v>
                </c:pt>
                <c:pt idx="5">
                  <c:v>Ísis Ramos</c:v>
                </c:pt>
                <c:pt idx="6">
                  <c:v>Erick Siqueira</c:v>
                </c:pt>
                <c:pt idx="7">
                  <c:v>Maria Liz Novais</c:v>
                </c:pt>
              </c:strCache>
            </c:strRef>
          </c:cat>
          <c:val>
            <c:numRef>
              <c:f>Planilha5!$E$2:$E$9</c:f>
              <c:numCache>
                <c:formatCode>General</c:formatCode>
                <c:ptCount val="8"/>
                <c:pt idx="0">
                  <c:v>406498</c:v>
                </c:pt>
                <c:pt idx="1">
                  <c:v>398160</c:v>
                </c:pt>
                <c:pt idx="2">
                  <c:v>379230</c:v>
                </c:pt>
                <c:pt idx="3">
                  <c:v>370492</c:v>
                </c:pt>
                <c:pt idx="4">
                  <c:v>357212</c:v>
                </c:pt>
                <c:pt idx="5">
                  <c:v>324098</c:v>
                </c:pt>
                <c:pt idx="6">
                  <c:v>323239</c:v>
                </c:pt>
                <c:pt idx="7">
                  <c:v>320709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15-48B1-AE78-40C8B05FE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9471519"/>
        <c:axId val="5624207"/>
      </c:barChart>
      <c:catAx>
        <c:axId val="28947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4207"/>
        <c:crosses val="autoZero"/>
        <c:auto val="1"/>
        <c:lblAlgn val="ctr"/>
        <c:lblOffset val="100"/>
        <c:noMultiLvlLbl val="0"/>
      </c:catAx>
      <c:valAx>
        <c:axId val="562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9471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443593</xdr:colOff>
      <xdr:row>4</xdr:row>
      <xdr:rowOff>97970</xdr:rowOff>
    </xdr:from>
    <xdr:to>
      <xdr:col>17</xdr:col>
      <xdr:colOff>443593</xdr:colOff>
      <xdr:row>19</xdr:row>
      <xdr:rowOff>65313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22C8FCA-069F-C41A-4DC5-0ED75DCF78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378278</xdr:colOff>
      <xdr:row>19</xdr:row>
      <xdr:rowOff>130628</xdr:rowOff>
    </xdr:from>
    <xdr:to>
      <xdr:col>17</xdr:col>
      <xdr:colOff>378278</xdr:colOff>
      <xdr:row>34</xdr:row>
      <xdr:rowOff>97971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7EF7637-28A4-4B4B-24B4-529BC6F507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650420</xdr:colOff>
      <xdr:row>0</xdr:row>
      <xdr:rowOff>81642</xdr:rowOff>
    </xdr:from>
    <xdr:to>
      <xdr:col>16</xdr:col>
      <xdr:colOff>650420</xdr:colOff>
      <xdr:row>15</xdr:row>
      <xdr:rowOff>48985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65C1729-703A-AA38-A74F-D857A722C1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10886</xdr:colOff>
      <xdr:row>5</xdr:row>
      <xdr:rowOff>5442</xdr:rowOff>
    </xdr:from>
    <xdr:to>
      <xdr:col>10</xdr:col>
      <xdr:colOff>70759</xdr:colOff>
      <xdr:row>19</xdr:row>
      <xdr:rowOff>157842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D1EB7FA-6958-46D3-95E7-E9A72573BB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70757</xdr:colOff>
      <xdr:row>5</xdr:row>
      <xdr:rowOff>10886</xdr:rowOff>
    </xdr:from>
    <xdr:to>
      <xdr:col>18</xdr:col>
      <xdr:colOff>5442</xdr:colOff>
      <xdr:row>19</xdr:row>
      <xdr:rowOff>163286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7393FB7-DDB0-418E-B17A-C3B13CD85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5443</xdr:colOff>
      <xdr:row>19</xdr:row>
      <xdr:rowOff>163287</xdr:rowOff>
    </xdr:from>
    <xdr:to>
      <xdr:col>7</xdr:col>
      <xdr:colOff>1</xdr:colOff>
      <xdr:row>34</xdr:row>
      <xdr:rowOff>130630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5D40D11-4B73-43AF-88D3-BE2080FF97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16333</xdr:colOff>
      <xdr:row>19</xdr:row>
      <xdr:rowOff>163286</xdr:rowOff>
    </xdr:from>
    <xdr:to>
      <xdr:col>11</xdr:col>
      <xdr:colOff>315687</xdr:colOff>
      <xdr:row>34</xdr:row>
      <xdr:rowOff>130629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120FA88-F82D-470D-B085-9E356DB331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342900</xdr:colOff>
      <xdr:row>19</xdr:row>
      <xdr:rowOff>174172</xdr:rowOff>
    </xdr:from>
    <xdr:to>
      <xdr:col>16</xdr:col>
      <xdr:colOff>642256</xdr:colOff>
      <xdr:row>34</xdr:row>
      <xdr:rowOff>141515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7BBC74D-58CB-4C7B-96CC-29F56F8658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481693</xdr:colOff>
      <xdr:row>0</xdr:row>
      <xdr:rowOff>174170</xdr:rowOff>
    </xdr:from>
    <xdr:to>
      <xdr:col>12</xdr:col>
      <xdr:colOff>481693</xdr:colOff>
      <xdr:row>15</xdr:row>
      <xdr:rowOff>141513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60FB1CA-7DBC-4A58-3D9D-FEA8157F84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111577</xdr:colOff>
      <xdr:row>0</xdr:row>
      <xdr:rowOff>76200</xdr:rowOff>
    </xdr:from>
    <xdr:to>
      <xdr:col>12</xdr:col>
      <xdr:colOff>111577</xdr:colOff>
      <xdr:row>15</xdr:row>
      <xdr:rowOff>43543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133F7D6-4006-8285-F0ED-184AEBC2D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4BF7672A-FD12-4598-AAA7-DD78B1A6C637}" autoFormatId="16" applyNumberFormats="0" applyBorderFormats="0" applyFontFormats="0" applyPatternFormats="0" applyAlignmentFormats="0" applyWidthHeightFormats="0">
  <queryTableRefresh nextId="10" unboundColumnsRight="2">
    <queryTableFields count="8">
      <queryTableField id="1" name="idreceita" tableColumnId="1"/>
      <queryTableField id="2" name="data_transacao" tableColumnId="2"/>
      <queryTableField id="3" name="nomecliente" tableColumnId="3"/>
      <queryTableField id="4" name="nomeproduto" tableColumnId="4"/>
      <queryTableField id="5" name="quantidade" tableColumnId="5"/>
      <queryTableField id="6" name="preco_unitario" tableColumnId="6"/>
      <queryTableField id="8" dataBound="0" tableColumnId="8"/>
      <queryTableField id="9" dataBound="0" tableColumnId="9"/>
    </queryTableFields>
    <queryTableDeletedFields count="1">
      <deletedField name="valor_total_receita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1B5E412-E278-4CEF-BD1B-BEE5A6DB6FE3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iddespesa" tableColumnId="1"/>
      <queryTableField id="2" name="data_transacao" tableColumnId="2"/>
      <queryTableField id="3" name="nomefornecedor" tableColumnId="3"/>
      <queryTableField id="4" name="nomeproduto" tableColumnId="4"/>
      <queryTableField id="5" name="quantidade" tableColumnId="5"/>
      <queryTableField id="6" name="preco_unitario" tableColumnId="6"/>
      <queryTableField id="7" name="valor_total_despesa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7E2E98-F1B3-4546-9055-7829635C9E70}" name="TbReceitas" displayName="TbReceitas" ref="A1:H3001" tableType="queryTable" totalsRowShown="0">
  <autoFilter ref="A1:H3001" xr:uid="{837E2E98-F1B3-4546-9055-7829635C9E70}"/>
  <sortState xmlns:xlrd2="http://schemas.microsoft.com/office/spreadsheetml/2017/richdata2" ref="A2:H3001">
    <sortCondition ref="A1:A3001"/>
  </sortState>
  <tableColumns count="8">
    <tableColumn id="1" xr3:uid="{A9C3D96F-8708-4AEB-BC54-05C781307BF0}" uniqueName="1" name="idreceita" queryTableFieldId="1"/>
    <tableColumn id="2" xr3:uid="{13D4FE68-DD84-4FF5-92CD-0F7B882B5170}" uniqueName="2" name="data_transacao" queryTableFieldId="2" dataDxfId="8"/>
    <tableColumn id="3" xr3:uid="{71480AC4-AE0D-42B2-9E1C-B1863A9DA296}" uniqueName="3" name="nomecliente" queryTableFieldId="3" dataDxfId="7"/>
    <tableColumn id="4" xr3:uid="{6813B5D0-4E58-49B1-A15C-D33163C2CCC8}" uniqueName="4" name="nomeproduto" queryTableFieldId="4" dataDxfId="6"/>
    <tableColumn id="5" xr3:uid="{6D787B69-ABCF-4E86-8582-270D94E7BFD0}" uniqueName="5" name="quantidade" queryTableFieldId="5"/>
    <tableColumn id="6" xr3:uid="{5DE7262D-CEA7-4961-84B1-E314CC6EE40B}" uniqueName="6" name="preco_unitario" queryTableFieldId="6"/>
    <tableColumn id="8" xr3:uid="{CC3523B6-4582-4CE0-9056-73AF5C12A365}" uniqueName="8" name="valor_total_receita" queryTableFieldId="8" dataDxfId="5">
      <calculatedColumnFormula>TbReceitas[[#This Row],[quantidade]]*TbReceitas[[#This Row],[preco_unitario]]</calculatedColumnFormula>
    </tableColumn>
    <tableColumn id="9" xr3:uid="{67AE4B9E-8CCF-4D81-B7C0-C105A52D6A5A}" uniqueName="9" name="mes_ano" queryTableFieldId="9" dataDxfId="4">
      <calculatedColumnFormula>TEXT(TbReceitas[[#This Row],[data_transacao]], "aaaa-mm")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69D151-6175-4420-AB64-A5B8F54896B3}" name="TbDespesas" displayName="TbDespesas" ref="A1:H1936" tableType="queryTable" totalsRowShown="0">
  <autoFilter ref="A1:H1936" xr:uid="{9E69D151-6175-4420-AB64-A5B8F54896B3}"/>
  <tableColumns count="8">
    <tableColumn id="1" xr3:uid="{AA39721C-C90C-475C-8E1A-20AA1922143E}" uniqueName="1" name="iddespesa" queryTableFieldId="1"/>
    <tableColumn id="2" xr3:uid="{55307CF4-A319-4B2B-BE54-E3D532F0E2B1}" uniqueName="2" name="data_transacao" queryTableFieldId="2" dataDxfId="3"/>
    <tableColumn id="3" xr3:uid="{26A691A8-3F8B-4A77-AE68-F9AF3976E15F}" uniqueName="3" name="nomefornecedor" queryTableFieldId="3" dataDxfId="2"/>
    <tableColumn id="4" xr3:uid="{6DE50449-4B7F-4310-85DE-2BF7282BAEE6}" uniqueName="4" name="nomeproduto" queryTableFieldId="4" dataDxfId="1"/>
    <tableColumn id="5" xr3:uid="{D847A542-0098-405F-8E5D-1F39FAEECD4A}" uniqueName="5" name="quantidade" queryTableFieldId="5"/>
    <tableColumn id="6" xr3:uid="{E71FABB0-3D52-442B-A651-32F2D6E527C6}" uniqueName="6" name="preco_unitario" queryTableFieldId="6"/>
    <tableColumn id="7" xr3:uid="{F6B45169-99D1-4580-84A0-7954CCFCD207}" uniqueName="7" name="valor_total_despesa" queryTableFieldId="7"/>
    <tableColumn id="8" xr3:uid="{484DE7CA-9F29-4080-BDFF-070257AACAC9}" uniqueName="8" name="mes_ano" queryTableFieldId="8" dataDxfId="0">
      <calculatedColumnFormula>TEXT(TbDespesas[[#This Row],[data_transacao]], "aaaa-mm")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1A5B5-F638-45F8-BACC-F6E2A7D388B8}">
  <dimension ref="A1:H3001"/>
  <sheetViews>
    <sheetView workbookViewId="0">
      <selection activeCell="I5" sqref="I5"/>
    </sheetView>
  </sheetViews>
  <sheetFormatPr defaultRowHeight="14.6"/>
  <cols>
    <col min="1" max="1" width="10.53515625" bestFit="1" customWidth="1"/>
    <col min="2" max="2" width="16" bestFit="1" customWidth="1"/>
    <col min="3" max="3" width="27" bestFit="1" customWidth="1"/>
    <col min="4" max="4" width="56.4609375" bestFit="1" customWidth="1"/>
    <col min="5" max="5" width="12.61328125" bestFit="1" customWidth="1"/>
    <col min="6" max="6" width="15.3046875" bestFit="1" customWidth="1"/>
    <col min="7" max="7" width="15.3828125" bestFit="1" customWidth="1"/>
    <col min="8" max="8" width="10.53515625" bestFit="1" customWidth="1"/>
    <col min="9" max="9" width="20" customWidth="1"/>
    <col min="10" max="10" width="15.765625" bestFit="1" customWidth="1"/>
    <col min="11" max="16" width="2.84375" bestFit="1" customWidth="1"/>
    <col min="17" max="109" width="3.84375" bestFit="1" customWidth="1"/>
    <col min="110" max="573" width="4.84375" bestFit="1" customWidth="1"/>
    <col min="574" max="1614" width="5.84375" bestFit="1" customWidth="1"/>
    <col min="1615" max="1658" width="6.84375" bestFit="1" customWidth="1"/>
    <col min="1659" max="1659" width="10.84375" bestFit="1" customWidth="1"/>
    <col min="1660" max="1660" width="9.84375" bestFit="1" customWidth="1"/>
    <col min="1661" max="1663" width="10.84375" bestFit="1" customWidth="1"/>
    <col min="1664" max="1665" width="9.84375" bestFit="1" customWidth="1"/>
    <col min="1666" max="1666" width="10.84375" bestFit="1" customWidth="1"/>
    <col min="1667" max="1667" width="9.84375" bestFit="1" customWidth="1"/>
    <col min="1668" max="1668" width="10.84375" bestFit="1" customWidth="1"/>
    <col min="1669" max="1669" width="9.84375" bestFit="1" customWidth="1"/>
    <col min="1670" max="1675" width="10.84375" bestFit="1" customWidth="1"/>
    <col min="1676" max="1676" width="9.84375" bestFit="1" customWidth="1"/>
    <col min="1677" max="1682" width="10.84375" bestFit="1" customWidth="1"/>
    <col min="1683" max="1685" width="9.84375" bestFit="1" customWidth="1"/>
    <col min="1686" max="1686" width="10.84375" bestFit="1" customWidth="1"/>
    <col min="1687" max="1689" width="9.84375" bestFit="1" customWidth="1"/>
    <col min="1690" max="1694" width="10.84375" bestFit="1" customWidth="1"/>
    <col min="1695" max="1697" width="9.84375" bestFit="1" customWidth="1"/>
    <col min="1698" max="1699" width="10.84375" bestFit="1" customWidth="1"/>
    <col min="1700" max="1706" width="9.84375" bestFit="1" customWidth="1"/>
    <col min="1707" max="1708" width="10.84375" bestFit="1" customWidth="1"/>
    <col min="1709" max="1710" width="9.84375" bestFit="1" customWidth="1"/>
    <col min="1711" max="1711" width="10.84375" bestFit="1" customWidth="1"/>
    <col min="1712" max="1712" width="9.84375" bestFit="1" customWidth="1"/>
    <col min="1713" max="1713" width="10.84375" bestFit="1" customWidth="1"/>
    <col min="1714" max="1714" width="9.84375" bestFit="1" customWidth="1"/>
    <col min="1715" max="1715" width="10.84375" bestFit="1" customWidth="1"/>
    <col min="1716" max="1721" width="9.84375" bestFit="1" customWidth="1"/>
    <col min="1722" max="1722" width="10.84375" bestFit="1" customWidth="1"/>
    <col min="1723" max="1725" width="9.84375" bestFit="1" customWidth="1"/>
    <col min="1726" max="1726" width="10.84375" bestFit="1" customWidth="1"/>
    <col min="1727" max="1727" width="9.84375" bestFit="1" customWidth="1"/>
    <col min="1728" max="1728" width="10.84375" bestFit="1" customWidth="1"/>
    <col min="1729" max="1729" width="9.84375" bestFit="1" customWidth="1"/>
    <col min="1730" max="1730" width="8.84375" bestFit="1" customWidth="1"/>
    <col min="1731" max="1732" width="9.84375" bestFit="1" customWidth="1"/>
    <col min="1733" max="1733" width="11.84375" bestFit="1" customWidth="1"/>
    <col min="1734" max="1736" width="10.84375" bestFit="1" customWidth="1"/>
    <col min="1737" max="1737" width="11.84375" bestFit="1" customWidth="1"/>
    <col min="1738" max="1741" width="10.84375" bestFit="1" customWidth="1"/>
    <col min="1742" max="1742" width="9.84375" bestFit="1" customWidth="1"/>
    <col min="1743" max="1743" width="11.84375" bestFit="1" customWidth="1"/>
    <col min="1744" max="1749" width="10.84375" bestFit="1" customWidth="1"/>
    <col min="1750" max="1750" width="9.84375" bestFit="1" customWidth="1"/>
    <col min="1751" max="1754" width="10.84375" bestFit="1" customWidth="1"/>
    <col min="1755" max="1755" width="9.84375" bestFit="1" customWidth="1"/>
    <col min="1756" max="1756" width="10.84375" bestFit="1" customWidth="1"/>
    <col min="1757" max="1758" width="9.84375" bestFit="1" customWidth="1"/>
    <col min="1759" max="1763" width="10.84375" bestFit="1" customWidth="1"/>
    <col min="1764" max="1764" width="9.84375" bestFit="1" customWidth="1"/>
    <col min="1765" max="1768" width="10.84375" bestFit="1" customWidth="1"/>
    <col min="1769" max="1769" width="9.84375" bestFit="1" customWidth="1"/>
    <col min="1770" max="1771" width="10.84375" bestFit="1" customWidth="1"/>
    <col min="1772" max="1777" width="9.84375" bestFit="1" customWidth="1"/>
    <col min="1778" max="1779" width="10.84375" bestFit="1" customWidth="1"/>
    <col min="1780" max="1780" width="9.84375" bestFit="1" customWidth="1"/>
    <col min="1781" max="1781" width="10.84375" bestFit="1" customWidth="1"/>
    <col min="1782" max="1782" width="9.84375" bestFit="1" customWidth="1"/>
    <col min="1783" max="1783" width="10.84375" bestFit="1" customWidth="1"/>
    <col min="1784" max="1788" width="9.84375" bestFit="1" customWidth="1"/>
    <col min="1789" max="1791" width="10.84375" bestFit="1" customWidth="1"/>
    <col min="1792" max="1792" width="9.84375" bestFit="1" customWidth="1"/>
    <col min="1793" max="1797" width="10.84375" bestFit="1" customWidth="1"/>
    <col min="1798" max="1798" width="8.84375" bestFit="1" customWidth="1"/>
    <col min="1799" max="1803" width="10.84375" bestFit="1" customWidth="1"/>
    <col min="1804" max="1805" width="9.84375" bestFit="1" customWidth="1"/>
    <col min="1806" max="1811" width="10.84375" bestFit="1" customWidth="1"/>
    <col min="1812" max="1813" width="9.84375" bestFit="1" customWidth="1"/>
    <col min="1814" max="1814" width="10.84375" bestFit="1" customWidth="1"/>
    <col min="1815" max="1817" width="9.84375" bestFit="1" customWidth="1"/>
    <col min="1818" max="1818" width="10.84375" bestFit="1" customWidth="1"/>
    <col min="1819" max="1820" width="9.84375" bestFit="1" customWidth="1"/>
    <col min="1821" max="1821" width="10.84375" bestFit="1" customWidth="1"/>
    <col min="1822" max="1824" width="8.84375" bestFit="1" customWidth="1"/>
    <col min="1825" max="1825" width="10.84375" bestFit="1" customWidth="1"/>
    <col min="1826" max="1826" width="9.84375" bestFit="1" customWidth="1"/>
    <col min="1827" max="1827" width="10.84375" bestFit="1" customWidth="1"/>
    <col min="1828" max="1828" width="9.84375" bestFit="1" customWidth="1"/>
    <col min="1829" max="1829" width="10.84375" bestFit="1" customWidth="1"/>
    <col min="1830" max="1831" width="9.84375" bestFit="1" customWidth="1"/>
    <col min="1832" max="1832" width="8.84375" bestFit="1" customWidth="1"/>
    <col min="1833" max="1846" width="10.84375" bestFit="1" customWidth="1"/>
    <col min="1847" max="1847" width="9.84375" bestFit="1" customWidth="1"/>
    <col min="1848" max="1853" width="10.84375" bestFit="1" customWidth="1"/>
    <col min="1854" max="1855" width="9.84375" bestFit="1" customWidth="1"/>
    <col min="1856" max="1856" width="10.84375" bestFit="1" customWidth="1"/>
    <col min="1857" max="1858" width="9.84375" bestFit="1" customWidth="1"/>
    <col min="1859" max="1859" width="8.84375" bestFit="1" customWidth="1"/>
    <col min="1860" max="1860" width="9.84375" bestFit="1" customWidth="1"/>
  </cols>
  <sheetData>
    <row r="1" spans="1:8">
      <c r="A1" t="s">
        <v>704</v>
      </c>
      <c r="B1" t="s">
        <v>1</v>
      </c>
      <c r="C1" t="s">
        <v>705</v>
      </c>
      <c r="D1" t="s">
        <v>3</v>
      </c>
      <c r="E1" t="s">
        <v>4</v>
      </c>
      <c r="F1" t="s">
        <v>5</v>
      </c>
      <c r="G1" t="s">
        <v>706</v>
      </c>
      <c r="H1" t="s">
        <v>1834</v>
      </c>
    </row>
    <row r="2" spans="1:8">
      <c r="A2">
        <v>1</v>
      </c>
      <c r="B2" s="1">
        <v>46237</v>
      </c>
      <c r="C2" t="s">
        <v>707</v>
      </c>
      <c r="D2" t="s">
        <v>322</v>
      </c>
      <c r="E2">
        <v>2</v>
      </c>
      <c r="F2">
        <v>12658</v>
      </c>
      <c r="G2">
        <f>TbReceitas[[#This Row],[quantidade]]*TbReceitas[[#This Row],[preco_unitario]]</f>
        <v>25316</v>
      </c>
      <c r="H2" t="str">
        <f>TEXT(TbReceitas[[#This Row],[data_transacao]], "aaaa-mm")</f>
        <v>2026-08</v>
      </c>
    </row>
    <row r="3" spans="1:8">
      <c r="A3">
        <v>2</v>
      </c>
      <c r="B3" s="1">
        <v>45822</v>
      </c>
      <c r="C3" t="s">
        <v>708</v>
      </c>
      <c r="D3" t="s">
        <v>699</v>
      </c>
      <c r="E3">
        <v>2</v>
      </c>
      <c r="F3">
        <v>12969</v>
      </c>
      <c r="G3">
        <f>TbReceitas[[#This Row],[quantidade]]*TbReceitas[[#This Row],[preco_unitario]]</f>
        <v>25938</v>
      </c>
      <c r="H3" t="str">
        <f>TEXT(TbReceitas[[#This Row],[data_transacao]], "aaaa-mm")</f>
        <v>2025-06</v>
      </c>
    </row>
    <row r="4" spans="1:8">
      <c r="A4">
        <v>3</v>
      </c>
      <c r="B4" s="1">
        <v>45700</v>
      </c>
      <c r="C4" t="s">
        <v>709</v>
      </c>
      <c r="D4" t="s">
        <v>105</v>
      </c>
      <c r="E4">
        <v>5</v>
      </c>
      <c r="F4">
        <v>11041</v>
      </c>
      <c r="G4">
        <f>TbReceitas[[#This Row],[quantidade]]*TbReceitas[[#This Row],[preco_unitario]]</f>
        <v>55205</v>
      </c>
      <c r="H4" t="str">
        <f>TEXT(TbReceitas[[#This Row],[data_transacao]], "aaaa-mm")</f>
        <v>2025-02</v>
      </c>
    </row>
    <row r="5" spans="1:8">
      <c r="A5">
        <v>4</v>
      </c>
      <c r="B5" s="1">
        <v>45928</v>
      </c>
      <c r="C5" t="s">
        <v>710</v>
      </c>
      <c r="D5" t="s">
        <v>271</v>
      </c>
      <c r="E5">
        <v>2</v>
      </c>
      <c r="F5">
        <v>10155</v>
      </c>
      <c r="G5">
        <f>TbReceitas[[#This Row],[quantidade]]*TbReceitas[[#This Row],[preco_unitario]]</f>
        <v>20310</v>
      </c>
      <c r="H5" t="str">
        <f>TEXT(TbReceitas[[#This Row],[data_transacao]], "aaaa-mm")</f>
        <v>2025-09</v>
      </c>
    </row>
    <row r="6" spans="1:8">
      <c r="A6">
        <v>5</v>
      </c>
      <c r="B6" s="1">
        <v>45827</v>
      </c>
      <c r="C6" t="s">
        <v>711</v>
      </c>
      <c r="D6" t="s">
        <v>109</v>
      </c>
      <c r="E6">
        <v>1</v>
      </c>
      <c r="F6">
        <v>23302</v>
      </c>
      <c r="G6">
        <f>TbReceitas[[#This Row],[quantidade]]*TbReceitas[[#This Row],[preco_unitario]]</f>
        <v>23302</v>
      </c>
      <c r="H6" t="str">
        <f>TEXT(TbReceitas[[#This Row],[data_transacao]], "aaaa-mm")</f>
        <v>2025-06</v>
      </c>
    </row>
    <row r="7" spans="1:8">
      <c r="A7">
        <v>6</v>
      </c>
      <c r="B7" s="1">
        <v>45717</v>
      </c>
      <c r="C7" t="s">
        <v>712</v>
      </c>
      <c r="D7" t="s">
        <v>282</v>
      </c>
      <c r="E7">
        <v>2</v>
      </c>
      <c r="F7">
        <v>2647</v>
      </c>
      <c r="G7">
        <f>TbReceitas[[#This Row],[quantidade]]*TbReceitas[[#This Row],[preco_unitario]]</f>
        <v>5294</v>
      </c>
      <c r="H7" t="str">
        <f>TEXT(TbReceitas[[#This Row],[data_transacao]], "aaaa-mm")</f>
        <v>2025-03</v>
      </c>
    </row>
    <row r="8" spans="1:8">
      <c r="A8">
        <v>7</v>
      </c>
      <c r="B8" s="1">
        <v>45827</v>
      </c>
      <c r="C8" t="s">
        <v>713</v>
      </c>
      <c r="D8" t="s">
        <v>702</v>
      </c>
      <c r="E8">
        <v>2</v>
      </c>
      <c r="F8">
        <v>13503</v>
      </c>
      <c r="G8">
        <f>TbReceitas[[#This Row],[quantidade]]*TbReceitas[[#This Row],[preco_unitario]]</f>
        <v>27006</v>
      </c>
      <c r="H8" t="str">
        <f>TEXT(TbReceitas[[#This Row],[data_transacao]], "aaaa-mm")</f>
        <v>2025-06</v>
      </c>
    </row>
    <row r="9" spans="1:8">
      <c r="A9">
        <v>8</v>
      </c>
      <c r="B9" s="1">
        <v>45651</v>
      </c>
      <c r="C9" t="s">
        <v>714</v>
      </c>
      <c r="D9" t="s">
        <v>658</v>
      </c>
      <c r="E9">
        <v>4</v>
      </c>
      <c r="F9">
        <v>9276</v>
      </c>
      <c r="G9">
        <f>TbReceitas[[#This Row],[quantidade]]*TbReceitas[[#This Row],[preco_unitario]]</f>
        <v>37104</v>
      </c>
      <c r="H9" t="str">
        <f>TEXT(TbReceitas[[#This Row],[data_transacao]], "aaaa-mm")</f>
        <v>2024-12</v>
      </c>
    </row>
    <row r="10" spans="1:8">
      <c r="A10">
        <v>9</v>
      </c>
      <c r="B10" s="1">
        <v>45899</v>
      </c>
      <c r="C10" t="s">
        <v>715</v>
      </c>
      <c r="D10" t="s">
        <v>425</v>
      </c>
      <c r="E10">
        <v>1</v>
      </c>
      <c r="F10">
        <v>24879</v>
      </c>
      <c r="G10">
        <f>TbReceitas[[#This Row],[quantidade]]*TbReceitas[[#This Row],[preco_unitario]]</f>
        <v>24879</v>
      </c>
      <c r="H10" t="str">
        <f>TEXT(TbReceitas[[#This Row],[data_transacao]], "aaaa-mm")</f>
        <v>2025-08</v>
      </c>
    </row>
    <row r="11" spans="1:8">
      <c r="A11">
        <v>10</v>
      </c>
      <c r="B11" s="1">
        <v>46134</v>
      </c>
      <c r="C11" t="s">
        <v>716</v>
      </c>
      <c r="D11" t="s">
        <v>87</v>
      </c>
      <c r="E11">
        <v>3</v>
      </c>
      <c r="F11">
        <v>5365</v>
      </c>
      <c r="G11">
        <f>TbReceitas[[#This Row],[quantidade]]*TbReceitas[[#This Row],[preco_unitario]]</f>
        <v>16095</v>
      </c>
      <c r="H11" t="str">
        <f>TEXT(TbReceitas[[#This Row],[data_transacao]], "aaaa-mm")</f>
        <v>2026-04</v>
      </c>
    </row>
    <row r="12" spans="1:8">
      <c r="A12">
        <v>11</v>
      </c>
      <c r="B12" s="1">
        <v>46152</v>
      </c>
      <c r="C12" t="s">
        <v>717</v>
      </c>
      <c r="D12" t="s">
        <v>67</v>
      </c>
      <c r="E12">
        <v>1</v>
      </c>
      <c r="F12">
        <v>13019</v>
      </c>
      <c r="G12">
        <f>TbReceitas[[#This Row],[quantidade]]*TbReceitas[[#This Row],[preco_unitario]]</f>
        <v>13019</v>
      </c>
      <c r="H12" t="str">
        <f>TEXT(TbReceitas[[#This Row],[data_transacao]], "aaaa-mm")</f>
        <v>2026-05</v>
      </c>
    </row>
    <row r="13" spans="1:8">
      <c r="A13">
        <v>12</v>
      </c>
      <c r="B13" s="1">
        <v>46107</v>
      </c>
      <c r="C13" t="s">
        <v>718</v>
      </c>
      <c r="D13" t="s">
        <v>19</v>
      </c>
      <c r="E13">
        <v>5</v>
      </c>
      <c r="F13">
        <v>13342</v>
      </c>
      <c r="G13">
        <f>TbReceitas[[#This Row],[quantidade]]*TbReceitas[[#This Row],[preco_unitario]]</f>
        <v>66710</v>
      </c>
      <c r="H13" t="str">
        <f>TEXT(TbReceitas[[#This Row],[data_transacao]], "aaaa-mm")</f>
        <v>2026-03</v>
      </c>
    </row>
    <row r="14" spans="1:8">
      <c r="A14">
        <v>13</v>
      </c>
      <c r="B14" s="1">
        <v>46156</v>
      </c>
      <c r="C14" t="s">
        <v>719</v>
      </c>
      <c r="D14" t="s">
        <v>328</v>
      </c>
      <c r="E14">
        <v>5</v>
      </c>
      <c r="F14">
        <v>23333</v>
      </c>
      <c r="G14">
        <f>TbReceitas[[#This Row],[quantidade]]*TbReceitas[[#This Row],[preco_unitario]]</f>
        <v>116665</v>
      </c>
      <c r="H14" t="str">
        <f>TEXT(TbReceitas[[#This Row],[data_transacao]], "aaaa-mm")</f>
        <v>2026-05</v>
      </c>
    </row>
    <row r="15" spans="1:8">
      <c r="A15">
        <v>14</v>
      </c>
      <c r="B15" s="1">
        <v>45793</v>
      </c>
      <c r="C15" t="s">
        <v>720</v>
      </c>
      <c r="D15" t="s">
        <v>243</v>
      </c>
      <c r="E15">
        <v>2</v>
      </c>
      <c r="F15">
        <v>2685</v>
      </c>
      <c r="G15">
        <f>TbReceitas[[#This Row],[quantidade]]*TbReceitas[[#This Row],[preco_unitario]]</f>
        <v>5370</v>
      </c>
      <c r="H15" t="str">
        <f>TEXT(TbReceitas[[#This Row],[data_transacao]], "aaaa-mm")</f>
        <v>2025-05</v>
      </c>
    </row>
    <row r="16" spans="1:8">
      <c r="A16">
        <v>15</v>
      </c>
      <c r="B16" s="1">
        <v>46186</v>
      </c>
      <c r="C16" t="s">
        <v>721</v>
      </c>
      <c r="D16" t="s">
        <v>722</v>
      </c>
      <c r="E16">
        <v>3</v>
      </c>
      <c r="F16">
        <v>1511</v>
      </c>
      <c r="G16">
        <f>TbReceitas[[#This Row],[quantidade]]*TbReceitas[[#This Row],[preco_unitario]]</f>
        <v>4533</v>
      </c>
      <c r="H16" t="str">
        <f>TEXT(TbReceitas[[#This Row],[data_transacao]], "aaaa-mm")</f>
        <v>2026-06</v>
      </c>
    </row>
    <row r="17" spans="1:8">
      <c r="A17">
        <v>16</v>
      </c>
      <c r="B17" s="1">
        <v>46273</v>
      </c>
      <c r="C17" t="s">
        <v>723</v>
      </c>
      <c r="D17" t="s">
        <v>317</v>
      </c>
      <c r="E17">
        <v>4</v>
      </c>
      <c r="F17">
        <v>18047</v>
      </c>
      <c r="G17">
        <f>TbReceitas[[#This Row],[quantidade]]*TbReceitas[[#This Row],[preco_unitario]]</f>
        <v>72188</v>
      </c>
      <c r="H17" t="str">
        <f>TEXT(TbReceitas[[#This Row],[data_transacao]], "aaaa-mm")</f>
        <v>2026-09</v>
      </c>
    </row>
    <row r="18" spans="1:8">
      <c r="A18">
        <v>17</v>
      </c>
      <c r="B18" s="1">
        <v>45896</v>
      </c>
      <c r="C18" t="s">
        <v>724</v>
      </c>
      <c r="D18" t="s">
        <v>544</v>
      </c>
      <c r="E18">
        <v>1</v>
      </c>
      <c r="F18">
        <v>13184</v>
      </c>
      <c r="G18">
        <f>TbReceitas[[#This Row],[quantidade]]*TbReceitas[[#This Row],[preco_unitario]]</f>
        <v>13184</v>
      </c>
      <c r="H18" t="str">
        <f>TEXT(TbReceitas[[#This Row],[data_transacao]], "aaaa-mm")</f>
        <v>2025-08</v>
      </c>
    </row>
    <row r="19" spans="1:8">
      <c r="A19">
        <v>18</v>
      </c>
      <c r="B19" s="1">
        <v>45975</v>
      </c>
      <c r="C19" t="s">
        <v>725</v>
      </c>
      <c r="D19" t="s">
        <v>263</v>
      </c>
      <c r="E19">
        <v>5</v>
      </c>
      <c r="F19">
        <v>18249</v>
      </c>
      <c r="G19">
        <f>TbReceitas[[#This Row],[quantidade]]*TbReceitas[[#This Row],[preco_unitario]]</f>
        <v>91245</v>
      </c>
      <c r="H19" t="str">
        <f>TEXT(TbReceitas[[#This Row],[data_transacao]], "aaaa-mm")</f>
        <v>2025-11</v>
      </c>
    </row>
    <row r="20" spans="1:8">
      <c r="A20">
        <v>19</v>
      </c>
      <c r="B20" s="1">
        <v>45883</v>
      </c>
      <c r="C20" t="s">
        <v>726</v>
      </c>
      <c r="D20" t="s">
        <v>170</v>
      </c>
      <c r="E20">
        <v>5</v>
      </c>
      <c r="F20">
        <v>22315</v>
      </c>
      <c r="G20">
        <f>TbReceitas[[#This Row],[quantidade]]*TbReceitas[[#This Row],[preco_unitario]]</f>
        <v>111575</v>
      </c>
      <c r="H20" t="str">
        <f>TEXT(TbReceitas[[#This Row],[data_transacao]], "aaaa-mm")</f>
        <v>2025-08</v>
      </c>
    </row>
    <row r="21" spans="1:8">
      <c r="A21">
        <v>20</v>
      </c>
      <c r="B21" s="1">
        <v>45990</v>
      </c>
      <c r="C21" t="s">
        <v>727</v>
      </c>
      <c r="D21" t="s">
        <v>72</v>
      </c>
      <c r="E21">
        <v>5</v>
      </c>
      <c r="F21">
        <v>22215</v>
      </c>
      <c r="G21">
        <f>TbReceitas[[#This Row],[quantidade]]*TbReceitas[[#This Row],[preco_unitario]]</f>
        <v>111075</v>
      </c>
      <c r="H21" t="str">
        <f>TEXT(TbReceitas[[#This Row],[data_transacao]], "aaaa-mm")</f>
        <v>2025-11</v>
      </c>
    </row>
    <row r="22" spans="1:8">
      <c r="A22">
        <v>21</v>
      </c>
      <c r="B22" s="1">
        <v>45674</v>
      </c>
      <c r="C22" t="s">
        <v>728</v>
      </c>
      <c r="D22" t="s">
        <v>688</v>
      </c>
      <c r="E22">
        <v>5</v>
      </c>
      <c r="F22">
        <v>24347</v>
      </c>
      <c r="G22">
        <f>TbReceitas[[#This Row],[quantidade]]*TbReceitas[[#This Row],[preco_unitario]]</f>
        <v>121735</v>
      </c>
      <c r="H22" t="str">
        <f>TEXT(TbReceitas[[#This Row],[data_transacao]], "aaaa-mm")</f>
        <v>2025-01</v>
      </c>
    </row>
    <row r="23" spans="1:8">
      <c r="A23">
        <v>22</v>
      </c>
      <c r="B23" s="1">
        <v>45890</v>
      </c>
      <c r="C23" t="s">
        <v>729</v>
      </c>
      <c r="D23" t="s">
        <v>425</v>
      </c>
      <c r="E23">
        <v>4</v>
      </c>
      <c r="F23">
        <v>24879</v>
      </c>
      <c r="G23">
        <f>TbReceitas[[#This Row],[quantidade]]*TbReceitas[[#This Row],[preco_unitario]]</f>
        <v>99516</v>
      </c>
      <c r="H23" t="str">
        <f>TEXT(TbReceitas[[#This Row],[data_transacao]], "aaaa-mm")</f>
        <v>2025-08</v>
      </c>
    </row>
    <row r="24" spans="1:8">
      <c r="A24">
        <v>23</v>
      </c>
      <c r="B24" s="1">
        <v>45656</v>
      </c>
      <c r="C24" t="s">
        <v>730</v>
      </c>
      <c r="D24" t="s">
        <v>597</v>
      </c>
      <c r="E24">
        <v>5</v>
      </c>
      <c r="F24">
        <v>24195</v>
      </c>
      <c r="G24">
        <f>TbReceitas[[#This Row],[quantidade]]*TbReceitas[[#This Row],[preco_unitario]]</f>
        <v>120975</v>
      </c>
      <c r="H24" t="str">
        <f>TEXT(TbReceitas[[#This Row],[data_transacao]], "aaaa-mm")</f>
        <v>2024-12</v>
      </c>
    </row>
    <row r="25" spans="1:8">
      <c r="A25">
        <v>24</v>
      </c>
      <c r="B25" s="1">
        <v>46137</v>
      </c>
      <c r="C25" t="s">
        <v>731</v>
      </c>
      <c r="D25" t="s">
        <v>398</v>
      </c>
      <c r="E25">
        <v>5</v>
      </c>
      <c r="F25">
        <v>8993</v>
      </c>
      <c r="G25">
        <f>TbReceitas[[#This Row],[quantidade]]*TbReceitas[[#This Row],[preco_unitario]]</f>
        <v>44965</v>
      </c>
      <c r="H25" t="str">
        <f>TEXT(TbReceitas[[#This Row],[data_transacao]], "aaaa-mm")</f>
        <v>2026-04</v>
      </c>
    </row>
    <row r="26" spans="1:8">
      <c r="A26">
        <v>25</v>
      </c>
      <c r="B26" s="1">
        <v>46264</v>
      </c>
      <c r="C26" t="s">
        <v>732</v>
      </c>
      <c r="D26" t="s">
        <v>155</v>
      </c>
      <c r="E26">
        <v>4</v>
      </c>
      <c r="F26">
        <v>4712</v>
      </c>
      <c r="G26">
        <f>TbReceitas[[#This Row],[quantidade]]*TbReceitas[[#This Row],[preco_unitario]]</f>
        <v>18848</v>
      </c>
      <c r="H26" t="str">
        <f>TEXT(TbReceitas[[#This Row],[data_transacao]], "aaaa-mm")</f>
        <v>2026-08</v>
      </c>
    </row>
    <row r="27" spans="1:8">
      <c r="A27">
        <v>26</v>
      </c>
      <c r="B27" s="1">
        <v>46226</v>
      </c>
      <c r="C27" t="s">
        <v>733</v>
      </c>
      <c r="D27" t="s">
        <v>353</v>
      </c>
      <c r="E27">
        <v>2</v>
      </c>
      <c r="F27">
        <v>1932</v>
      </c>
      <c r="G27">
        <f>TbReceitas[[#This Row],[quantidade]]*TbReceitas[[#This Row],[preco_unitario]]</f>
        <v>3864</v>
      </c>
      <c r="H27" t="str">
        <f>TEXT(TbReceitas[[#This Row],[data_transacao]], "aaaa-mm")</f>
        <v>2026-07</v>
      </c>
    </row>
    <row r="28" spans="1:8">
      <c r="A28">
        <v>27</v>
      </c>
      <c r="B28" s="1">
        <v>46071</v>
      </c>
      <c r="C28" t="s">
        <v>734</v>
      </c>
      <c r="D28" t="s">
        <v>77</v>
      </c>
      <c r="E28">
        <v>5</v>
      </c>
      <c r="F28">
        <v>23733</v>
      </c>
      <c r="G28">
        <f>TbReceitas[[#This Row],[quantidade]]*TbReceitas[[#This Row],[preco_unitario]]</f>
        <v>118665</v>
      </c>
      <c r="H28" t="str">
        <f>TEXT(TbReceitas[[#This Row],[data_transacao]], "aaaa-mm")</f>
        <v>2026-02</v>
      </c>
    </row>
    <row r="29" spans="1:8">
      <c r="A29">
        <v>28</v>
      </c>
      <c r="B29" s="1">
        <v>45712</v>
      </c>
      <c r="C29" t="s">
        <v>735</v>
      </c>
      <c r="D29" t="s">
        <v>239</v>
      </c>
      <c r="E29">
        <v>1</v>
      </c>
      <c r="F29">
        <v>3369</v>
      </c>
      <c r="G29">
        <f>TbReceitas[[#This Row],[quantidade]]*TbReceitas[[#This Row],[preco_unitario]]</f>
        <v>3369</v>
      </c>
      <c r="H29" t="str">
        <f>TEXT(TbReceitas[[#This Row],[data_transacao]], "aaaa-mm")</f>
        <v>2025-02</v>
      </c>
    </row>
    <row r="30" spans="1:8">
      <c r="A30">
        <v>29</v>
      </c>
      <c r="B30" s="1">
        <v>45879</v>
      </c>
      <c r="C30" t="s">
        <v>736</v>
      </c>
      <c r="D30" t="s">
        <v>308</v>
      </c>
      <c r="E30">
        <v>5</v>
      </c>
      <c r="F30">
        <v>3639</v>
      </c>
      <c r="G30">
        <f>TbReceitas[[#This Row],[quantidade]]*TbReceitas[[#This Row],[preco_unitario]]</f>
        <v>18195</v>
      </c>
      <c r="H30" t="str">
        <f>TEXT(TbReceitas[[#This Row],[data_transacao]], "aaaa-mm")</f>
        <v>2025-08</v>
      </c>
    </row>
    <row r="31" spans="1:8">
      <c r="A31">
        <v>30</v>
      </c>
      <c r="B31" s="1">
        <v>45834</v>
      </c>
      <c r="C31" t="s">
        <v>737</v>
      </c>
      <c r="D31" t="s">
        <v>427</v>
      </c>
      <c r="E31">
        <v>2</v>
      </c>
      <c r="F31">
        <v>9083</v>
      </c>
      <c r="G31">
        <f>TbReceitas[[#This Row],[quantidade]]*TbReceitas[[#This Row],[preco_unitario]]</f>
        <v>18166</v>
      </c>
      <c r="H31" t="str">
        <f>TEXT(TbReceitas[[#This Row],[data_transacao]], "aaaa-mm")</f>
        <v>2025-06</v>
      </c>
    </row>
    <row r="32" spans="1:8">
      <c r="A32">
        <v>31</v>
      </c>
      <c r="B32" s="1">
        <v>46055</v>
      </c>
      <c r="C32" t="s">
        <v>738</v>
      </c>
      <c r="D32" t="s">
        <v>80</v>
      </c>
      <c r="E32">
        <v>5</v>
      </c>
      <c r="F32">
        <v>846</v>
      </c>
      <c r="G32">
        <f>TbReceitas[[#This Row],[quantidade]]*TbReceitas[[#This Row],[preco_unitario]]</f>
        <v>4230</v>
      </c>
      <c r="H32" t="str">
        <f>TEXT(TbReceitas[[#This Row],[data_transacao]], "aaaa-mm")</f>
        <v>2026-02</v>
      </c>
    </row>
    <row r="33" spans="1:8">
      <c r="A33">
        <v>32</v>
      </c>
      <c r="B33" s="1">
        <v>45961</v>
      </c>
      <c r="C33" t="s">
        <v>739</v>
      </c>
      <c r="D33" t="s">
        <v>33</v>
      </c>
      <c r="E33">
        <v>4</v>
      </c>
      <c r="F33">
        <v>20998</v>
      </c>
      <c r="G33">
        <f>TbReceitas[[#This Row],[quantidade]]*TbReceitas[[#This Row],[preco_unitario]]</f>
        <v>83992</v>
      </c>
      <c r="H33" t="str">
        <f>TEXT(TbReceitas[[#This Row],[data_transacao]], "aaaa-mm")</f>
        <v>2025-10</v>
      </c>
    </row>
    <row r="34" spans="1:8">
      <c r="A34">
        <v>33</v>
      </c>
      <c r="B34" s="1">
        <v>46174</v>
      </c>
      <c r="C34" t="s">
        <v>740</v>
      </c>
      <c r="D34" t="s">
        <v>399</v>
      </c>
      <c r="E34">
        <v>2</v>
      </c>
      <c r="F34">
        <v>2413</v>
      </c>
      <c r="G34">
        <f>TbReceitas[[#This Row],[quantidade]]*TbReceitas[[#This Row],[preco_unitario]]</f>
        <v>4826</v>
      </c>
      <c r="H34" t="str">
        <f>TEXT(TbReceitas[[#This Row],[data_transacao]], "aaaa-mm")</f>
        <v>2026-06</v>
      </c>
    </row>
    <row r="35" spans="1:8">
      <c r="A35">
        <v>34</v>
      </c>
      <c r="B35" s="1">
        <v>45716</v>
      </c>
      <c r="C35" t="s">
        <v>741</v>
      </c>
      <c r="D35" t="s">
        <v>345</v>
      </c>
      <c r="E35">
        <v>4</v>
      </c>
      <c r="F35">
        <v>2298</v>
      </c>
      <c r="G35">
        <f>TbReceitas[[#This Row],[quantidade]]*TbReceitas[[#This Row],[preco_unitario]]</f>
        <v>9192</v>
      </c>
      <c r="H35" t="str">
        <f>TEXT(TbReceitas[[#This Row],[data_transacao]], "aaaa-mm")</f>
        <v>2025-02</v>
      </c>
    </row>
    <row r="36" spans="1:8">
      <c r="A36">
        <v>35</v>
      </c>
      <c r="B36" s="1">
        <v>46242</v>
      </c>
      <c r="C36" t="s">
        <v>742</v>
      </c>
      <c r="D36" t="s">
        <v>94</v>
      </c>
      <c r="E36">
        <v>2</v>
      </c>
      <c r="F36">
        <v>11961</v>
      </c>
      <c r="G36">
        <f>TbReceitas[[#This Row],[quantidade]]*TbReceitas[[#This Row],[preco_unitario]]</f>
        <v>23922</v>
      </c>
      <c r="H36" t="str">
        <f>TEXT(TbReceitas[[#This Row],[data_transacao]], "aaaa-mm")</f>
        <v>2026-08</v>
      </c>
    </row>
    <row r="37" spans="1:8">
      <c r="A37">
        <v>36</v>
      </c>
      <c r="B37" s="1">
        <v>46043</v>
      </c>
      <c r="C37" t="s">
        <v>743</v>
      </c>
      <c r="D37" t="s">
        <v>198</v>
      </c>
      <c r="E37">
        <v>2</v>
      </c>
      <c r="F37">
        <v>4434</v>
      </c>
      <c r="G37">
        <f>TbReceitas[[#This Row],[quantidade]]*TbReceitas[[#This Row],[preco_unitario]]</f>
        <v>8868</v>
      </c>
      <c r="H37" t="str">
        <f>TEXT(TbReceitas[[#This Row],[data_transacao]], "aaaa-mm")</f>
        <v>2026-01</v>
      </c>
    </row>
    <row r="38" spans="1:8">
      <c r="A38">
        <v>37</v>
      </c>
      <c r="B38" s="1">
        <v>45656</v>
      </c>
      <c r="C38" t="s">
        <v>744</v>
      </c>
      <c r="D38" t="s">
        <v>640</v>
      </c>
      <c r="E38">
        <v>3</v>
      </c>
      <c r="F38">
        <v>9499</v>
      </c>
      <c r="G38">
        <f>TbReceitas[[#This Row],[quantidade]]*TbReceitas[[#This Row],[preco_unitario]]</f>
        <v>28497</v>
      </c>
      <c r="H38" t="str">
        <f>TEXT(TbReceitas[[#This Row],[data_transacao]], "aaaa-mm")</f>
        <v>2024-12</v>
      </c>
    </row>
    <row r="39" spans="1:8">
      <c r="A39">
        <v>38</v>
      </c>
      <c r="B39" s="1">
        <v>46206</v>
      </c>
      <c r="C39" t="s">
        <v>745</v>
      </c>
      <c r="D39" t="s">
        <v>20</v>
      </c>
      <c r="E39">
        <v>4</v>
      </c>
      <c r="F39">
        <v>5319</v>
      </c>
      <c r="G39">
        <f>TbReceitas[[#This Row],[quantidade]]*TbReceitas[[#This Row],[preco_unitario]]</f>
        <v>21276</v>
      </c>
      <c r="H39" t="str">
        <f>TEXT(TbReceitas[[#This Row],[data_transacao]], "aaaa-mm")</f>
        <v>2026-07</v>
      </c>
    </row>
    <row r="40" spans="1:8">
      <c r="A40">
        <v>39</v>
      </c>
      <c r="B40" s="1">
        <v>45952</v>
      </c>
      <c r="C40" t="s">
        <v>746</v>
      </c>
      <c r="D40" t="s">
        <v>136</v>
      </c>
      <c r="E40">
        <v>2</v>
      </c>
      <c r="F40">
        <v>134</v>
      </c>
      <c r="G40">
        <f>TbReceitas[[#This Row],[quantidade]]*TbReceitas[[#This Row],[preco_unitario]]</f>
        <v>268</v>
      </c>
      <c r="H40" t="str">
        <f>TEXT(TbReceitas[[#This Row],[data_transacao]], "aaaa-mm")</f>
        <v>2025-10</v>
      </c>
    </row>
    <row r="41" spans="1:8">
      <c r="A41">
        <v>40</v>
      </c>
      <c r="B41" s="1">
        <v>45979</v>
      </c>
      <c r="C41" t="s">
        <v>747</v>
      </c>
      <c r="D41" t="s">
        <v>363</v>
      </c>
      <c r="E41">
        <v>4</v>
      </c>
      <c r="F41">
        <v>452</v>
      </c>
      <c r="G41">
        <f>TbReceitas[[#This Row],[quantidade]]*TbReceitas[[#This Row],[preco_unitario]]</f>
        <v>1808</v>
      </c>
      <c r="H41" t="str">
        <f>TEXT(TbReceitas[[#This Row],[data_transacao]], "aaaa-mm")</f>
        <v>2025-11</v>
      </c>
    </row>
    <row r="42" spans="1:8">
      <c r="A42">
        <v>41</v>
      </c>
      <c r="B42" s="1">
        <v>46095</v>
      </c>
      <c r="C42" t="s">
        <v>748</v>
      </c>
      <c r="D42" t="s">
        <v>441</v>
      </c>
      <c r="E42">
        <v>1</v>
      </c>
      <c r="F42">
        <v>4513</v>
      </c>
      <c r="G42">
        <f>TbReceitas[[#This Row],[quantidade]]*TbReceitas[[#This Row],[preco_unitario]]</f>
        <v>4513</v>
      </c>
      <c r="H42" t="str">
        <f>TEXT(TbReceitas[[#This Row],[data_transacao]], "aaaa-mm")</f>
        <v>2026-03</v>
      </c>
    </row>
    <row r="43" spans="1:8">
      <c r="A43">
        <v>42</v>
      </c>
      <c r="B43" s="1">
        <v>46046</v>
      </c>
      <c r="C43" t="s">
        <v>749</v>
      </c>
      <c r="D43" t="s">
        <v>416</v>
      </c>
      <c r="E43">
        <v>4</v>
      </c>
      <c r="F43">
        <v>2143</v>
      </c>
      <c r="G43">
        <f>TbReceitas[[#This Row],[quantidade]]*TbReceitas[[#This Row],[preco_unitario]]</f>
        <v>8572</v>
      </c>
      <c r="H43" t="str">
        <f>TEXT(TbReceitas[[#This Row],[data_transacao]], "aaaa-mm")</f>
        <v>2026-01</v>
      </c>
    </row>
    <row r="44" spans="1:8">
      <c r="A44">
        <v>43</v>
      </c>
      <c r="B44" s="1">
        <v>45922</v>
      </c>
      <c r="C44" t="s">
        <v>750</v>
      </c>
      <c r="D44" t="s">
        <v>331</v>
      </c>
      <c r="E44">
        <v>1</v>
      </c>
      <c r="F44">
        <v>1809</v>
      </c>
      <c r="G44">
        <f>TbReceitas[[#This Row],[quantidade]]*TbReceitas[[#This Row],[preco_unitario]]</f>
        <v>1809</v>
      </c>
      <c r="H44" t="str">
        <f>TEXT(TbReceitas[[#This Row],[data_transacao]], "aaaa-mm")</f>
        <v>2025-09</v>
      </c>
    </row>
    <row r="45" spans="1:8">
      <c r="A45">
        <v>44</v>
      </c>
      <c r="B45" s="1">
        <v>46218</v>
      </c>
      <c r="C45" t="s">
        <v>751</v>
      </c>
      <c r="D45" t="s">
        <v>211</v>
      </c>
      <c r="E45">
        <v>4</v>
      </c>
      <c r="F45">
        <v>20547</v>
      </c>
      <c r="G45">
        <f>TbReceitas[[#This Row],[quantidade]]*TbReceitas[[#This Row],[preco_unitario]]</f>
        <v>82188</v>
      </c>
      <c r="H45" t="str">
        <f>TEXT(TbReceitas[[#This Row],[data_transacao]], "aaaa-mm")</f>
        <v>2026-07</v>
      </c>
    </row>
    <row r="46" spans="1:8">
      <c r="A46">
        <v>45</v>
      </c>
      <c r="B46" s="1">
        <v>45547</v>
      </c>
      <c r="C46" t="s">
        <v>752</v>
      </c>
      <c r="D46" t="s">
        <v>250</v>
      </c>
      <c r="E46">
        <v>4</v>
      </c>
      <c r="F46">
        <v>4154</v>
      </c>
      <c r="G46">
        <f>TbReceitas[[#This Row],[quantidade]]*TbReceitas[[#This Row],[preco_unitario]]</f>
        <v>16616</v>
      </c>
      <c r="H46" t="str">
        <f>TEXT(TbReceitas[[#This Row],[data_transacao]], "aaaa-mm")</f>
        <v>2024-09</v>
      </c>
    </row>
    <row r="47" spans="1:8">
      <c r="A47">
        <v>46</v>
      </c>
      <c r="B47" s="1">
        <v>45807</v>
      </c>
      <c r="C47" t="s">
        <v>753</v>
      </c>
      <c r="D47" t="s">
        <v>63</v>
      </c>
      <c r="E47">
        <v>4</v>
      </c>
      <c r="F47">
        <v>17325</v>
      </c>
      <c r="G47">
        <f>TbReceitas[[#This Row],[quantidade]]*TbReceitas[[#This Row],[preco_unitario]]</f>
        <v>69300</v>
      </c>
      <c r="H47" t="str">
        <f>TEXT(TbReceitas[[#This Row],[data_transacao]], "aaaa-mm")</f>
        <v>2025-05</v>
      </c>
    </row>
    <row r="48" spans="1:8">
      <c r="A48">
        <v>47</v>
      </c>
      <c r="B48" s="1">
        <v>45612</v>
      </c>
      <c r="C48" t="s">
        <v>754</v>
      </c>
      <c r="D48" t="s">
        <v>80</v>
      </c>
      <c r="E48">
        <v>4</v>
      </c>
      <c r="F48">
        <v>846</v>
      </c>
      <c r="G48">
        <f>TbReceitas[[#This Row],[quantidade]]*TbReceitas[[#This Row],[preco_unitario]]</f>
        <v>3384</v>
      </c>
      <c r="H48" t="str">
        <f>TEXT(TbReceitas[[#This Row],[data_transacao]], "aaaa-mm")</f>
        <v>2024-11</v>
      </c>
    </row>
    <row r="49" spans="1:8">
      <c r="A49">
        <v>48</v>
      </c>
      <c r="B49" s="1">
        <v>45824</v>
      </c>
      <c r="C49" t="s">
        <v>755</v>
      </c>
      <c r="D49" t="s">
        <v>153</v>
      </c>
      <c r="E49">
        <v>4</v>
      </c>
      <c r="F49">
        <v>7366</v>
      </c>
      <c r="G49">
        <f>TbReceitas[[#This Row],[quantidade]]*TbReceitas[[#This Row],[preco_unitario]]</f>
        <v>29464</v>
      </c>
      <c r="H49" t="str">
        <f>TEXT(TbReceitas[[#This Row],[data_transacao]], "aaaa-mm")</f>
        <v>2025-06</v>
      </c>
    </row>
    <row r="50" spans="1:8">
      <c r="A50">
        <v>49</v>
      </c>
      <c r="B50" s="1">
        <v>46271</v>
      </c>
      <c r="C50" t="s">
        <v>756</v>
      </c>
      <c r="D50" t="s">
        <v>490</v>
      </c>
      <c r="E50">
        <v>4</v>
      </c>
      <c r="F50">
        <v>16926</v>
      </c>
      <c r="G50">
        <f>TbReceitas[[#This Row],[quantidade]]*TbReceitas[[#This Row],[preco_unitario]]</f>
        <v>67704</v>
      </c>
      <c r="H50" t="str">
        <f>TEXT(TbReceitas[[#This Row],[data_transacao]], "aaaa-mm")</f>
        <v>2026-09</v>
      </c>
    </row>
    <row r="51" spans="1:8">
      <c r="A51">
        <v>50</v>
      </c>
      <c r="B51" s="1">
        <v>45930</v>
      </c>
      <c r="C51" t="s">
        <v>757</v>
      </c>
      <c r="D51" t="s">
        <v>363</v>
      </c>
      <c r="E51">
        <v>1</v>
      </c>
      <c r="F51">
        <v>452</v>
      </c>
      <c r="G51">
        <f>TbReceitas[[#This Row],[quantidade]]*TbReceitas[[#This Row],[preco_unitario]]</f>
        <v>452</v>
      </c>
      <c r="H51" t="str">
        <f>TEXT(TbReceitas[[#This Row],[data_transacao]], "aaaa-mm")</f>
        <v>2025-09</v>
      </c>
    </row>
    <row r="52" spans="1:8">
      <c r="A52">
        <v>51</v>
      </c>
      <c r="B52" s="1">
        <v>45976</v>
      </c>
      <c r="C52" t="s">
        <v>758</v>
      </c>
      <c r="D52" t="s">
        <v>117</v>
      </c>
      <c r="E52">
        <v>4</v>
      </c>
      <c r="F52">
        <v>15356</v>
      </c>
      <c r="G52">
        <f>TbReceitas[[#This Row],[quantidade]]*TbReceitas[[#This Row],[preco_unitario]]</f>
        <v>61424</v>
      </c>
      <c r="H52" t="str">
        <f>TEXT(TbReceitas[[#This Row],[data_transacao]], "aaaa-mm")</f>
        <v>2025-11</v>
      </c>
    </row>
    <row r="53" spans="1:8">
      <c r="A53">
        <v>52</v>
      </c>
      <c r="B53" s="1">
        <v>45669</v>
      </c>
      <c r="C53" t="s">
        <v>759</v>
      </c>
      <c r="D53" t="s">
        <v>529</v>
      </c>
      <c r="E53">
        <v>4</v>
      </c>
      <c r="F53">
        <v>18056</v>
      </c>
      <c r="G53">
        <f>TbReceitas[[#This Row],[quantidade]]*TbReceitas[[#This Row],[preco_unitario]]</f>
        <v>72224</v>
      </c>
      <c r="H53" t="str">
        <f>TEXT(TbReceitas[[#This Row],[data_transacao]], "aaaa-mm")</f>
        <v>2025-01</v>
      </c>
    </row>
    <row r="54" spans="1:8">
      <c r="A54">
        <v>53</v>
      </c>
      <c r="B54" s="1">
        <v>45795</v>
      </c>
      <c r="C54" t="s">
        <v>760</v>
      </c>
      <c r="D54" t="s">
        <v>325</v>
      </c>
      <c r="E54">
        <v>3</v>
      </c>
      <c r="F54">
        <v>15415</v>
      </c>
      <c r="G54">
        <f>TbReceitas[[#This Row],[quantidade]]*TbReceitas[[#This Row],[preco_unitario]]</f>
        <v>46245</v>
      </c>
      <c r="H54" t="str">
        <f>TEXT(TbReceitas[[#This Row],[data_transacao]], "aaaa-mm")</f>
        <v>2025-05</v>
      </c>
    </row>
    <row r="55" spans="1:8">
      <c r="A55">
        <v>54</v>
      </c>
      <c r="B55" s="1">
        <v>45569</v>
      </c>
      <c r="C55" t="s">
        <v>756</v>
      </c>
      <c r="D55" t="s">
        <v>426</v>
      </c>
      <c r="E55">
        <v>5</v>
      </c>
      <c r="F55">
        <v>155</v>
      </c>
      <c r="G55">
        <f>TbReceitas[[#This Row],[quantidade]]*TbReceitas[[#This Row],[preco_unitario]]</f>
        <v>775</v>
      </c>
      <c r="H55" t="str">
        <f>TEXT(TbReceitas[[#This Row],[data_transacao]], "aaaa-mm")</f>
        <v>2024-10</v>
      </c>
    </row>
    <row r="56" spans="1:8">
      <c r="A56">
        <v>55</v>
      </c>
      <c r="B56" s="1">
        <v>46227</v>
      </c>
      <c r="C56" t="s">
        <v>761</v>
      </c>
      <c r="D56" t="s">
        <v>42</v>
      </c>
      <c r="E56">
        <v>3</v>
      </c>
      <c r="F56">
        <v>23918</v>
      </c>
      <c r="G56">
        <f>TbReceitas[[#This Row],[quantidade]]*TbReceitas[[#This Row],[preco_unitario]]</f>
        <v>71754</v>
      </c>
      <c r="H56" t="str">
        <f>TEXT(TbReceitas[[#This Row],[data_transacao]], "aaaa-mm")</f>
        <v>2026-07</v>
      </c>
    </row>
    <row r="57" spans="1:8">
      <c r="A57">
        <v>56</v>
      </c>
      <c r="B57" s="1">
        <v>46152</v>
      </c>
      <c r="C57" t="s">
        <v>762</v>
      </c>
      <c r="D57" t="s">
        <v>366</v>
      </c>
      <c r="E57">
        <v>4</v>
      </c>
      <c r="F57">
        <v>3486</v>
      </c>
      <c r="G57">
        <f>TbReceitas[[#This Row],[quantidade]]*TbReceitas[[#This Row],[preco_unitario]]</f>
        <v>13944</v>
      </c>
      <c r="H57" t="str">
        <f>TEXT(TbReceitas[[#This Row],[data_transacao]], "aaaa-mm")</f>
        <v>2026-05</v>
      </c>
    </row>
    <row r="58" spans="1:8">
      <c r="A58">
        <v>57</v>
      </c>
      <c r="B58" s="1">
        <v>45720</v>
      </c>
      <c r="C58" t="s">
        <v>763</v>
      </c>
      <c r="D58" t="s">
        <v>445</v>
      </c>
      <c r="E58">
        <v>4</v>
      </c>
      <c r="F58">
        <v>20681</v>
      </c>
      <c r="G58">
        <f>TbReceitas[[#This Row],[quantidade]]*TbReceitas[[#This Row],[preco_unitario]]</f>
        <v>82724</v>
      </c>
      <c r="H58" t="str">
        <f>TEXT(TbReceitas[[#This Row],[data_transacao]], "aaaa-mm")</f>
        <v>2025-03</v>
      </c>
    </row>
    <row r="59" spans="1:8">
      <c r="A59">
        <v>58</v>
      </c>
      <c r="B59" s="1">
        <v>45856</v>
      </c>
      <c r="C59" t="s">
        <v>764</v>
      </c>
      <c r="D59" t="s">
        <v>313</v>
      </c>
      <c r="E59">
        <v>5</v>
      </c>
      <c r="F59">
        <v>24233</v>
      </c>
      <c r="G59">
        <f>TbReceitas[[#This Row],[quantidade]]*TbReceitas[[#This Row],[preco_unitario]]</f>
        <v>121165</v>
      </c>
      <c r="H59" t="str">
        <f>TEXT(TbReceitas[[#This Row],[data_transacao]], "aaaa-mm")</f>
        <v>2025-07</v>
      </c>
    </row>
    <row r="60" spans="1:8">
      <c r="A60">
        <v>59</v>
      </c>
      <c r="B60" s="1">
        <v>45765</v>
      </c>
      <c r="C60" t="s">
        <v>765</v>
      </c>
      <c r="D60" t="s">
        <v>81</v>
      </c>
      <c r="E60">
        <v>1</v>
      </c>
      <c r="F60">
        <v>9521</v>
      </c>
      <c r="G60">
        <f>TbReceitas[[#This Row],[quantidade]]*TbReceitas[[#This Row],[preco_unitario]]</f>
        <v>9521</v>
      </c>
      <c r="H60" t="str">
        <f>TEXT(TbReceitas[[#This Row],[data_transacao]], "aaaa-mm")</f>
        <v>2025-04</v>
      </c>
    </row>
    <row r="61" spans="1:8">
      <c r="A61">
        <v>60</v>
      </c>
      <c r="B61" s="1">
        <v>45878</v>
      </c>
      <c r="C61" t="s">
        <v>766</v>
      </c>
      <c r="D61" t="s">
        <v>481</v>
      </c>
      <c r="E61">
        <v>3</v>
      </c>
      <c r="F61">
        <v>23782</v>
      </c>
      <c r="G61">
        <f>TbReceitas[[#This Row],[quantidade]]*TbReceitas[[#This Row],[preco_unitario]]</f>
        <v>71346</v>
      </c>
      <c r="H61" t="str">
        <f>TEXT(TbReceitas[[#This Row],[data_transacao]], "aaaa-mm")</f>
        <v>2025-08</v>
      </c>
    </row>
    <row r="62" spans="1:8">
      <c r="A62">
        <v>61</v>
      </c>
      <c r="B62" s="1">
        <v>45730</v>
      </c>
      <c r="C62" t="s">
        <v>767</v>
      </c>
      <c r="D62" t="s">
        <v>136</v>
      </c>
      <c r="E62">
        <v>2</v>
      </c>
      <c r="F62">
        <v>134</v>
      </c>
      <c r="G62">
        <f>TbReceitas[[#This Row],[quantidade]]*TbReceitas[[#This Row],[preco_unitario]]</f>
        <v>268</v>
      </c>
      <c r="H62" t="str">
        <f>TEXT(TbReceitas[[#This Row],[data_transacao]], "aaaa-mm")</f>
        <v>2025-03</v>
      </c>
    </row>
    <row r="63" spans="1:8">
      <c r="A63">
        <v>62</v>
      </c>
      <c r="B63" s="1">
        <v>45899</v>
      </c>
      <c r="C63" t="s">
        <v>768</v>
      </c>
      <c r="D63" t="s">
        <v>195</v>
      </c>
      <c r="E63">
        <v>2</v>
      </c>
      <c r="F63">
        <v>16179</v>
      </c>
      <c r="G63">
        <f>TbReceitas[[#This Row],[quantidade]]*TbReceitas[[#This Row],[preco_unitario]]</f>
        <v>32358</v>
      </c>
      <c r="H63" t="str">
        <f>TEXT(TbReceitas[[#This Row],[data_transacao]], "aaaa-mm")</f>
        <v>2025-08</v>
      </c>
    </row>
    <row r="64" spans="1:8">
      <c r="A64">
        <v>63</v>
      </c>
      <c r="B64" s="1">
        <v>45660</v>
      </c>
      <c r="C64" t="s">
        <v>769</v>
      </c>
      <c r="D64" t="s">
        <v>337</v>
      </c>
      <c r="E64">
        <v>3</v>
      </c>
      <c r="F64">
        <v>8484</v>
      </c>
      <c r="G64">
        <f>TbReceitas[[#This Row],[quantidade]]*TbReceitas[[#This Row],[preco_unitario]]</f>
        <v>25452</v>
      </c>
      <c r="H64" t="str">
        <f>TEXT(TbReceitas[[#This Row],[data_transacao]], "aaaa-mm")</f>
        <v>2025-01</v>
      </c>
    </row>
    <row r="65" spans="1:8">
      <c r="A65">
        <v>64</v>
      </c>
      <c r="B65" s="1">
        <v>46054</v>
      </c>
      <c r="C65" t="s">
        <v>770</v>
      </c>
      <c r="D65" t="s">
        <v>107</v>
      </c>
      <c r="E65">
        <v>3</v>
      </c>
      <c r="F65">
        <v>16331</v>
      </c>
      <c r="G65">
        <f>TbReceitas[[#This Row],[quantidade]]*TbReceitas[[#This Row],[preco_unitario]]</f>
        <v>48993</v>
      </c>
      <c r="H65" t="str">
        <f>TEXT(TbReceitas[[#This Row],[data_transacao]], "aaaa-mm")</f>
        <v>2026-02</v>
      </c>
    </row>
    <row r="66" spans="1:8">
      <c r="A66">
        <v>65</v>
      </c>
      <c r="B66" s="1">
        <v>45998</v>
      </c>
      <c r="C66" t="s">
        <v>771</v>
      </c>
      <c r="D66" t="s">
        <v>216</v>
      </c>
      <c r="E66">
        <v>2</v>
      </c>
      <c r="F66">
        <v>9488</v>
      </c>
      <c r="G66">
        <f>TbReceitas[[#This Row],[quantidade]]*TbReceitas[[#This Row],[preco_unitario]]</f>
        <v>18976</v>
      </c>
      <c r="H66" t="str">
        <f>TEXT(TbReceitas[[#This Row],[data_transacao]], "aaaa-mm")</f>
        <v>2025-12</v>
      </c>
    </row>
    <row r="67" spans="1:8">
      <c r="A67">
        <v>66</v>
      </c>
      <c r="B67" s="1">
        <v>46251</v>
      </c>
      <c r="C67" t="s">
        <v>772</v>
      </c>
      <c r="D67" t="s">
        <v>481</v>
      </c>
      <c r="E67">
        <v>2</v>
      </c>
      <c r="F67">
        <v>23782</v>
      </c>
      <c r="G67">
        <f>TbReceitas[[#This Row],[quantidade]]*TbReceitas[[#This Row],[preco_unitario]]</f>
        <v>47564</v>
      </c>
      <c r="H67" t="str">
        <f>TEXT(TbReceitas[[#This Row],[data_transacao]], "aaaa-mm")</f>
        <v>2026-08</v>
      </c>
    </row>
    <row r="68" spans="1:8">
      <c r="A68">
        <v>67</v>
      </c>
      <c r="B68" s="1">
        <v>45999</v>
      </c>
      <c r="C68" t="s">
        <v>773</v>
      </c>
      <c r="D68" t="s">
        <v>374</v>
      </c>
      <c r="E68">
        <v>5</v>
      </c>
      <c r="F68">
        <v>24867</v>
      </c>
      <c r="G68">
        <f>TbReceitas[[#This Row],[quantidade]]*TbReceitas[[#This Row],[preco_unitario]]</f>
        <v>124335</v>
      </c>
      <c r="H68" t="str">
        <f>TEXT(TbReceitas[[#This Row],[data_transacao]], "aaaa-mm")</f>
        <v>2025-12</v>
      </c>
    </row>
    <row r="69" spans="1:8">
      <c r="A69">
        <v>68</v>
      </c>
      <c r="B69" s="1">
        <v>45571</v>
      </c>
      <c r="C69" t="s">
        <v>774</v>
      </c>
      <c r="D69" t="s">
        <v>492</v>
      </c>
      <c r="E69">
        <v>3</v>
      </c>
      <c r="F69">
        <v>2615</v>
      </c>
      <c r="G69">
        <f>TbReceitas[[#This Row],[quantidade]]*TbReceitas[[#This Row],[preco_unitario]]</f>
        <v>7845</v>
      </c>
      <c r="H69" t="str">
        <f>TEXT(TbReceitas[[#This Row],[data_transacao]], "aaaa-mm")</f>
        <v>2024-10</v>
      </c>
    </row>
    <row r="70" spans="1:8">
      <c r="A70">
        <v>69</v>
      </c>
      <c r="B70" s="1">
        <v>46052</v>
      </c>
      <c r="C70" t="s">
        <v>775</v>
      </c>
      <c r="D70" t="s">
        <v>579</v>
      </c>
      <c r="E70">
        <v>1</v>
      </c>
      <c r="F70">
        <v>4385</v>
      </c>
      <c r="G70">
        <f>TbReceitas[[#This Row],[quantidade]]*TbReceitas[[#This Row],[preco_unitario]]</f>
        <v>4385</v>
      </c>
      <c r="H70" t="str">
        <f>TEXT(TbReceitas[[#This Row],[data_transacao]], "aaaa-mm")</f>
        <v>2026-01</v>
      </c>
    </row>
    <row r="71" spans="1:8">
      <c r="A71">
        <v>70</v>
      </c>
      <c r="B71" s="1">
        <v>46249</v>
      </c>
      <c r="C71" t="s">
        <v>776</v>
      </c>
      <c r="D71" t="s">
        <v>288</v>
      </c>
      <c r="E71">
        <v>1</v>
      </c>
      <c r="F71">
        <v>1219</v>
      </c>
      <c r="G71">
        <f>TbReceitas[[#This Row],[quantidade]]*TbReceitas[[#This Row],[preco_unitario]]</f>
        <v>1219</v>
      </c>
      <c r="H71" t="str">
        <f>TEXT(TbReceitas[[#This Row],[data_transacao]], "aaaa-mm")</f>
        <v>2026-08</v>
      </c>
    </row>
    <row r="72" spans="1:8">
      <c r="A72">
        <v>71</v>
      </c>
      <c r="B72" s="1">
        <v>45952</v>
      </c>
      <c r="C72" t="s">
        <v>777</v>
      </c>
      <c r="D72" t="s">
        <v>646</v>
      </c>
      <c r="E72">
        <v>5</v>
      </c>
      <c r="F72">
        <v>14906</v>
      </c>
      <c r="G72">
        <f>TbReceitas[[#This Row],[quantidade]]*TbReceitas[[#This Row],[preco_unitario]]</f>
        <v>74530</v>
      </c>
      <c r="H72" t="str">
        <f>TEXT(TbReceitas[[#This Row],[data_transacao]], "aaaa-mm")</f>
        <v>2025-10</v>
      </c>
    </row>
    <row r="73" spans="1:8">
      <c r="A73">
        <v>72</v>
      </c>
      <c r="B73" s="1">
        <v>45633</v>
      </c>
      <c r="C73" t="s">
        <v>778</v>
      </c>
      <c r="D73" t="s">
        <v>509</v>
      </c>
      <c r="E73">
        <v>2</v>
      </c>
      <c r="F73">
        <v>2421</v>
      </c>
      <c r="G73">
        <f>TbReceitas[[#This Row],[quantidade]]*TbReceitas[[#This Row],[preco_unitario]]</f>
        <v>4842</v>
      </c>
      <c r="H73" t="str">
        <f>TEXT(TbReceitas[[#This Row],[data_transacao]], "aaaa-mm")</f>
        <v>2024-12</v>
      </c>
    </row>
    <row r="74" spans="1:8">
      <c r="A74">
        <v>73</v>
      </c>
      <c r="B74" s="1">
        <v>45822</v>
      </c>
      <c r="C74" t="s">
        <v>779</v>
      </c>
      <c r="D74" t="s">
        <v>668</v>
      </c>
      <c r="E74">
        <v>5</v>
      </c>
      <c r="F74">
        <v>11769</v>
      </c>
      <c r="G74">
        <f>TbReceitas[[#This Row],[quantidade]]*TbReceitas[[#This Row],[preco_unitario]]</f>
        <v>58845</v>
      </c>
      <c r="H74" t="str">
        <f>TEXT(TbReceitas[[#This Row],[data_transacao]], "aaaa-mm")</f>
        <v>2025-06</v>
      </c>
    </row>
    <row r="75" spans="1:8">
      <c r="A75">
        <v>74</v>
      </c>
      <c r="B75" s="1">
        <v>45655</v>
      </c>
      <c r="C75" t="s">
        <v>780</v>
      </c>
      <c r="D75" t="s">
        <v>66</v>
      </c>
      <c r="E75">
        <v>1</v>
      </c>
      <c r="F75">
        <v>329</v>
      </c>
      <c r="G75">
        <f>TbReceitas[[#This Row],[quantidade]]*TbReceitas[[#This Row],[preco_unitario]]</f>
        <v>329</v>
      </c>
      <c r="H75" t="str">
        <f>TEXT(TbReceitas[[#This Row],[data_transacao]], "aaaa-mm")</f>
        <v>2024-12</v>
      </c>
    </row>
    <row r="76" spans="1:8">
      <c r="A76">
        <v>75</v>
      </c>
      <c r="B76" s="1">
        <v>45676</v>
      </c>
      <c r="C76" t="s">
        <v>781</v>
      </c>
      <c r="D76" t="s">
        <v>415</v>
      </c>
      <c r="E76">
        <v>4</v>
      </c>
      <c r="F76">
        <v>19318</v>
      </c>
      <c r="G76">
        <f>TbReceitas[[#This Row],[quantidade]]*TbReceitas[[#This Row],[preco_unitario]]</f>
        <v>77272</v>
      </c>
      <c r="H76" t="str">
        <f>TEXT(TbReceitas[[#This Row],[data_transacao]], "aaaa-mm")</f>
        <v>2025-01</v>
      </c>
    </row>
    <row r="77" spans="1:8">
      <c r="A77">
        <v>76</v>
      </c>
      <c r="B77" s="1">
        <v>45552</v>
      </c>
      <c r="C77" t="s">
        <v>782</v>
      </c>
      <c r="D77" t="s">
        <v>558</v>
      </c>
      <c r="E77">
        <v>5</v>
      </c>
      <c r="F77">
        <v>616</v>
      </c>
      <c r="G77">
        <f>TbReceitas[[#This Row],[quantidade]]*TbReceitas[[#This Row],[preco_unitario]]</f>
        <v>3080</v>
      </c>
      <c r="H77" t="str">
        <f>TEXT(TbReceitas[[#This Row],[data_transacao]], "aaaa-mm")</f>
        <v>2024-09</v>
      </c>
    </row>
    <row r="78" spans="1:8">
      <c r="A78">
        <v>77</v>
      </c>
      <c r="B78" s="1">
        <v>46106</v>
      </c>
      <c r="C78" t="s">
        <v>783</v>
      </c>
      <c r="D78" t="s">
        <v>529</v>
      </c>
      <c r="E78">
        <v>2</v>
      </c>
      <c r="F78">
        <v>18056</v>
      </c>
      <c r="G78">
        <f>TbReceitas[[#This Row],[quantidade]]*TbReceitas[[#This Row],[preco_unitario]]</f>
        <v>36112</v>
      </c>
      <c r="H78" t="str">
        <f>TEXT(TbReceitas[[#This Row],[data_transacao]], "aaaa-mm")</f>
        <v>2026-03</v>
      </c>
    </row>
    <row r="79" spans="1:8">
      <c r="A79">
        <v>78</v>
      </c>
      <c r="B79" s="1">
        <v>45922</v>
      </c>
      <c r="C79" t="s">
        <v>784</v>
      </c>
      <c r="D79" t="s">
        <v>227</v>
      </c>
      <c r="E79">
        <v>1</v>
      </c>
      <c r="F79">
        <v>23168</v>
      </c>
      <c r="G79">
        <f>TbReceitas[[#This Row],[quantidade]]*TbReceitas[[#This Row],[preco_unitario]]</f>
        <v>23168</v>
      </c>
      <c r="H79" t="str">
        <f>TEXT(TbReceitas[[#This Row],[data_transacao]], "aaaa-mm")</f>
        <v>2025-09</v>
      </c>
    </row>
    <row r="80" spans="1:8">
      <c r="A80">
        <v>79</v>
      </c>
      <c r="B80" s="1">
        <v>46137</v>
      </c>
      <c r="C80" t="s">
        <v>785</v>
      </c>
      <c r="D80" t="s">
        <v>401</v>
      </c>
      <c r="E80">
        <v>5</v>
      </c>
      <c r="F80">
        <v>5058</v>
      </c>
      <c r="G80">
        <f>TbReceitas[[#This Row],[quantidade]]*TbReceitas[[#This Row],[preco_unitario]]</f>
        <v>25290</v>
      </c>
      <c r="H80" t="str">
        <f>TEXT(TbReceitas[[#This Row],[data_transacao]], "aaaa-mm")</f>
        <v>2026-04</v>
      </c>
    </row>
    <row r="81" spans="1:8">
      <c r="A81">
        <v>80</v>
      </c>
      <c r="B81" s="1">
        <v>46084</v>
      </c>
      <c r="C81" t="s">
        <v>786</v>
      </c>
      <c r="D81" t="s">
        <v>133</v>
      </c>
      <c r="E81">
        <v>1</v>
      </c>
      <c r="F81">
        <v>1345</v>
      </c>
      <c r="G81">
        <f>TbReceitas[[#This Row],[quantidade]]*TbReceitas[[#This Row],[preco_unitario]]</f>
        <v>1345</v>
      </c>
      <c r="H81" t="str">
        <f>TEXT(TbReceitas[[#This Row],[data_transacao]], "aaaa-mm")</f>
        <v>2026-03</v>
      </c>
    </row>
    <row r="82" spans="1:8">
      <c r="A82">
        <v>81</v>
      </c>
      <c r="B82" s="1">
        <v>45594</v>
      </c>
      <c r="C82" t="s">
        <v>787</v>
      </c>
      <c r="D82" t="s">
        <v>500</v>
      </c>
      <c r="E82">
        <v>5</v>
      </c>
      <c r="F82">
        <v>1675</v>
      </c>
      <c r="G82">
        <f>TbReceitas[[#This Row],[quantidade]]*TbReceitas[[#This Row],[preco_unitario]]</f>
        <v>8375</v>
      </c>
      <c r="H82" t="str">
        <f>TEXT(TbReceitas[[#This Row],[data_transacao]], "aaaa-mm")</f>
        <v>2024-10</v>
      </c>
    </row>
    <row r="83" spans="1:8">
      <c r="A83">
        <v>82</v>
      </c>
      <c r="B83" s="1">
        <v>45930</v>
      </c>
      <c r="C83" t="s">
        <v>740</v>
      </c>
      <c r="D83" t="s">
        <v>548</v>
      </c>
      <c r="E83">
        <v>4</v>
      </c>
      <c r="F83">
        <v>12414</v>
      </c>
      <c r="G83">
        <f>TbReceitas[[#This Row],[quantidade]]*TbReceitas[[#This Row],[preco_unitario]]</f>
        <v>49656</v>
      </c>
      <c r="H83" t="str">
        <f>TEXT(TbReceitas[[#This Row],[data_transacao]], "aaaa-mm")</f>
        <v>2025-09</v>
      </c>
    </row>
    <row r="84" spans="1:8">
      <c r="A84">
        <v>83</v>
      </c>
      <c r="B84" s="1">
        <v>46032</v>
      </c>
      <c r="C84" t="s">
        <v>788</v>
      </c>
      <c r="D84" t="s">
        <v>383</v>
      </c>
      <c r="E84">
        <v>3</v>
      </c>
      <c r="F84">
        <v>114</v>
      </c>
      <c r="G84">
        <f>TbReceitas[[#This Row],[quantidade]]*TbReceitas[[#This Row],[preco_unitario]]</f>
        <v>342</v>
      </c>
      <c r="H84" t="str">
        <f>TEXT(TbReceitas[[#This Row],[data_transacao]], "aaaa-mm")</f>
        <v>2026-01</v>
      </c>
    </row>
    <row r="85" spans="1:8">
      <c r="A85">
        <v>84</v>
      </c>
      <c r="B85" s="1">
        <v>45687</v>
      </c>
      <c r="C85" t="s">
        <v>789</v>
      </c>
      <c r="D85" t="s">
        <v>332</v>
      </c>
      <c r="E85">
        <v>5</v>
      </c>
      <c r="F85">
        <v>2135</v>
      </c>
      <c r="G85">
        <f>TbReceitas[[#This Row],[quantidade]]*TbReceitas[[#This Row],[preco_unitario]]</f>
        <v>10675</v>
      </c>
      <c r="H85" t="str">
        <f>TEXT(TbReceitas[[#This Row],[data_transacao]], "aaaa-mm")</f>
        <v>2025-01</v>
      </c>
    </row>
    <row r="86" spans="1:8">
      <c r="A86">
        <v>85</v>
      </c>
      <c r="B86" s="1">
        <v>46095</v>
      </c>
      <c r="C86" t="s">
        <v>790</v>
      </c>
      <c r="D86" t="s">
        <v>483</v>
      </c>
      <c r="E86">
        <v>3</v>
      </c>
      <c r="F86">
        <v>19339</v>
      </c>
      <c r="G86">
        <f>TbReceitas[[#This Row],[quantidade]]*TbReceitas[[#This Row],[preco_unitario]]</f>
        <v>58017</v>
      </c>
      <c r="H86" t="str">
        <f>TEXT(TbReceitas[[#This Row],[data_transacao]], "aaaa-mm")</f>
        <v>2026-03</v>
      </c>
    </row>
    <row r="87" spans="1:8">
      <c r="A87">
        <v>86</v>
      </c>
      <c r="B87" s="1">
        <v>45905</v>
      </c>
      <c r="C87" t="s">
        <v>791</v>
      </c>
      <c r="D87" t="s">
        <v>249</v>
      </c>
      <c r="E87">
        <v>4</v>
      </c>
      <c r="F87">
        <v>12387</v>
      </c>
      <c r="G87">
        <f>TbReceitas[[#This Row],[quantidade]]*TbReceitas[[#This Row],[preco_unitario]]</f>
        <v>49548</v>
      </c>
      <c r="H87" t="str">
        <f>TEXT(TbReceitas[[#This Row],[data_transacao]], "aaaa-mm")</f>
        <v>2025-09</v>
      </c>
    </row>
    <row r="88" spans="1:8">
      <c r="A88">
        <v>87</v>
      </c>
      <c r="B88" s="1">
        <v>46161</v>
      </c>
      <c r="C88" t="s">
        <v>792</v>
      </c>
      <c r="D88" t="s">
        <v>159</v>
      </c>
      <c r="E88">
        <v>3</v>
      </c>
      <c r="F88">
        <v>16217</v>
      </c>
      <c r="G88">
        <f>TbReceitas[[#This Row],[quantidade]]*TbReceitas[[#This Row],[preco_unitario]]</f>
        <v>48651</v>
      </c>
      <c r="H88" t="str">
        <f>TEXT(TbReceitas[[#This Row],[data_transacao]], "aaaa-mm")</f>
        <v>2026-05</v>
      </c>
    </row>
    <row r="89" spans="1:8">
      <c r="A89">
        <v>88</v>
      </c>
      <c r="B89" s="1">
        <v>45893</v>
      </c>
      <c r="C89" t="s">
        <v>793</v>
      </c>
      <c r="D89" t="s">
        <v>85</v>
      </c>
      <c r="E89">
        <v>2</v>
      </c>
      <c r="F89">
        <v>10218</v>
      </c>
      <c r="G89">
        <f>TbReceitas[[#This Row],[quantidade]]*TbReceitas[[#This Row],[preco_unitario]]</f>
        <v>20436</v>
      </c>
      <c r="H89" t="str">
        <f>TEXT(TbReceitas[[#This Row],[data_transacao]], "aaaa-mm")</f>
        <v>2025-08</v>
      </c>
    </row>
    <row r="90" spans="1:8">
      <c r="A90">
        <v>89</v>
      </c>
      <c r="B90" s="1">
        <v>46186</v>
      </c>
      <c r="C90" t="s">
        <v>709</v>
      </c>
      <c r="D90" t="s">
        <v>67</v>
      </c>
      <c r="E90">
        <v>5</v>
      </c>
      <c r="F90">
        <v>13019</v>
      </c>
      <c r="G90">
        <f>TbReceitas[[#This Row],[quantidade]]*TbReceitas[[#This Row],[preco_unitario]]</f>
        <v>65095</v>
      </c>
      <c r="H90" t="str">
        <f>TEXT(TbReceitas[[#This Row],[data_transacao]], "aaaa-mm")</f>
        <v>2026-06</v>
      </c>
    </row>
    <row r="91" spans="1:8">
      <c r="A91">
        <v>90</v>
      </c>
      <c r="B91" s="1">
        <v>45550</v>
      </c>
      <c r="C91" t="s">
        <v>791</v>
      </c>
      <c r="D91" t="s">
        <v>502</v>
      </c>
      <c r="E91">
        <v>5</v>
      </c>
      <c r="F91">
        <v>18946</v>
      </c>
      <c r="G91">
        <f>TbReceitas[[#This Row],[quantidade]]*TbReceitas[[#This Row],[preco_unitario]]</f>
        <v>94730</v>
      </c>
      <c r="H91" t="str">
        <f>TEXT(TbReceitas[[#This Row],[data_transacao]], "aaaa-mm")</f>
        <v>2024-09</v>
      </c>
    </row>
    <row r="92" spans="1:8">
      <c r="A92">
        <v>91</v>
      </c>
      <c r="B92" s="1">
        <v>45900</v>
      </c>
      <c r="C92" t="s">
        <v>794</v>
      </c>
      <c r="D92" t="s">
        <v>98</v>
      </c>
      <c r="E92">
        <v>5</v>
      </c>
      <c r="F92">
        <v>10903</v>
      </c>
      <c r="G92">
        <f>TbReceitas[[#This Row],[quantidade]]*TbReceitas[[#This Row],[preco_unitario]]</f>
        <v>54515</v>
      </c>
      <c r="H92" t="str">
        <f>TEXT(TbReceitas[[#This Row],[data_transacao]], "aaaa-mm")</f>
        <v>2025-08</v>
      </c>
    </row>
    <row r="93" spans="1:8">
      <c r="A93">
        <v>92</v>
      </c>
      <c r="B93" s="1">
        <v>46046</v>
      </c>
      <c r="C93" t="s">
        <v>795</v>
      </c>
      <c r="D93" t="s">
        <v>410</v>
      </c>
      <c r="E93">
        <v>1</v>
      </c>
      <c r="F93">
        <v>11982</v>
      </c>
      <c r="G93">
        <f>TbReceitas[[#This Row],[quantidade]]*TbReceitas[[#This Row],[preco_unitario]]</f>
        <v>11982</v>
      </c>
      <c r="H93" t="str">
        <f>TEXT(TbReceitas[[#This Row],[data_transacao]], "aaaa-mm")</f>
        <v>2026-01</v>
      </c>
    </row>
    <row r="94" spans="1:8">
      <c r="A94">
        <v>93</v>
      </c>
      <c r="B94" s="1">
        <v>45995</v>
      </c>
      <c r="C94" t="s">
        <v>796</v>
      </c>
      <c r="D94" t="s">
        <v>559</v>
      </c>
      <c r="E94">
        <v>3</v>
      </c>
      <c r="F94">
        <v>482</v>
      </c>
      <c r="G94">
        <f>TbReceitas[[#This Row],[quantidade]]*TbReceitas[[#This Row],[preco_unitario]]</f>
        <v>1446</v>
      </c>
      <c r="H94" t="str">
        <f>TEXT(TbReceitas[[#This Row],[data_transacao]], "aaaa-mm")</f>
        <v>2025-12</v>
      </c>
    </row>
    <row r="95" spans="1:8">
      <c r="A95">
        <v>94</v>
      </c>
      <c r="B95" s="1">
        <v>45931</v>
      </c>
      <c r="C95" t="s">
        <v>797</v>
      </c>
      <c r="D95" t="s">
        <v>114</v>
      </c>
      <c r="E95">
        <v>5</v>
      </c>
      <c r="F95">
        <v>677</v>
      </c>
      <c r="G95">
        <f>TbReceitas[[#This Row],[quantidade]]*TbReceitas[[#This Row],[preco_unitario]]</f>
        <v>3385</v>
      </c>
      <c r="H95" t="str">
        <f>TEXT(TbReceitas[[#This Row],[data_transacao]], "aaaa-mm")</f>
        <v>2025-10</v>
      </c>
    </row>
    <row r="96" spans="1:8">
      <c r="A96">
        <v>95</v>
      </c>
      <c r="B96" s="1">
        <v>45896</v>
      </c>
      <c r="C96" t="s">
        <v>798</v>
      </c>
      <c r="D96" t="s">
        <v>199</v>
      </c>
      <c r="E96">
        <v>4</v>
      </c>
      <c r="F96">
        <v>7038</v>
      </c>
      <c r="G96">
        <f>TbReceitas[[#This Row],[quantidade]]*TbReceitas[[#This Row],[preco_unitario]]</f>
        <v>28152</v>
      </c>
      <c r="H96" t="str">
        <f>TEXT(TbReceitas[[#This Row],[data_transacao]], "aaaa-mm")</f>
        <v>2025-08</v>
      </c>
    </row>
    <row r="97" spans="1:8">
      <c r="A97">
        <v>96</v>
      </c>
      <c r="B97" s="1">
        <v>46276</v>
      </c>
      <c r="C97" t="s">
        <v>799</v>
      </c>
      <c r="D97" t="s">
        <v>286</v>
      </c>
      <c r="E97">
        <v>4</v>
      </c>
      <c r="F97">
        <v>4982</v>
      </c>
      <c r="G97">
        <f>TbReceitas[[#This Row],[quantidade]]*TbReceitas[[#This Row],[preco_unitario]]</f>
        <v>19928</v>
      </c>
      <c r="H97" t="str">
        <f>TEXT(TbReceitas[[#This Row],[data_transacao]], "aaaa-mm")</f>
        <v>2026-09</v>
      </c>
    </row>
    <row r="98" spans="1:8">
      <c r="A98">
        <v>97</v>
      </c>
      <c r="B98" s="1">
        <v>46260</v>
      </c>
      <c r="C98" t="s">
        <v>800</v>
      </c>
      <c r="D98" t="s">
        <v>300</v>
      </c>
      <c r="E98">
        <v>1</v>
      </c>
      <c r="F98">
        <v>734</v>
      </c>
      <c r="G98">
        <f>TbReceitas[[#This Row],[quantidade]]*TbReceitas[[#This Row],[preco_unitario]]</f>
        <v>734</v>
      </c>
      <c r="H98" t="str">
        <f>TEXT(TbReceitas[[#This Row],[data_transacao]], "aaaa-mm")</f>
        <v>2026-08</v>
      </c>
    </row>
    <row r="99" spans="1:8">
      <c r="A99">
        <v>98</v>
      </c>
      <c r="B99" s="1">
        <v>46173</v>
      </c>
      <c r="C99" t="s">
        <v>801</v>
      </c>
      <c r="D99" t="s">
        <v>533</v>
      </c>
      <c r="E99">
        <v>5</v>
      </c>
      <c r="F99">
        <v>7628</v>
      </c>
      <c r="G99">
        <f>TbReceitas[[#This Row],[quantidade]]*TbReceitas[[#This Row],[preco_unitario]]</f>
        <v>38140</v>
      </c>
      <c r="H99" t="str">
        <f>TEXT(TbReceitas[[#This Row],[data_transacao]], "aaaa-mm")</f>
        <v>2026-05</v>
      </c>
    </row>
    <row r="100" spans="1:8">
      <c r="A100">
        <v>99</v>
      </c>
      <c r="B100" s="1">
        <v>46015</v>
      </c>
      <c r="C100" t="s">
        <v>747</v>
      </c>
      <c r="D100" t="s">
        <v>340</v>
      </c>
      <c r="E100">
        <v>1</v>
      </c>
      <c r="F100">
        <v>13813</v>
      </c>
      <c r="G100">
        <f>TbReceitas[[#This Row],[quantidade]]*TbReceitas[[#This Row],[preco_unitario]]</f>
        <v>13813</v>
      </c>
      <c r="H100" t="str">
        <f>TEXT(TbReceitas[[#This Row],[data_transacao]], "aaaa-mm")</f>
        <v>2025-12</v>
      </c>
    </row>
    <row r="101" spans="1:8">
      <c r="A101">
        <v>100</v>
      </c>
      <c r="B101" s="1">
        <v>45800</v>
      </c>
      <c r="C101" t="s">
        <v>802</v>
      </c>
      <c r="D101" t="s">
        <v>460</v>
      </c>
      <c r="E101">
        <v>5</v>
      </c>
      <c r="F101">
        <v>24504</v>
      </c>
      <c r="G101">
        <f>TbReceitas[[#This Row],[quantidade]]*TbReceitas[[#This Row],[preco_unitario]]</f>
        <v>122520</v>
      </c>
      <c r="H101" t="str">
        <f>TEXT(TbReceitas[[#This Row],[data_transacao]], "aaaa-mm")</f>
        <v>2025-05</v>
      </c>
    </row>
    <row r="102" spans="1:8">
      <c r="A102">
        <v>101</v>
      </c>
      <c r="B102" s="1">
        <v>45746</v>
      </c>
      <c r="C102" t="s">
        <v>803</v>
      </c>
      <c r="D102" t="s">
        <v>468</v>
      </c>
      <c r="E102">
        <v>3</v>
      </c>
      <c r="F102">
        <v>2924</v>
      </c>
      <c r="G102">
        <f>TbReceitas[[#This Row],[quantidade]]*TbReceitas[[#This Row],[preco_unitario]]</f>
        <v>8772</v>
      </c>
      <c r="H102" t="str">
        <f>TEXT(TbReceitas[[#This Row],[data_transacao]], "aaaa-mm")</f>
        <v>2025-03</v>
      </c>
    </row>
    <row r="103" spans="1:8">
      <c r="A103">
        <v>102</v>
      </c>
      <c r="B103" s="1">
        <v>45657</v>
      </c>
      <c r="C103" t="s">
        <v>804</v>
      </c>
      <c r="D103" t="s">
        <v>488</v>
      </c>
      <c r="E103">
        <v>4</v>
      </c>
      <c r="F103">
        <v>7594</v>
      </c>
      <c r="G103">
        <f>TbReceitas[[#This Row],[quantidade]]*TbReceitas[[#This Row],[preco_unitario]]</f>
        <v>30376</v>
      </c>
      <c r="H103" t="str">
        <f>TEXT(TbReceitas[[#This Row],[data_transacao]], "aaaa-mm")</f>
        <v>2024-12</v>
      </c>
    </row>
    <row r="104" spans="1:8">
      <c r="A104">
        <v>103</v>
      </c>
      <c r="B104" s="1">
        <v>46214</v>
      </c>
      <c r="C104" t="s">
        <v>805</v>
      </c>
      <c r="D104" t="s">
        <v>31</v>
      </c>
      <c r="E104">
        <v>2</v>
      </c>
      <c r="F104">
        <v>3134</v>
      </c>
      <c r="G104">
        <f>TbReceitas[[#This Row],[quantidade]]*TbReceitas[[#This Row],[preco_unitario]]</f>
        <v>6268</v>
      </c>
      <c r="H104" t="str">
        <f>TEXT(TbReceitas[[#This Row],[data_transacao]], "aaaa-mm")</f>
        <v>2026-07</v>
      </c>
    </row>
    <row r="105" spans="1:8">
      <c r="A105">
        <v>104</v>
      </c>
      <c r="B105" s="1">
        <v>45774</v>
      </c>
      <c r="C105" t="s">
        <v>806</v>
      </c>
      <c r="D105" t="s">
        <v>227</v>
      </c>
      <c r="E105">
        <v>3</v>
      </c>
      <c r="F105">
        <v>23168</v>
      </c>
      <c r="G105">
        <f>TbReceitas[[#This Row],[quantidade]]*TbReceitas[[#This Row],[preco_unitario]]</f>
        <v>69504</v>
      </c>
      <c r="H105" t="str">
        <f>TEXT(TbReceitas[[#This Row],[data_transacao]], "aaaa-mm")</f>
        <v>2025-04</v>
      </c>
    </row>
    <row r="106" spans="1:8">
      <c r="A106">
        <v>105</v>
      </c>
      <c r="B106" s="1">
        <v>45667</v>
      </c>
      <c r="C106" t="s">
        <v>807</v>
      </c>
      <c r="D106" t="s">
        <v>670</v>
      </c>
      <c r="E106">
        <v>1</v>
      </c>
      <c r="F106">
        <v>23664</v>
      </c>
      <c r="G106">
        <f>TbReceitas[[#This Row],[quantidade]]*TbReceitas[[#This Row],[preco_unitario]]</f>
        <v>23664</v>
      </c>
      <c r="H106" t="str">
        <f>TEXT(TbReceitas[[#This Row],[data_transacao]], "aaaa-mm")</f>
        <v>2025-01</v>
      </c>
    </row>
    <row r="107" spans="1:8">
      <c r="A107">
        <v>106</v>
      </c>
      <c r="B107" s="1">
        <v>46172</v>
      </c>
      <c r="C107" t="s">
        <v>808</v>
      </c>
      <c r="D107" t="s">
        <v>98</v>
      </c>
      <c r="E107">
        <v>4</v>
      </c>
      <c r="F107">
        <v>10903</v>
      </c>
      <c r="G107">
        <f>TbReceitas[[#This Row],[quantidade]]*TbReceitas[[#This Row],[preco_unitario]]</f>
        <v>43612</v>
      </c>
      <c r="H107" t="str">
        <f>TEXT(TbReceitas[[#This Row],[data_transacao]], "aaaa-mm")</f>
        <v>2026-05</v>
      </c>
    </row>
    <row r="108" spans="1:8">
      <c r="A108">
        <v>107</v>
      </c>
      <c r="B108" s="1">
        <v>45619</v>
      </c>
      <c r="C108" t="s">
        <v>809</v>
      </c>
      <c r="D108" t="s">
        <v>334</v>
      </c>
      <c r="E108">
        <v>5</v>
      </c>
      <c r="F108">
        <v>20877</v>
      </c>
      <c r="G108">
        <f>TbReceitas[[#This Row],[quantidade]]*TbReceitas[[#This Row],[preco_unitario]]</f>
        <v>104385</v>
      </c>
      <c r="H108" t="str">
        <f>TEXT(TbReceitas[[#This Row],[data_transacao]], "aaaa-mm")</f>
        <v>2024-11</v>
      </c>
    </row>
    <row r="109" spans="1:8">
      <c r="A109">
        <v>108</v>
      </c>
      <c r="B109" s="1">
        <v>46127</v>
      </c>
      <c r="C109" t="s">
        <v>810</v>
      </c>
      <c r="D109" t="s">
        <v>593</v>
      </c>
      <c r="E109">
        <v>3</v>
      </c>
      <c r="F109">
        <v>2171</v>
      </c>
      <c r="G109">
        <f>TbReceitas[[#This Row],[quantidade]]*TbReceitas[[#This Row],[preco_unitario]]</f>
        <v>6513</v>
      </c>
      <c r="H109" t="str">
        <f>TEXT(TbReceitas[[#This Row],[data_transacao]], "aaaa-mm")</f>
        <v>2026-04</v>
      </c>
    </row>
    <row r="110" spans="1:8">
      <c r="A110">
        <v>109</v>
      </c>
      <c r="B110" s="1">
        <v>46134</v>
      </c>
      <c r="C110" t="s">
        <v>811</v>
      </c>
      <c r="D110" t="s">
        <v>242</v>
      </c>
      <c r="E110">
        <v>5</v>
      </c>
      <c r="F110">
        <v>21063</v>
      </c>
      <c r="G110">
        <f>TbReceitas[[#This Row],[quantidade]]*TbReceitas[[#This Row],[preco_unitario]]</f>
        <v>105315</v>
      </c>
      <c r="H110" t="str">
        <f>TEXT(TbReceitas[[#This Row],[data_transacao]], "aaaa-mm")</f>
        <v>2026-04</v>
      </c>
    </row>
    <row r="111" spans="1:8">
      <c r="A111">
        <v>110</v>
      </c>
      <c r="B111" s="1">
        <v>46028</v>
      </c>
      <c r="C111" t="s">
        <v>746</v>
      </c>
      <c r="D111" t="s">
        <v>589</v>
      </c>
      <c r="E111">
        <v>1</v>
      </c>
      <c r="F111">
        <v>6421</v>
      </c>
      <c r="G111">
        <f>TbReceitas[[#This Row],[quantidade]]*TbReceitas[[#This Row],[preco_unitario]]</f>
        <v>6421</v>
      </c>
      <c r="H111" t="str">
        <f>TEXT(TbReceitas[[#This Row],[data_transacao]], "aaaa-mm")</f>
        <v>2026-01</v>
      </c>
    </row>
    <row r="112" spans="1:8">
      <c r="A112">
        <v>111</v>
      </c>
      <c r="B112" s="1">
        <v>45580</v>
      </c>
      <c r="C112" t="s">
        <v>812</v>
      </c>
      <c r="D112" t="s">
        <v>111</v>
      </c>
      <c r="E112">
        <v>1</v>
      </c>
      <c r="F112">
        <v>22417</v>
      </c>
      <c r="G112">
        <f>TbReceitas[[#This Row],[quantidade]]*TbReceitas[[#This Row],[preco_unitario]]</f>
        <v>22417</v>
      </c>
      <c r="H112" t="str">
        <f>TEXT(TbReceitas[[#This Row],[data_transacao]], "aaaa-mm")</f>
        <v>2024-10</v>
      </c>
    </row>
    <row r="113" spans="1:8">
      <c r="A113">
        <v>112</v>
      </c>
      <c r="B113" s="1">
        <v>46004</v>
      </c>
      <c r="C113" t="s">
        <v>813</v>
      </c>
      <c r="D113" t="s">
        <v>555</v>
      </c>
      <c r="E113">
        <v>3</v>
      </c>
      <c r="F113">
        <v>4984</v>
      </c>
      <c r="G113">
        <f>TbReceitas[[#This Row],[quantidade]]*TbReceitas[[#This Row],[preco_unitario]]</f>
        <v>14952</v>
      </c>
      <c r="H113" t="str">
        <f>TEXT(TbReceitas[[#This Row],[data_transacao]], "aaaa-mm")</f>
        <v>2025-12</v>
      </c>
    </row>
    <row r="114" spans="1:8">
      <c r="A114">
        <v>113</v>
      </c>
      <c r="B114" s="1">
        <v>45635</v>
      </c>
      <c r="C114" t="s">
        <v>814</v>
      </c>
      <c r="D114" t="s">
        <v>567</v>
      </c>
      <c r="E114">
        <v>1</v>
      </c>
      <c r="F114">
        <v>15916</v>
      </c>
      <c r="G114">
        <f>TbReceitas[[#This Row],[quantidade]]*TbReceitas[[#This Row],[preco_unitario]]</f>
        <v>15916</v>
      </c>
      <c r="H114" t="str">
        <f>TEXT(TbReceitas[[#This Row],[data_transacao]], "aaaa-mm")</f>
        <v>2024-12</v>
      </c>
    </row>
    <row r="115" spans="1:8">
      <c r="A115">
        <v>114</v>
      </c>
      <c r="B115" s="1">
        <v>45980</v>
      </c>
      <c r="C115" t="s">
        <v>815</v>
      </c>
      <c r="D115" t="s">
        <v>355</v>
      </c>
      <c r="E115">
        <v>3</v>
      </c>
      <c r="F115">
        <v>22343</v>
      </c>
      <c r="G115">
        <f>TbReceitas[[#This Row],[quantidade]]*TbReceitas[[#This Row],[preco_unitario]]</f>
        <v>67029</v>
      </c>
      <c r="H115" t="str">
        <f>TEXT(TbReceitas[[#This Row],[data_transacao]], "aaaa-mm")</f>
        <v>2025-11</v>
      </c>
    </row>
    <row r="116" spans="1:8">
      <c r="A116">
        <v>115</v>
      </c>
      <c r="B116" s="1">
        <v>45801</v>
      </c>
      <c r="C116" t="s">
        <v>738</v>
      </c>
      <c r="D116" t="s">
        <v>194</v>
      </c>
      <c r="E116">
        <v>3</v>
      </c>
      <c r="F116">
        <v>20829</v>
      </c>
      <c r="G116">
        <f>TbReceitas[[#This Row],[quantidade]]*TbReceitas[[#This Row],[preco_unitario]]</f>
        <v>62487</v>
      </c>
      <c r="H116" t="str">
        <f>TEXT(TbReceitas[[#This Row],[data_transacao]], "aaaa-mm")</f>
        <v>2025-05</v>
      </c>
    </row>
    <row r="117" spans="1:8">
      <c r="A117">
        <v>116</v>
      </c>
      <c r="B117" s="1">
        <v>45583</v>
      </c>
      <c r="C117" t="s">
        <v>816</v>
      </c>
      <c r="D117" t="s">
        <v>610</v>
      </c>
      <c r="E117">
        <v>1</v>
      </c>
      <c r="F117">
        <v>2549</v>
      </c>
      <c r="G117">
        <f>TbReceitas[[#This Row],[quantidade]]*TbReceitas[[#This Row],[preco_unitario]]</f>
        <v>2549</v>
      </c>
      <c r="H117" t="str">
        <f>TEXT(TbReceitas[[#This Row],[data_transacao]], "aaaa-mm")</f>
        <v>2024-10</v>
      </c>
    </row>
    <row r="118" spans="1:8">
      <c r="A118">
        <v>117</v>
      </c>
      <c r="B118" s="1">
        <v>46189</v>
      </c>
      <c r="C118" t="s">
        <v>817</v>
      </c>
      <c r="D118" t="s">
        <v>222</v>
      </c>
      <c r="E118">
        <v>3</v>
      </c>
      <c r="F118">
        <v>21814</v>
      </c>
      <c r="G118">
        <f>TbReceitas[[#This Row],[quantidade]]*TbReceitas[[#This Row],[preco_unitario]]</f>
        <v>65442</v>
      </c>
      <c r="H118" t="str">
        <f>TEXT(TbReceitas[[#This Row],[data_transacao]], "aaaa-mm")</f>
        <v>2026-06</v>
      </c>
    </row>
    <row r="119" spans="1:8">
      <c r="A119">
        <v>118</v>
      </c>
      <c r="B119" s="1">
        <v>45684</v>
      </c>
      <c r="C119" t="s">
        <v>818</v>
      </c>
      <c r="D119" t="s">
        <v>37</v>
      </c>
      <c r="E119">
        <v>1</v>
      </c>
      <c r="F119">
        <v>15145</v>
      </c>
      <c r="G119">
        <f>TbReceitas[[#This Row],[quantidade]]*TbReceitas[[#This Row],[preco_unitario]]</f>
        <v>15145</v>
      </c>
      <c r="H119" t="str">
        <f>TEXT(TbReceitas[[#This Row],[data_transacao]], "aaaa-mm")</f>
        <v>2025-01</v>
      </c>
    </row>
    <row r="120" spans="1:8">
      <c r="A120">
        <v>119</v>
      </c>
      <c r="B120" s="1">
        <v>45769</v>
      </c>
      <c r="C120" t="s">
        <v>819</v>
      </c>
      <c r="D120" t="s">
        <v>282</v>
      </c>
      <c r="E120">
        <v>3</v>
      </c>
      <c r="F120">
        <v>2647</v>
      </c>
      <c r="G120">
        <f>TbReceitas[[#This Row],[quantidade]]*TbReceitas[[#This Row],[preco_unitario]]</f>
        <v>7941</v>
      </c>
      <c r="H120" t="str">
        <f>TEXT(TbReceitas[[#This Row],[data_transacao]], "aaaa-mm")</f>
        <v>2025-04</v>
      </c>
    </row>
    <row r="121" spans="1:8">
      <c r="A121">
        <v>120</v>
      </c>
      <c r="B121" s="1">
        <v>45922</v>
      </c>
      <c r="C121" t="s">
        <v>820</v>
      </c>
      <c r="D121" t="s">
        <v>37</v>
      </c>
      <c r="E121">
        <v>4</v>
      </c>
      <c r="F121">
        <v>15145</v>
      </c>
      <c r="G121">
        <f>TbReceitas[[#This Row],[quantidade]]*TbReceitas[[#This Row],[preco_unitario]]</f>
        <v>60580</v>
      </c>
      <c r="H121" t="str">
        <f>TEXT(TbReceitas[[#This Row],[data_transacao]], "aaaa-mm")</f>
        <v>2025-09</v>
      </c>
    </row>
    <row r="122" spans="1:8">
      <c r="A122">
        <v>121</v>
      </c>
      <c r="B122" s="1">
        <v>45991</v>
      </c>
      <c r="C122" t="s">
        <v>821</v>
      </c>
      <c r="D122" t="s">
        <v>80</v>
      </c>
      <c r="E122">
        <v>5</v>
      </c>
      <c r="F122">
        <v>846</v>
      </c>
      <c r="G122">
        <f>TbReceitas[[#This Row],[quantidade]]*TbReceitas[[#This Row],[preco_unitario]]</f>
        <v>4230</v>
      </c>
      <c r="H122" t="str">
        <f>TEXT(TbReceitas[[#This Row],[data_transacao]], "aaaa-mm")</f>
        <v>2025-11</v>
      </c>
    </row>
    <row r="123" spans="1:8">
      <c r="A123">
        <v>122</v>
      </c>
      <c r="B123" s="1">
        <v>45689</v>
      </c>
      <c r="C123" t="s">
        <v>822</v>
      </c>
      <c r="D123" t="s">
        <v>380</v>
      </c>
      <c r="E123">
        <v>2</v>
      </c>
      <c r="F123">
        <v>18227</v>
      </c>
      <c r="G123">
        <f>TbReceitas[[#This Row],[quantidade]]*TbReceitas[[#This Row],[preco_unitario]]</f>
        <v>36454</v>
      </c>
      <c r="H123" t="str">
        <f>TEXT(TbReceitas[[#This Row],[data_transacao]], "aaaa-mm")</f>
        <v>2025-02</v>
      </c>
    </row>
    <row r="124" spans="1:8">
      <c r="A124">
        <v>123</v>
      </c>
      <c r="B124" s="1">
        <v>45914</v>
      </c>
      <c r="C124" t="s">
        <v>823</v>
      </c>
      <c r="D124" t="s">
        <v>419</v>
      </c>
      <c r="E124">
        <v>4</v>
      </c>
      <c r="F124">
        <v>22234</v>
      </c>
      <c r="G124">
        <f>TbReceitas[[#This Row],[quantidade]]*TbReceitas[[#This Row],[preco_unitario]]</f>
        <v>88936</v>
      </c>
      <c r="H124" t="str">
        <f>TEXT(TbReceitas[[#This Row],[data_transacao]], "aaaa-mm")</f>
        <v>2025-09</v>
      </c>
    </row>
    <row r="125" spans="1:8">
      <c r="A125">
        <v>124</v>
      </c>
      <c r="B125" s="1">
        <v>46064</v>
      </c>
      <c r="C125" t="s">
        <v>824</v>
      </c>
      <c r="D125" t="s">
        <v>22</v>
      </c>
      <c r="E125">
        <v>3</v>
      </c>
      <c r="F125">
        <v>15801</v>
      </c>
      <c r="G125">
        <f>TbReceitas[[#This Row],[quantidade]]*TbReceitas[[#This Row],[preco_unitario]]</f>
        <v>47403</v>
      </c>
      <c r="H125" t="str">
        <f>TEXT(TbReceitas[[#This Row],[data_transacao]], "aaaa-mm")</f>
        <v>2026-02</v>
      </c>
    </row>
    <row r="126" spans="1:8">
      <c r="A126">
        <v>125</v>
      </c>
      <c r="B126" s="1">
        <v>46257</v>
      </c>
      <c r="C126" t="s">
        <v>825</v>
      </c>
      <c r="D126" t="s">
        <v>107</v>
      </c>
      <c r="E126">
        <v>3</v>
      </c>
      <c r="F126">
        <v>16331</v>
      </c>
      <c r="G126">
        <f>TbReceitas[[#This Row],[quantidade]]*TbReceitas[[#This Row],[preco_unitario]]</f>
        <v>48993</v>
      </c>
      <c r="H126" t="str">
        <f>TEXT(TbReceitas[[#This Row],[data_transacao]], "aaaa-mm")</f>
        <v>2026-08</v>
      </c>
    </row>
    <row r="127" spans="1:8">
      <c r="A127">
        <v>126</v>
      </c>
      <c r="B127" s="1">
        <v>45922</v>
      </c>
      <c r="C127" t="s">
        <v>826</v>
      </c>
      <c r="D127" t="s">
        <v>148</v>
      </c>
      <c r="E127">
        <v>2</v>
      </c>
      <c r="F127">
        <v>20605</v>
      </c>
      <c r="G127">
        <f>TbReceitas[[#This Row],[quantidade]]*TbReceitas[[#This Row],[preco_unitario]]</f>
        <v>41210</v>
      </c>
      <c r="H127" t="str">
        <f>TEXT(TbReceitas[[#This Row],[data_transacao]], "aaaa-mm")</f>
        <v>2025-09</v>
      </c>
    </row>
    <row r="128" spans="1:8">
      <c r="A128">
        <v>127</v>
      </c>
      <c r="B128" s="1">
        <v>46130</v>
      </c>
      <c r="C128" t="s">
        <v>827</v>
      </c>
      <c r="D128" t="s">
        <v>434</v>
      </c>
      <c r="E128">
        <v>5</v>
      </c>
      <c r="F128">
        <v>8034</v>
      </c>
      <c r="G128">
        <f>TbReceitas[[#This Row],[quantidade]]*TbReceitas[[#This Row],[preco_unitario]]</f>
        <v>40170</v>
      </c>
      <c r="H128" t="str">
        <f>TEXT(TbReceitas[[#This Row],[data_transacao]], "aaaa-mm")</f>
        <v>2026-04</v>
      </c>
    </row>
    <row r="129" spans="1:8">
      <c r="A129">
        <v>128</v>
      </c>
      <c r="B129" s="1">
        <v>46206</v>
      </c>
      <c r="C129" t="s">
        <v>828</v>
      </c>
      <c r="D129" t="s">
        <v>359</v>
      </c>
      <c r="E129">
        <v>4</v>
      </c>
      <c r="F129">
        <v>18617</v>
      </c>
      <c r="G129">
        <f>TbReceitas[[#This Row],[quantidade]]*TbReceitas[[#This Row],[preco_unitario]]</f>
        <v>74468</v>
      </c>
      <c r="H129" t="str">
        <f>TEXT(TbReceitas[[#This Row],[data_transacao]], "aaaa-mm")</f>
        <v>2026-07</v>
      </c>
    </row>
    <row r="130" spans="1:8">
      <c r="A130">
        <v>129</v>
      </c>
      <c r="B130" s="1">
        <v>45807</v>
      </c>
      <c r="C130" t="s">
        <v>829</v>
      </c>
      <c r="D130" t="s">
        <v>662</v>
      </c>
      <c r="E130">
        <v>5</v>
      </c>
      <c r="F130">
        <v>18382</v>
      </c>
      <c r="G130">
        <f>TbReceitas[[#This Row],[quantidade]]*TbReceitas[[#This Row],[preco_unitario]]</f>
        <v>91910</v>
      </c>
      <c r="H130" t="str">
        <f>TEXT(TbReceitas[[#This Row],[data_transacao]], "aaaa-mm")</f>
        <v>2025-05</v>
      </c>
    </row>
    <row r="131" spans="1:8">
      <c r="A131">
        <v>130</v>
      </c>
      <c r="B131" s="1">
        <v>46158</v>
      </c>
      <c r="C131" t="s">
        <v>830</v>
      </c>
      <c r="D131" t="s">
        <v>230</v>
      </c>
      <c r="E131">
        <v>3</v>
      </c>
      <c r="F131">
        <v>2847</v>
      </c>
      <c r="G131">
        <f>TbReceitas[[#This Row],[quantidade]]*TbReceitas[[#This Row],[preco_unitario]]</f>
        <v>8541</v>
      </c>
      <c r="H131" t="str">
        <f>TEXT(TbReceitas[[#This Row],[data_transacao]], "aaaa-mm")</f>
        <v>2026-05</v>
      </c>
    </row>
    <row r="132" spans="1:8">
      <c r="A132">
        <v>131</v>
      </c>
      <c r="B132" s="1">
        <v>46062</v>
      </c>
      <c r="C132" t="s">
        <v>831</v>
      </c>
      <c r="D132" t="s">
        <v>83</v>
      </c>
      <c r="E132">
        <v>5</v>
      </c>
      <c r="F132">
        <v>22765</v>
      </c>
      <c r="G132">
        <f>TbReceitas[[#This Row],[quantidade]]*TbReceitas[[#This Row],[preco_unitario]]</f>
        <v>113825</v>
      </c>
      <c r="H132" t="str">
        <f>TEXT(TbReceitas[[#This Row],[data_transacao]], "aaaa-mm")</f>
        <v>2026-02</v>
      </c>
    </row>
    <row r="133" spans="1:8">
      <c r="A133">
        <v>132</v>
      </c>
      <c r="B133" s="1">
        <v>46033</v>
      </c>
      <c r="C133" t="s">
        <v>832</v>
      </c>
      <c r="D133" t="s">
        <v>144</v>
      </c>
      <c r="E133">
        <v>4</v>
      </c>
      <c r="F133">
        <v>11267</v>
      </c>
      <c r="G133">
        <f>TbReceitas[[#This Row],[quantidade]]*TbReceitas[[#This Row],[preco_unitario]]</f>
        <v>45068</v>
      </c>
      <c r="H133" t="str">
        <f>TEXT(TbReceitas[[#This Row],[data_transacao]], "aaaa-mm")</f>
        <v>2026-01</v>
      </c>
    </row>
    <row r="134" spans="1:8">
      <c r="A134">
        <v>133</v>
      </c>
      <c r="B134" s="1">
        <v>46046</v>
      </c>
      <c r="C134" t="s">
        <v>833</v>
      </c>
      <c r="D134" t="s">
        <v>834</v>
      </c>
      <c r="E134">
        <v>2</v>
      </c>
      <c r="F134">
        <v>19601</v>
      </c>
      <c r="G134">
        <f>TbReceitas[[#This Row],[quantidade]]*TbReceitas[[#This Row],[preco_unitario]]</f>
        <v>39202</v>
      </c>
      <c r="H134" t="str">
        <f>TEXT(TbReceitas[[#This Row],[data_transacao]], "aaaa-mm")</f>
        <v>2026-01</v>
      </c>
    </row>
    <row r="135" spans="1:8">
      <c r="A135">
        <v>134</v>
      </c>
      <c r="B135" s="1">
        <v>45671</v>
      </c>
      <c r="C135" t="s">
        <v>835</v>
      </c>
      <c r="D135" t="s">
        <v>699</v>
      </c>
      <c r="E135">
        <v>2</v>
      </c>
      <c r="F135">
        <v>12969</v>
      </c>
      <c r="G135">
        <f>TbReceitas[[#This Row],[quantidade]]*TbReceitas[[#This Row],[preco_unitario]]</f>
        <v>25938</v>
      </c>
      <c r="H135" t="str">
        <f>TEXT(TbReceitas[[#This Row],[data_transacao]], "aaaa-mm")</f>
        <v>2025-01</v>
      </c>
    </row>
    <row r="136" spans="1:8">
      <c r="A136">
        <v>135</v>
      </c>
      <c r="B136" s="1">
        <v>46116</v>
      </c>
      <c r="C136" t="s">
        <v>836</v>
      </c>
      <c r="D136" t="s">
        <v>155</v>
      </c>
      <c r="E136">
        <v>1</v>
      </c>
      <c r="F136">
        <v>4712</v>
      </c>
      <c r="G136">
        <f>TbReceitas[[#This Row],[quantidade]]*TbReceitas[[#This Row],[preco_unitario]]</f>
        <v>4712</v>
      </c>
      <c r="H136" t="str">
        <f>TEXT(TbReceitas[[#This Row],[data_transacao]], "aaaa-mm")</f>
        <v>2026-04</v>
      </c>
    </row>
    <row r="137" spans="1:8">
      <c r="A137">
        <v>136</v>
      </c>
      <c r="B137" s="1">
        <v>45764</v>
      </c>
      <c r="C137" t="s">
        <v>837</v>
      </c>
      <c r="D137" t="s">
        <v>482</v>
      </c>
      <c r="E137">
        <v>1</v>
      </c>
      <c r="F137">
        <v>8304</v>
      </c>
      <c r="G137">
        <f>TbReceitas[[#This Row],[quantidade]]*TbReceitas[[#This Row],[preco_unitario]]</f>
        <v>8304</v>
      </c>
      <c r="H137" t="str">
        <f>TEXT(TbReceitas[[#This Row],[data_transacao]], "aaaa-mm")</f>
        <v>2025-04</v>
      </c>
    </row>
    <row r="138" spans="1:8">
      <c r="A138">
        <v>137</v>
      </c>
      <c r="B138" s="1">
        <v>45732</v>
      </c>
      <c r="C138" t="s">
        <v>838</v>
      </c>
      <c r="D138" t="s">
        <v>682</v>
      </c>
      <c r="E138">
        <v>3</v>
      </c>
      <c r="F138">
        <v>23494</v>
      </c>
      <c r="G138">
        <f>TbReceitas[[#This Row],[quantidade]]*TbReceitas[[#This Row],[preco_unitario]]</f>
        <v>70482</v>
      </c>
      <c r="H138" t="str">
        <f>TEXT(TbReceitas[[#This Row],[data_transacao]], "aaaa-mm")</f>
        <v>2025-03</v>
      </c>
    </row>
    <row r="139" spans="1:8">
      <c r="A139">
        <v>138</v>
      </c>
      <c r="B139" s="1">
        <v>45902</v>
      </c>
      <c r="C139" t="s">
        <v>839</v>
      </c>
      <c r="D139" t="s">
        <v>722</v>
      </c>
      <c r="E139">
        <v>2</v>
      </c>
      <c r="F139">
        <v>1511</v>
      </c>
      <c r="G139">
        <f>TbReceitas[[#This Row],[quantidade]]*TbReceitas[[#This Row],[preco_unitario]]</f>
        <v>3022</v>
      </c>
      <c r="H139" t="str">
        <f>TEXT(TbReceitas[[#This Row],[data_transacao]], "aaaa-mm")</f>
        <v>2025-09</v>
      </c>
    </row>
    <row r="140" spans="1:8">
      <c r="A140">
        <v>139</v>
      </c>
      <c r="B140" s="1">
        <v>46128</v>
      </c>
      <c r="C140" t="s">
        <v>840</v>
      </c>
      <c r="D140" t="s">
        <v>428</v>
      </c>
      <c r="E140">
        <v>2</v>
      </c>
      <c r="F140">
        <v>19405</v>
      </c>
      <c r="G140">
        <f>TbReceitas[[#This Row],[quantidade]]*TbReceitas[[#This Row],[preco_unitario]]</f>
        <v>38810</v>
      </c>
      <c r="H140" t="str">
        <f>TEXT(TbReceitas[[#This Row],[data_transacao]], "aaaa-mm")</f>
        <v>2026-04</v>
      </c>
    </row>
    <row r="141" spans="1:8">
      <c r="A141">
        <v>140</v>
      </c>
      <c r="B141" s="1">
        <v>46232</v>
      </c>
      <c r="C141" t="s">
        <v>841</v>
      </c>
      <c r="D141" t="s">
        <v>121</v>
      </c>
      <c r="E141">
        <v>5</v>
      </c>
      <c r="F141">
        <v>9685</v>
      </c>
      <c r="G141">
        <f>TbReceitas[[#This Row],[quantidade]]*TbReceitas[[#This Row],[preco_unitario]]</f>
        <v>48425</v>
      </c>
      <c r="H141" t="str">
        <f>TEXT(TbReceitas[[#This Row],[data_transacao]], "aaaa-mm")</f>
        <v>2026-07</v>
      </c>
    </row>
    <row r="142" spans="1:8">
      <c r="A142">
        <v>141</v>
      </c>
      <c r="B142" s="1">
        <v>45916</v>
      </c>
      <c r="C142" t="s">
        <v>842</v>
      </c>
      <c r="D142" t="s">
        <v>667</v>
      </c>
      <c r="E142">
        <v>5</v>
      </c>
      <c r="F142">
        <v>11609</v>
      </c>
      <c r="G142">
        <f>TbReceitas[[#This Row],[quantidade]]*TbReceitas[[#This Row],[preco_unitario]]</f>
        <v>58045</v>
      </c>
      <c r="H142" t="str">
        <f>TEXT(TbReceitas[[#This Row],[data_transacao]], "aaaa-mm")</f>
        <v>2025-09</v>
      </c>
    </row>
    <row r="143" spans="1:8">
      <c r="A143">
        <v>142</v>
      </c>
      <c r="B143" s="1">
        <v>46067</v>
      </c>
      <c r="C143" t="s">
        <v>843</v>
      </c>
      <c r="D143" t="s">
        <v>385</v>
      </c>
      <c r="E143">
        <v>2</v>
      </c>
      <c r="F143">
        <v>10607</v>
      </c>
      <c r="G143">
        <f>TbReceitas[[#This Row],[quantidade]]*TbReceitas[[#This Row],[preco_unitario]]</f>
        <v>21214</v>
      </c>
      <c r="H143" t="str">
        <f>TEXT(TbReceitas[[#This Row],[data_transacao]], "aaaa-mm")</f>
        <v>2026-02</v>
      </c>
    </row>
    <row r="144" spans="1:8">
      <c r="A144">
        <v>143</v>
      </c>
      <c r="B144" s="1">
        <v>46262</v>
      </c>
      <c r="C144" t="s">
        <v>844</v>
      </c>
      <c r="D144" t="s">
        <v>610</v>
      </c>
      <c r="E144">
        <v>4</v>
      </c>
      <c r="F144">
        <v>2549</v>
      </c>
      <c r="G144">
        <f>TbReceitas[[#This Row],[quantidade]]*TbReceitas[[#This Row],[preco_unitario]]</f>
        <v>10196</v>
      </c>
      <c r="H144" t="str">
        <f>TEXT(TbReceitas[[#This Row],[data_transacao]], "aaaa-mm")</f>
        <v>2026-08</v>
      </c>
    </row>
    <row r="145" spans="1:8">
      <c r="A145">
        <v>144</v>
      </c>
      <c r="B145" s="1">
        <v>45657</v>
      </c>
      <c r="C145" t="s">
        <v>845</v>
      </c>
      <c r="D145" t="s">
        <v>347</v>
      </c>
      <c r="E145">
        <v>1</v>
      </c>
      <c r="F145">
        <v>19492</v>
      </c>
      <c r="G145">
        <f>TbReceitas[[#This Row],[quantidade]]*TbReceitas[[#This Row],[preco_unitario]]</f>
        <v>19492</v>
      </c>
      <c r="H145" t="str">
        <f>TEXT(TbReceitas[[#This Row],[data_transacao]], "aaaa-mm")</f>
        <v>2024-12</v>
      </c>
    </row>
    <row r="146" spans="1:8">
      <c r="A146">
        <v>145</v>
      </c>
      <c r="B146" s="1">
        <v>45550</v>
      </c>
      <c r="C146" t="s">
        <v>846</v>
      </c>
      <c r="D146" t="s">
        <v>480</v>
      </c>
      <c r="E146">
        <v>1</v>
      </c>
      <c r="F146">
        <v>1934</v>
      </c>
      <c r="G146">
        <f>TbReceitas[[#This Row],[quantidade]]*TbReceitas[[#This Row],[preco_unitario]]</f>
        <v>1934</v>
      </c>
      <c r="H146" t="str">
        <f>TEXT(TbReceitas[[#This Row],[data_transacao]], "aaaa-mm")</f>
        <v>2024-09</v>
      </c>
    </row>
    <row r="147" spans="1:8">
      <c r="A147">
        <v>146</v>
      </c>
      <c r="B147" s="1">
        <v>46028</v>
      </c>
      <c r="C147" t="s">
        <v>847</v>
      </c>
      <c r="D147" t="s">
        <v>631</v>
      </c>
      <c r="E147">
        <v>5</v>
      </c>
      <c r="F147">
        <v>23847</v>
      </c>
      <c r="G147">
        <f>TbReceitas[[#This Row],[quantidade]]*TbReceitas[[#This Row],[preco_unitario]]</f>
        <v>119235</v>
      </c>
      <c r="H147" t="str">
        <f>TEXT(TbReceitas[[#This Row],[data_transacao]], "aaaa-mm")</f>
        <v>2026-01</v>
      </c>
    </row>
    <row r="148" spans="1:8">
      <c r="A148">
        <v>147</v>
      </c>
      <c r="B148" s="1">
        <v>45730</v>
      </c>
      <c r="C148" t="s">
        <v>848</v>
      </c>
      <c r="D148" t="s">
        <v>509</v>
      </c>
      <c r="E148">
        <v>4</v>
      </c>
      <c r="F148">
        <v>2421</v>
      </c>
      <c r="G148">
        <f>TbReceitas[[#This Row],[quantidade]]*TbReceitas[[#This Row],[preco_unitario]]</f>
        <v>9684</v>
      </c>
      <c r="H148" t="str">
        <f>TEXT(TbReceitas[[#This Row],[data_transacao]], "aaaa-mm")</f>
        <v>2025-03</v>
      </c>
    </row>
    <row r="149" spans="1:8">
      <c r="A149">
        <v>148</v>
      </c>
      <c r="B149" s="1">
        <v>46273</v>
      </c>
      <c r="C149" t="s">
        <v>849</v>
      </c>
      <c r="D149" t="s">
        <v>526</v>
      </c>
      <c r="E149">
        <v>3</v>
      </c>
      <c r="F149">
        <v>4464</v>
      </c>
      <c r="G149">
        <f>TbReceitas[[#This Row],[quantidade]]*TbReceitas[[#This Row],[preco_unitario]]</f>
        <v>13392</v>
      </c>
      <c r="H149" t="str">
        <f>TEXT(TbReceitas[[#This Row],[data_transacao]], "aaaa-mm")</f>
        <v>2026-09</v>
      </c>
    </row>
    <row r="150" spans="1:8">
      <c r="A150">
        <v>149</v>
      </c>
      <c r="B150" s="1">
        <v>45720</v>
      </c>
      <c r="C150" t="s">
        <v>850</v>
      </c>
      <c r="D150" t="s">
        <v>165</v>
      </c>
      <c r="E150">
        <v>2</v>
      </c>
      <c r="F150">
        <v>16789</v>
      </c>
      <c r="G150">
        <f>TbReceitas[[#This Row],[quantidade]]*TbReceitas[[#This Row],[preco_unitario]]</f>
        <v>33578</v>
      </c>
      <c r="H150" t="str">
        <f>TEXT(TbReceitas[[#This Row],[data_transacao]], "aaaa-mm")</f>
        <v>2025-03</v>
      </c>
    </row>
    <row r="151" spans="1:8">
      <c r="A151">
        <v>150</v>
      </c>
      <c r="B151" s="1">
        <v>45646</v>
      </c>
      <c r="C151" t="s">
        <v>821</v>
      </c>
      <c r="D151" t="s">
        <v>293</v>
      </c>
      <c r="E151">
        <v>1</v>
      </c>
      <c r="F151">
        <v>7737</v>
      </c>
      <c r="G151">
        <f>TbReceitas[[#This Row],[quantidade]]*TbReceitas[[#This Row],[preco_unitario]]</f>
        <v>7737</v>
      </c>
      <c r="H151" t="str">
        <f>TEXT(TbReceitas[[#This Row],[data_transacao]], "aaaa-mm")</f>
        <v>2024-12</v>
      </c>
    </row>
    <row r="152" spans="1:8">
      <c r="A152">
        <v>151</v>
      </c>
      <c r="B152" s="1">
        <v>46263</v>
      </c>
      <c r="C152" t="s">
        <v>851</v>
      </c>
      <c r="D152" t="s">
        <v>700</v>
      </c>
      <c r="E152">
        <v>3</v>
      </c>
      <c r="F152">
        <v>17759</v>
      </c>
      <c r="G152">
        <f>TbReceitas[[#This Row],[quantidade]]*TbReceitas[[#This Row],[preco_unitario]]</f>
        <v>53277</v>
      </c>
      <c r="H152" t="str">
        <f>TEXT(TbReceitas[[#This Row],[data_transacao]], "aaaa-mm")</f>
        <v>2026-08</v>
      </c>
    </row>
    <row r="153" spans="1:8">
      <c r="A153">
        <v>152</v>
      </c>
      <c r="B153" s="1">
        <v>46219</v>
      </c>
      <c r="C153" t="s">
        <v>852</v>
      </c>
      <c r="D153" t="s">
        <v>131</v>
      </c>
      <c r="E153">
        <v>4</v>
      </c>
      <c r="F153">
        <v>5592</v>
      </c>
      <c r="G153">
        <f>TbReceitas[[#This Row],[quantidade]]*TbReceitas[[#This Row],[preco_unitario]]</f>
        <v>22368</v>
      </c>
      <c r="H153" t="str">
        <f>TEXT(TbReceitas[[#This Row],[data_transacao]], "aaaa-mm")</f>
        <v>2026-07</v>
      </c>
    </row>
    <row r="154" spans="1:8">
      <c r="A154">
        <v>153</v>
      </c>
      <c r="B154" s="1">
        <v>46196</v>
      </c>
      <c r="C154" t="s">
        <v>853</v>
      </c>
      <c r="D154" t="s">
        <v>182</v>
      </c>
      <c r="E154">
        <v>4</v>
      </c>
      <c r="F154">
        <v>19777</v>
      </c>
      <c r="G154">
        <f>TbReceitas[[#This Row],[quantidade]]*TbReceitas[[#This Row],[preco_unitario]]</f>
        <v>79108</v>
      </c>
      <c r="H154" t="str">
        <f>TEXT(TbReceitas[[#This Row],[data_transacao]], "aaaa-mm")</f>
        <v>2026-06</v>
      </c>
    </row>
    <row r="155" spans="1:8">
      <c r="A155">
        <v>154</v>
      </c>
      <c r="B155" s="1">
        <v>45913</v>
      </c>
      <c r="C155" t="s">
        <v>854</v>
      </c>
      <c r="D155" t="s">
        <v>219</v>
      </c>
      <c r="E155">
        <v>4</v>
      </c>
      <c r="F155">
        <v>8633</v>
      </c>
      <c r="G155">
        <f>TbReceitas[[#This Row],[quantidade]]*TbReceitas[[#This Row],[preco_unitario]]</f>
        <v>34532</v>
      </c>
      <c r="H155" t="str">
        <f>TEXT(TbReceitas[[#This Row],[data_transacao]], "aaaa-mm")</f>
        <v>2025-09</v>
      </c>
    </row>
    <row r="156" spans="1:8">
      <c r="A156">
        <v>155</v>
      </c>
      <c r="B156" s="1">
        <v>45728</v>
      </c>
      <c r="C156" t="s">
        <v>855</v>
      </c>
      <c r="D156" t="s">
        <v>308</v>
      </c>
      <c r="E156">
        <v>3</v>
      </c>
      <c r="F156">
        <v>3639</v>
      </c>
      <c r="G156">
        <f>TbReceitas[[#This Row],[quantidade]]*TbReceitas[[#This Row],[preco_unitario]]</f>
        <v>10917</v>
      </c>
      <c r="H156" t="str">
        <f>TEXT(TbReceitas[[#This Row],[data_transacao]], "aaaa-mm")</f>
        <v>2025-03</v>
      </c>
    </row>
    <row r="157" spans="1:8">
      <c r="A157">
        <v>156</v>
      </c>
      <c r="B157" s="1">
        <v>45575</v>
      </c>
      <c r="C157" t="s">
        <v>856</v>
      </c>
      <c r="D157" t="s">
        <v>393</v>
      </c>
      <c r="E157">
        <v>3</v>
      </c>
      <c r="F157">
        <v>16342</v>
      </c>
      <c r="G157">
        <f>TbReceitas[[#This Row],[quantidade]]*TbReceitas[[#This Row],[preco_unitario]]</f>
        <v>49026</v>
      </c>
      <c r="H157" t="str">
        <f>TEXT(TbReceitas[[#This Row],[data_transacao]], "aaaa-mm")</f>
        <v>2024-10</v>
      </c>
    </row>
    <row r="158" spans="1:8">
      <c r="A158">
        <v>157</v>
      </c>
      <c r="B158" s="1">
        <v>45649</v>
      </c>
      <c r="C158" t="s">
        <v>857</v>
      </c>
      <c r="D158" t="s">
        <v>639</v>
      </c>
      <c r="E158">
        <v>2</v>
      </c>
      <c r="F158">
        <v>4224</v>
      </c>
      <c r="G158">
        <f>TbReceitas[[#This Row],[quantidade]]*TbReceitas[[#This Row],[preco_unitario]]</f>
        <v>8448</v>
      </c>
      <c r="H158" t="str">
        <f>TEXT(TbReceitas[[#This Row],[data_transacao]], "aaaa-mm")</f>
        <v>2024-12</v>
      </c>
    </row>
    <row r="159" spans="1:8">
      <c r="A159">
        <v>158</v>
      </c>
      <c r="B159" s="1">
        <v>45874</v>
      </c>
      <c r="C159" t="s">
        <v>858</v>
      </c>
      <c r="D159" t="s">
        <v>859</v>
      </c>
      <c r="E159">
        <v>5</v>
      </c>
      <c r="F159">
        <v>6687</v>
      </c>
      <c r="G159">
        <f>TbReceitas[[#This Row],[quantidade]]*TbReceitas[[#This Row],[preco_unitario]]</f>
        <v>33435</v>
      </c>
      <c r="H159" t="str">
        <f>TEXT(TbReceitas[[#This Row],[data_transacao]], "aaaa-mm")</f>
        <v>2025-08</v>
      </c>
    </row>
    <row r="160" spans="1:8">
      <c r="A160">
        <v>159</v>
      </c>
      <c r="B160" s="1">
        <v>45763</v>
      </c>
      <c r="C160" t="s">
        <v>860</v>
      </c>
      <c r="D160" t="s">
        <v>385</v>
      </c>
      <c r="E160">
        <v>1</v>
      </c>
      <c r="F160">
        <v>10607</v>
      </c>
      <c r="G160">
        <f>TbReceitas[[#This Row],[quantidade]]*TbReceitas[[#This Row],[preco_unitario]]</f>
        <v>10607</v>
      </c>
      <c r="H160" t="str">
        <f>TEXT(TbReceitas[[#This Row],[data_transacao]], "aaaa-mm")</f>
        <v>2025-04</v>
      </c>
    </row>
    <row r="161" spans="1:8">
      <c r="A161">
        <v>160</v>
      </c>
      <c r="B161" s="1">
        <v>45827</v>
      </c>
      <c r="C161" t="s">
        <v>861</v>
      </c>
      <c r="D161" t="s">
        <v>280</v>
      </c>
      <c r="E161">
        <v>4</v>
      </c>
      <c r="F161">
        <v>16759</v>
      </c>
      <c r="G161">
        <f>TbReceitas[[#This Row],[quantidade]]*TbReceitas[[#This Row],[preco_unitario]]</f>
        <v>67036</v>
      </c>
      <c r="H161" t="str">
        <f>TEXT(TbReceitas[[#This Row],[data_transacao]], "aaaa-mm")</f>
        <v>2025-06</v>
      </c>
    </row>
    <row r="162" spans="1:8">
      <c r="A162">
        <v>161</v>
      </c>
      <c r="B162" s="1">
        <v>45763</v>
      </c>
      <c r="C162" t="s">
        <v>862</v>
      </c>
      <c r="D162" t="s">
        <v>592</v>
      </c>
      <c r="E162">
        <v>3</v>
      </c>
      <c r="F162">
        <v>11471</v>
      </c>
      <c r="G162">
        <f>TbReceitas[[#This Row],[quantidade]]*TbReceitas[[#This Row],[preco_unitario]]</f>
        <v>34413</v>
      </c>
      <c r="H162" t="str">
        <f>TEXT(TbReceitas[[#This Row],[data_transacao]], "aaaa-mm")</f>
        <v>2025-04</v>
      </c>
    </row>
    <row r="163" spans="1:8">
      <c r="A163">
        <v>162</v>
      </c>
      <c r="B163" s="1">
        <v>46106</v>
      </c>
      <c r="C163" t="s">
        <v>863</v>
      </c>
      <c r="D163" t="s">
        <v>33</v>
      </c>
      <c r="E163">
        <v>5</v>
      </c>
      <c r="F163">
        <v>20998</v>
      </c>
      <c r="G163">
        <f>TbReceitas[[#This Row],[quantidade]]*TbReceitas[[#This Row],[preco_unitario]]</f>
        <v>104990</v>
      </c>
      <c r="H163" t="str">
        <f>TEXT(TbReceitas[[#This Row],[data_transacao]], "aaaa-mm")</f>
        <v>2026-03</v>
      </c>
    </row>
    <row r="164" spans="1:8">
      <c r="A164">
        <v>163</v>
      </c>
      <c r="B164" s="1">
        <v>45737</v>
      </c>
      <c r="C164" t="s">
        <v>864</v>
      </c>
      <c r="D164" t="s">
        <v>646</v>
      </c>
      <c r="E164">
        <v>2</v>
      </c>
      <c r="F164">
        <v>14906</v>
      </c>
      <c r="G164">
        <f>TbReceitas[[#This Row],[quantidade]]*TbReceitas[[#This Row],[preco_unitario]]</f>
        <v>29812</v>
      </c>
      <c r="H164" t="str">
        <f>TEXT(TbReceitas[[#This Row],[data_transacao]], "aaaa-mm")</f>
        <v>2025-03</v>
      </c>
    </row>
    <row r="165" spans="1:8">
      <c r="A165">
        <v>164</v>
      </c>
      <c r="B165" s="1">
        <v>45920</v>
      </c>
      <c r="C165" t="s">
        <v>865</v>
      </c>
      <c r="D165" t="s">
        <v>571</v>
      </c>
      <c r="E165">
        <v>5</v>
      </c>
      <c r="F165">
        <v>7293</v>
      </c>
      <c r="G165">
        <f>TbReceitas[[#This Row],[quantidade]]*TbReceitas[[#This Row],[preco_unitario]]</f>
        <v>36465</v>
      </c>
      <c r="H165" t="str">
        <f>TEXT(TbReceitas[[#This Row],[data_transacao]], "aaaa-mm")</f>
        <v>2025-09</v>
      </c>
    </row>
    <row r="166" spans="1:8">
      <c r="A166">
        <v>165</v>
      </c>
      <c r="B166" s="1">
        <v>46265</v>
      </c>
      <c r="C166" t="s">
        <v>866</v>
      </c>
      <c r="D166" t="s">
        <v>415</v>
      </c>
      <c r="E166">
        <v>2</v>
      </c>
      <c r="F166">
        <v>19318</v>
      </c>
      <c r="G166">
        <f>TbReceitas[[#This Row],[quantidade]]*TbReceitas[[#This Row],[preco_unitario]]</f>
        <v>38636</v>
      </c>
      <c r="H166" t="str">
        <f>TEXT(TbReceitas[[#This Row],[data_transacao]], "aaaa-mm")</f>
        <v>2026-08</v>
      </c>
    </row>
    <row r="167" spans="1:8">
      <c r="A167">
        <v>166</v>
      </c>
      <c r="B167" s="1">
        <v>45572</v>
      </c>
      <c r="C167" t="s">
        <v>867</v>
      </c>
      <c r="D167" t="s">
        <v>257</v>
      </c>
      <c r="E167">
        <v>1</v>
      </c>
      <c r="F167">
        <v>5821</v>
      </c>
      <c r="G167">
        <f>TbReceitas[[#This Row],[quantidade]]*TbReceitas[[#This Row],[preco_unitario]]</f>
        <v>5821</v>
      </c>
      <c r="H167" t="str">
        <f>TEXT(TbReceitas[[#This Row],[data_transacao]], "aaaa-mm")</f>
        <v>2024-10</v>
      </c>
    </row>
    <row r="168" spans="1:8">
      <c r="A168">
        <v>167</v>
      </c>
      <c r="B168" s="1">
        <v>46084</v>
      </c>
      <c r="C168" t="s">
        <v>750</v>
      </c>
      <c r="D168" t="s">
        <v>342</v>
      </c>
      <c r="E168">
        <v>2</v>
      </c>
      <c r="F168">
        <v>12967</v>
      </c>
      <c r="G168">
        <f>TbReceitas[[#This Row],[quantidade]]*TbReceitas[[#This Row],[preco_unitario]]</f>
        <v>25934</v>
      </c>
      <c r="H168" t="str">
        <f>TEXT(TbReceitas[[#This Row],[data_transacao]], "aaaa-mm")</f>
        <v>2026-03</v>
      </c>
    </row>
    <row r="169" spans="1:8">
      <c r="A169">
        <v>168</v>
      </c>
      <c r="B169" s="1">
        <v>46110</v>
      </c>
      <c r="C169" t="s">
        <v>868</v>
      </c>
      <c r="D169" t="s">
        <v>155</v>
      </c>
      <c r="E169">
        <v>2</v>
      </c>
      <c r="F169">
        <v>4712</v>
      </c>
      <c r="G169">
        <f>TbReceitas[[#This Row],[quantidade]]*TbReceitas[[#This Row],[preco_unitario]]</f>
        <v>9424</v>
      </c>
      <c r="H169" t="str">
        <f>TEXT(TbReceitas[[#This Row],[data_transacao]], "aaaa-mm")</f>
        <v>2026-03</v>
      </c>
    </row>
    <row r="170" spans="1:8">
      <c r="A170">
        <v>169</v>
      </c>
      <c r="B170" s="1">
        <v>45905</v>
      </c>
      <c r="C170" t="s">
        <v>869</v>
      </c>
      <c r="D170" t="s">
        <v>306</v>
      </c>
      <c r="E170">
        <v>5</v>
      </c>
      <c r="F170">
        <v>5885</v>
      </c>
      <c r="G170">
        <f>TbReceitas[[#This Row],[quantidade]]*TbReceitas[[#This Row],[preco_unitario]]</f>
        <v>29425</v>
      </c>
      <c r="H170" t="str">
        <f>TEXT(TbReceitas[[#This Row],[data_transacao]], "aaaa-mm")</f>
        <v>2025-09</v>
      </c>
    </row>
    <row r="171" spans="1:8">
      <c r="A171">
        <v>170</v>
      </c>
      <c r="B171" s="1">
        <v>46088</v>
      </c>
      <c r="C171" t="s">
        <v>870</v>
      </c>
      <c r="D171" t="s">
        <v>435</v>
      </c>
      <c r="E171">
        <v>5</v>
      </c>
      <c r="F171">
        <v>7686</v>
      </c>
      <c r="G171">
        <f>TbReceitas[[#This Row],[quantidade]]*TbReceitas[[#This Row],[preco_unitario]]</f>
        <v>38430</v>
      </c>
      <c r="H171" t="str">
        <f>TEXT(TbReceitas[[#This Row],[data_transacao]], "aaaa-mm")</f>
        <v>2026-03</v>
      </c>
    </row>
    <row r="172" spans="1:8">
      <c r="A172">
        <v>171</v>
      </c>
      <c r="B172" s="1">
        <v>45902</v>
      </c>
      <c r="C172" t="s">
        <v>871</v>
      </c>
      <c r="D172" t="s">
        <v>531</v>
      </c>
      <c r="E172">
        <v>1</v>
      </c>
      <c r="F172">
        <v>5033</v>
      </c>
      <c r="G172">
        <f>TbReceitas[[#This Row],[quantidade]]*TbReceitas[[#This Row],[preco_unitario]]</f>
        <v>5033</v>
      </c>
      <c r="H172" t="str">
        <f>TEXT(TbReceitas[[#This Row],[data_transacao]], "aaaa-mm")</f>
        <v>2025-09</v>
      </c>
    </row>
    <row r="173" spans="1:8">
      <c r="A173">
        <v>172</v>
      </c>
      <c r="B173" s="1">
        <v>46157</v>
      </c>
      <c r="C173" t="s">
        <v>872</v>
      </c>
      <c r="D173" t="s">
        <v>496</v>
      </c>
      <c r="E173">
        <v>5</v>
      </c>
      <c r="F173">
        <v>2496</v>
      </c>
      <c r="G173">
        <f>TbReceitas[[#This Row],[quantidade]]*TbReceitas[[#This Row],[preco_unitario]]</f>
        <v>12480</v>
      </c>
      <c r="H173" t="str">
        <f>TEXT(TbReceitas[[#This Row],[data_transacao]], "aaaa-mm")</f>
        <v>2026-05</v>
      </c>
    </row>
    <row r="174" spans="1:8">
      <c r="A174">
        <v>173</v>
      </c>
      <c r="B174" s="1">
        <v>45562</v>
      </c>
      <c r="C174" t="s">
        <v>868</v>
      </c>
      <c r="D174" t="s">
        <v>29</v>
      </c>
      <c r="E174">
        <v>2</v>
      </c>
      <c r="F174">
        <v>24528</v>
      </c>
      <c r="G174">
        <f>TbReceitas[[#This Row],[quantidade]]*TbReceitas[[#This Row],[preco_unitario]]</f>
        <v>49056</v>
      </c>
      <c r="H174" t="str">
        <f>TEXT(TbReceitas[[#This Row],[data_transacao]], "aaaa-mm")</f>
        <v>2024-09</v>
      </c>
    </row>
    <row r="175" spans="1:8">
      <c r="A175">
        <v>174</v>
      </c>
      <c r="B175" s="1">
        <v>45919</v>
      </c>
      <c r="C175" t="s">
        <v>873</v>
      </c>
      <c r="D175" t="s">
        <v>628</v>
      </c>
      <c r="E175">
        <v>4</v>
      </c>
      <c r="F175">
        <v>4049</v>
      </c>
      <c r="G175">
        <f>TbReceitas[[#This Row],[quantidade]]*TbReceitas[[#This Row],[preco_unitario]]</f>
        <v>16196</v>
      </c>
      <c r="H175" t="str">
        <f>TEXT(TbReceitas[[#This Row],[data_transacao]], "aaaa-mm")</f>
        <v>2025-09</v>
      </c>
    </row>
    <row r="176" spans="1:8">
      <c r="A176">
        <v>175</v>
      </c>
      <c r="B176" s="1">
        <v>45717</v>
      </c>
      <c r="C176" t="s">
        <v>874</v>
      </c>
      <c r="D176" t="s">
        <v>284</v>
      </c>
      <c r="E176">
        <v>4</v>
      </c>
      <c r="F176">
        <v>16365</v>
      </c>
      <c r="G176">
        <f>TbReceitas[[#This Row],[quantidade]]*TbReceitas[[#This Row],[preco_unitario]]</f>
        <v>65460</v>
      </c>
      <c r="H176" t="str">
        <f>TEXT(TbReceitas[[#This Row],[data_transacao]], "aaaa-mm")</f>
        <v>2025-03</v>
      </c>
    </row>
    <row r="177" spans="1:8">
      <c r="A177">
        <v>176</v>
      </c>
      <c r="B177" s="1">
        <v>45618</v>
      </c>
      <c r="C177" t="s">
        <v>875</v>
      </c>
      <c r="D177" t="s">
        <v>547</v>
      </c>
      <c r="E177">
        <v>4</v>
      </c>
      <c r="F177">
        <v>1201</v>
      </c>
      <c r="G177">
        <f>TbReceitas[[#This Row],[quantidade]]*TbReceitas[[#This Row],[preco_unitario]]</f>
        <v>4804</v>
      </c>
      <c r="H177" t="str">
        <f>TEXT(TbReceitas[[#This Row],[data_transacao]], "aaaa-mm")</f>
        <v>2024-11</v>
      </c>
    </row>
    <row r="178" spans="1:8">
      <c r="A178">
        <v>177</v>
      </c>
      <c r="B178" s="1">
        <v>45857</v>
      </c>
      <c r="C178" t="s">
        <v>876</v>
      </c>
      <c r="D178" t="s">
        <v>465</v>
      </c>
      <c r="E178">
        <v>4</v>
      </c>
      <c r="F178">
        <v>6944</v>
      </c>
      <c r="G178">
        <f>TbReceitas[[#This Row],[quantidade]]*TbReceitas[[#This Row],[preco_unitario]]</f>
        <v>27776</v>
      </c>
      <c r="H178" t="str">
        <f>TEXT(TbReceitas[[#This Row],[data_transacao]], "aaaa-mm")</f>
        <v>2025-07</v>
      </c>
    </row>
    <row r="179" spans="1:8">
      <c r="A179">
        <v>178</v>
      </c>
      <c r="B179" s="1">
        <v>46224</v>
      </c>
      <c r="C179" t="s">
        <v>728</v>
      </c>
      <c r="D179" t="s">
        <v>877</v>
      </c>
      <c r="E179">
        <v>4</v>
      </c>
      <c r="F179">
        <v>23184</v>
      </c>
      <c r="G179">
        <f>TbReceitas[[#This Row],[quantidade]]*TbReceitas[[#This Row],[preco_unitario]]</f>
        <v>92736</v>
      </c>
      <c r="H179" t="str">
        <f>TEXT(TbReceitas[[#This Row],[data_transacao]], "aaaa-mm")</f>
        <v>2026-07</v>
      </c>
    </row>
    <row r="180" spans="1:8">
      <c r="A180">
        <v>179</v>
      </c>
      <c r="B180" s="1">
        <v>45605</v>
      </c>
      <c r="C180" t="s">
        <v>878</v>
      </c>
      <c r="D180" t="s">
        <v>529</v>
      </c>
      <c r="E180">
        <v>5</v>
      </c>
      <c r="F180">
        <v>18056</v>
      </c>
      <c r="G180">
        <f>TbReceitas[[#This Row],[quantidade]]*TbReceitas[[#This Row],[preco_unitario]]</f>
        <v>90280</v>
      </c>
      <c r="H180" t="str">
        <f>TEXT(TbReceitas[[#This Row],[data_transacao]], "aaaa-mm")</f>
        <v>2024-11</v>
      </c>
    </row>
    <row r="181" spans="1:8">
      <c r="A181">
        <v>180</v>
      </c>
      <c r="B181" s="1">
        <v>45639</v>
      </c>
      <c r="C181" t="s">
        <v>879</v>
      </c>
      <c r="D181" t="s">
        <v>568</v>
      </c>
      <c r="E181">
        <v>4</v>
      </c>
      <c r="F181">
        <v>9027</v>
      </c>
      <c r="G181">
        <f>TbReceitas[[#This Row],[quantidade]]*TbReceitas[[#This Row],[preco_unitario]]</f>
        <v>36108</v>
      </c>
      <c r="H181" t="str">
        <f>TEXT(TbReceitas[[#This Row],[data_transacao]], "aaaa-mm")</f>
        <v>2024-12</v>
      </c>
    </row>
    <row r="182" spans="1:8">
      <c r="A182">
        <v>181</v>
      </c>
      <c r="B182" s="1">
        <v>46064</v>
      </c>
      <c r="C182" t="s">
        <v>880</v>
      </c>
      <c r="D182" t="s">
        <v>106</v>
      </c>
      <c r="E182">
        <v>1</v>
      </c>
      <c r="F182">
        <v>4671</v>
      </c>
      <c r="G182">
        <f>TbReceitas[[#This Row],[quantidade]]*TbReceitas[[#This Row],[preco_unitario]]</f>
        <v>4671</v>
      </c>
      <c r="H182" t="str">
        <f>TEXT(TbReceitas[[#This Row],[data_transacao]], "aaaa-mm")</f>
        <v>2026-02</v>
      </c>
    </row>
    <row r="183" spans="1:8">
      <c r="A183">
        <v>182</v>
      </c>
      <c r="B183" s="1">
        <v>45626</v>
      </c>
      <c r="C183" t="s">
        <v>881</v>
      </c>
      <c r="D183" t="s">
        <v>582</v>
      </c>
      <c r="E183">
        <v>1</v>
      </c>
      <c r="F183">
        <v>24131</v>
      </c>
      <c r="G183">
        <f>TbReceitas[[#This Row],[quantidade]]*TbReceitas[[#This Row],[preco_unitario]]</f>
        <v>24131</v>
      </c>
      <c r="H183" t="str">
        <f>TEXT(TbReceitas[[#This Row],[data_transacao]], "aaaa-mm")</f>
        <v>2024-11</v>
      </c>
    </row>
    <row r="184" spans="1:8">
      <c r="A184">
        <v>183</v>
      </c>
      <c r="B184" s="1">
        <v>45558</v>
      </c>
      <c r="C184" t="s">
        <v>873</v>
      </c>
      <c r="D184" t="s">
        <v>22</v>
      </c>
      <c r="E184">
        <v>1</v>
      </c>
      <c r="F184">
        <v>15801</v>
      </c>
      <c r="G184">
        <f>TbReceitas[[#This Row],[quantidade]]*TbReceitas[[#This Row],[preco_unitario]]</f>
        <v>15801</v>
      </c>
      <c r="H184" t="str">
        <f>TEXT(TbReceitas[[#This Row],[data_transacao]], "aaaa-mm")</f>
        <v>2024-09</v>
      </c>
    </row>
    <row r="185" spans="1:8">
      <c r="A185">
        <v>184</v>
      </c>
      <c r="B185" s="1">
        <v>46141</v>
      </c>
      <c r="C185" t="s">
        <v>882</v>
      </c>
      <c r="D185" t="s">
        <v>379</v>
      </c>
      <c r="E185">
        <v>1</v>
      </c>
      <c r="F185">
        <v>1792</v>
      </c>
      <c r="G185">
        <f>TbReceitas[[#This Row],[quantidade]]*TbReceitas[[#This Row],[preco_unitario]]</f>
        <v>1792</v>
      </c>
      <c r="H185" t="str">
        <f>TEXT(TbReceitas[[#This Row],[data_transacao]], "aaaa-mm")</f>
        <v>2026-04</v>
      </c>
    </row>
    <row r="186" spans="1:8">
      <c r="A186">
        <v>185</v>
      </c>
      <c r="B186" s="1">
        <v>45923</v>
      </c>
      <c r="C186" t="s">
        <v>883</v>
      </c>
      <c r="D186" t="s">
        <v>239</v>
      </c>
      <c r="E186">
        <v>3</v>
      </c>
      <c r="F186">
        <v>3369</v>
      </c>
      <c r="G186">
        <f>TbReceitas[[#This Row],[quantidade]]*TbReceitas[[#This Row],[preco_unitario]]</f>
        <v>10107</v>
      </c>
      <c r="H186" t="str">
        <f>TEXT(TbReceitas[[#This Row],[data_transacao]], "aaaa-mm")</f>
        <v>2025-09</v>
      </c>
    </row>
    <row r="187" spans="1:8">
      <c r="A187">
        <v>186</v>
      </c>
      <c r="B187" s="1">
        <v>45679</v>
      </c>
      <c r="C187" t="s">
        <v>884</v>
      </c>
      <c r="D187" t="s">
        <v>188</v>
      </c>
      <c r="E187">
        <v>3</v>
      </c>
      <c r="F187">
        <v>13547</v>
      </c>
      <c r="G187">
        <f>TbReceitas[[#This Row],[quantidade]]*TbReceitas[[#This Row],[preco_unitario]]</f>
        <v>40641</v>
      </c>
      <c r="H187" t="str">
        <f>TEXT(TbReceitas[[#This Row],[data_transacao]], "aaaa-mm")</f>
        <v>2025-01</v>
      </c>
    </row>
    <row r="188" spans="1:8">
      <c r="A188">
        <v>187</v>
      </c>
      <c r="B188" s="1">
        <v>45743</v>
      </c>
      <c r="C188" t="s">
        <v>771</v>
      </c>
      <c r="D188" t="s">
        <v>463</v>
      </c>
      <c r="E188">
        <v>4</v>
      </c>
      <c r="F188">
        <v>4334</v>
      </c>
      <c r="G188">
        <f>TbReceitas[[#This Row],[quantidade]]*TbReceitas[[#This Row],[preco_unitario]]</f>
        <v>17336</v>
      </c>
      <c r="H188" t="str">
        <f>TEXT(TbReceitas[[#This Row],[data_transacao]], "aaaa-mm")</f>
        <v>2025-03</v>
      </c>
    </row>
    <row r="189" spans="1:8">
      <c r="A189">
        <v>188</v>
      </c>
      <c r="B189" s="1">
        <v>45645</v>
      </c>
      <c r="C189" t="s">
        <v>885</v>
      </c>
      <c r="D189" t="s">
        <v>360</v>
      </c>
      <c r="E189">
        <v>5</v>
      </c>
      <c r="F189">
        <v>8663</v>
      </c>
      <c r="G189">
        <f>TbReceitas[[#This Row],[quantidade]]*TbReceitas[[#This Row],[preco_unitario]]</f>
        <v>43315</v>
      </c>
      <c r="H189" t="str">
        <f>TEXT(TbReceitas[[#This Row],[data_transacao]], "aaaa-mm")</f>
        <v>2024-12</v>
      </c>
    </row>
    <row r="190" spans="1:8">
      <c r="A190">
        <v>189</v>
      </c>
      <c r="B190" s="1">
        <v>45960</v>
      </c>
      <c r="C190" t="s">
        <v>851</v>
      </c>
      <c r="D190" t="s">
        <v>482</v>
      </c>
      <c r="E190">
        <v>4</v>
      </c>
      <c r="F190">
        <v>8304</v>
      </c>
      <c r="G190">
        <f>TbReceitas[[#This Row],[quantidade]]*TbReceitas[[#This Row],[preco_unitario]]</f>
        <v>33216</v>
      </c>
      <c r="H190" t="str">
        <f>TEXT(TbReceitas[[#This Row],[data_transacao]], "aaaa-mm")</f>
        <v>2025-10</v>
      </c>
    </row>
    <row r="191" spans="1:8">
      <c r="A191">
        <v>190</v>
      </c>
      <c r="B191" s="1">
        <v>45754</v>
      </c>
      <c r="C191" t="s">
        <v>886</v>
      </c>
      <c r="D191" t="s">
        <v>299</v>
      </c>
      <c r="E191">
        <v>4</v>
      </c>
      <c r="F191">
        <v>2266</v>
      </c>
      <c r="G191">
        <f>TbReceitas[[#This Row],[quantidade]]*TbReceitas[[#This Row],[preco_unitario]]</f>
        <v>9064</v>
      </c>
      <c r="H191" t="str">
        <f>TEXT(TbReceitas[[#This Row],[data_transacao]], "aaaa-mm")</f>
        <v>2025-04</v>
      </c>
    </row>
    <row r="192" spans="1:8">
      <c r="A192">
        <v>191</v>
      </c>
      <c r="B192" s="1">
        <v>46013</v>
      </c>
      <c r="C192" t="s">
        <v>887</v>
      </c>
      <c r="D192" t="s">
        <v>613</v>
      </c>
      <c r="E192">
        <v>1</v>
      </c>
      <c r="F192">
        <v>9029</v>
      </c>
      <c r="G192">
        <f>TbReceitas[[#This Row],[quantidade]]*TbReceitas[[#This Row],[preco_unitario]]</f>
        <v>9029</v>
      </c>
      <c r="H192" t="str">
        <f>TEXT(TbReceitas[[#This Row],[data_transacao]], "aaaa-mm")</f>
        <v>2025-12</v>
      </c>
    </row>
    <row r="193" spans="1:8">
      <c r="A193">
        <v>192</v>
      </c>
      <c r="B193" s="1">
        <v>45659</v>
      </c>
      <c r="C193" t="s">
        <v>888</v>
      </c>
      <c r="D193" t="s">
        <v>336</v>
      </c>
      <c r="E193">
        <v>4</v>
      </c>
      <c r="F193">
        <v>15514</v>
      </c>
      <c r="G193">
        <f>TbReceitas[[#This Row],[quantidade]]*TbReceitas[[#This Row],[preco_unitario]]</f>
        <v>62056</v>
      </c>
      <c r="H193" t="str">
        <f>TEXT(TbReceitas[[#This Row],[data_transacao]], "aaaa-mm")</f>
        <v>2025-01</v>
      </c>
    </row>
    <row r="194" spans="1:8">
      <c r="A194">
        <v>193</v>
      </c>
      <c r="B194" s="1">
        <v>45917</v>
      </c>
      <c r="C194" t="s">
        <v>889</v>
      </c>
      <c r="D194" t="s">
        <v>255</v>
      </c>
      <c r="E194">
        <v>4</v>
      </c>
      <c r="F194">
        <v>16027</v>
      </c>
      <c r="G194">
        <f>TbReceitas[[#This Row],[quantidade]]*TbReceitas[[#This Row],[preco_unitario]]</f>
        <v>64108</v>
      </c>
      <c r="H194" t="str">
        <f>TEXT(TbReceitas[[#This Row],[data_transacao]], "aaaa-mm")</f>
        <v>2025-09</v>
      </c>
    </row>
    <row r="195" spans="1:8">
      <c r="A195">
        <v>194</v>
      </c>
      <c r="B195" s="1">
        <v>45608</v>
      </c>
      <c r="C195" t="s">
        <v>890</v>
      </c>
      <c r="D195" t="s">
        <v>409</v>
      </c>
      <c r="E195">
        <v>2</v>
      </c>
      <c r="F195">
        <v>6002</v>
      </c>
      <c r="G195">
        <f>TbReceitas[[#This Row],[quantidade]]*TbReceitas[[#This Row],[preco_unitario]]</f>
        <v>12004</v>
      </c>
      <c r="H195" t="str">
        <f>TEXT(TbReceitas[[#This Row],[data_transacao]], "aaaa-mm")</f>
        <v>2024-11</v>
      </c>
    </row>
    <row r="196" spans="1:8">
      <c r="A196">
        <v>195</v>
      </c>
      <c r="B196" s="1">
        <v>45687</v>
      </c>
      <c r="C196" t="s">
        <v>891</v>
      </c>
      <c r="D196" t="s">
        <v>89</v>
      </c>
      <c r="E196">
        <v>2</v>
      </c>
      <c r="F196">
        <v>2978</v>
      </c>
      <c r="G196">
        <f>TbReceitas[[#This Row],[quantidade]]*TbReceitas[[#This Row],[preco_unitario]]</f>
        <v>5956</v>
      </c>
      <c r="H196" t="str">
        <f>TEXT(TbReceitas[[#This Row],[data_transacao]], "aaaa-mm")</f>
        <v>2025-01</v>
      </c>
    </row>
    <row r="197" spans="1:8">
      <c r="A197">
        <v>196</v>
      </c>
      <c r="B197" s="1">
        <v>45585</v>
      </c>
      <c r="C197" t="s">
        <v>817</v>
      </c>
      <c r="D197" t="s">
        <v>607</v>
      </c>
      <c r="E197">
        <v>5</v>
      </c>
      <c r="F197">
        <v>22971</v>
      </c>
      <c r="G197">
        <f>TbReceitas[[#This Row],[quantidade]]*TbReceitas[[#This Row],[preco_unitario]]</f>
        <v>114855</v>
      </c>
      <c r="H197" t="str">
        <f>TEXT(TbReceitas[[#This Row],[data_transacao]], "aaaa-mm")</f>
        <v>2024-10</v>
      </c>
    </row>
    <row r="198" spans="1:8">
      <c r="A198">
        <v>197</v>
      </c>
      <c r="B198" s="1">
        <v>46092</v>
      </c>
      <c r="C198" t="s">
        <v>872</v>
      </c>
      <c r="D198" t="s">
        <v>292</v>
      </c>
      <c r="E198">
        <v>3</v>
      </c>
      <c r="F198">
        <v>85</v>
      </c>
      <c r="G198">
        <f>TbReceitas[[#This Row],[quantidade]]*TbReceitas[[#This Row],[preco_unitario]]</f>
        <v>255</v>
      </c>
      <c r="H198" t="str">
        <f>TEXT(TbReceitas[[#This Row],[data_transacao]], "aaaa-mm")</f>
        <v>2026-03</v>
      </c>
    </row>
    <row r="199" spans="1:8">
      <c r="A199">
        <v>198</v>
      </c>
      <c r="B199" s="1">
        <v>45711</v>
      </c>
      <c r="C199" t="s">
        <v>892</v>
      </c>
      <c r="D199" t="s">
        <v>422</v>
      </c>
      <c r="E199">
        <v>3</v>
      </c>
      <c r="F199">
        <v>4061</v>
      </c>
      <c r="G199">
        <f>TbReceitas[[#This Row],[quantidade]]*TbReceitas[[#This Row],[preco_unitario]]</f>
        <v>12183</v>
      </c>
      <c r="H199" t="str">
        <f>TEXT(TbReceitas[[#This Row],[data_transacao]], "aaaa-mm")</f>
        <v>2025-02</v>
      </c>
    </row>
    <row r="200" spans="1:8">
      <c r="A200">
        <v>199</v>
      </c>
      <c r="B200" s="1">
        <v>46210</v>
      </c>
      <c r="C200" t="s">
        <v>893</v>
      </c>
      <c r="D200" t="s">
        <v>250</v>
      </c>
      <c r="E200">
        <v>5</v>
      </c>
      <c r="F200">
        <v>4154</v>
      </c>
      <c r="G200">
        <f>TbReceitas[[#This Row],[quantidade]]*TbReceitas[[#This Row],[preco_unitario]]</f>
        <v>20770</v>
      </c>
      <c r="H200" t="str">
        <f>TEXT(TbReceitas[[#This Row],[data_transacao]], "aaaa-mm")</f>
        <v>2026-07</v>
      </c>
    </row>
    <row r="201" spans="1:8">
      <c r="A201">
        <v>200</v>
      </c>
      <c r="B201" s="1">
        <v>45653</v>
      </c>
      <c r="C201" t="s">
        <v>787</v>
      </c>
      <c r="D201" t="s">
        <v>616</v>
      </c>
      <c r="E201">
        <v>2</v>
      </c>
      <c r="F201">
        <v>23118</v>
      </c>
      <c r="G201">
        <f>TbReceitas[[#This Row],[quantidade]]*TbReceitas[[#This Row],[preco_unitario]]</f>
        <v>46236</v>
      </c>
      <c r="H201" t="str">
        <f>TEXT(TbReceitas[[#This Row],[data_transacao]], "aaaa-mm")</f>
        <v>2024-12</v>
      </c>
    </row>
    <row r="202" spans="1:8">
      <c r="A202">
        <v>201</v>
      </c>
      <c r="B202" s="1">
        <v>45755</v>
      </c>
      <c r="C202" t="s">
        <v>866</v>
      </c>
      <c r="D202" t="s">
        <v>222</v>
      </c>
      <c r="E202">
        <v>4</v>
      </c>
      <c r="F202">
        <v>21814</v>
      </c>
      <c r="G202">
        <f>TbReceitas[[#This Row],[quantidade]]*TbReceitas[[#This Row],[preco_unitario]]</f>
        <v>87256</v>
      </c>
      <c r="H202" t="str">
        <f>TEXT(TbReceitas[[#This Row],[data_transacao]], "aaaa-mm")</f>
        <v>2025-04</v>
      </c>
    </row>
    <row r="203" spans="1:8">
      <c r="A203">
        <v>202</v>
      </c>
      <c r="B203" s="1">
        <v>45673</v>
      </c>
      <c r="C203" t="s">
        <v>819</v>
      </c>
      <c r="D203" t="s">
        <v>278</v>
      </c>
      <c r="E203">
        <v>4</v>
      </c>
      <c r="F203">
        <v>17591</v>
      </c>
      <c r="G203">
        <f>TbReceitas[[#This Row],[quantidade]]*TbReceitas[[#This Row],[preco_unitario]]</f>
        <v>70364</v>
      </c>
      <c r="H203" t="str">
        <f>TEXT(TbReceitas[[#This Row],[data_transacao]], "aaaa-mm")</f>
        <v>2025-01</v>
      </c>
    </row>
    <row r="204" spans="1:8">
      <c r="A204">
        <v>203</v>
      </c>
      <c r="B204" s="1">
        <v>46130</v>
      </c>
      <c r="C204" t="s">
        <v>894</v>
      </c>
      <c r="D204" t="s">
        <v>528</v>
      </c>
      <c r="E204">
        <v>1</v>
      </c>
      <c r="F204">
        <v>17709</v>
      </c>
      <c r="G204">
        <f>TbReceitas[[#This Row],[quantidade]]*TbReceitas[[#This Row],[preco_unitario]]</f>
        <v>17709</v>
      </c>
      <c r="H204" t="str">
        <f>TEXT(TbReceitas[[#This Row],[data_transacao]], "aaaa-mm")</f>
        <v>2026-04</v>
      </c>
    </row>
    <row r="205" spans="1:8">
      <c r="A205">
        <v>204</v>
      </c>
      <c r="B205" s="1">
        <v>45574</v>
      </c>
      <c r="C205" t="s">
        <v>895</v>
      </c>
      <c r="D205" t="s">
        <v>62</v>
      </c>
      <c r="E205">
        <v>4</v>
      </c>
      <c r="F205">
        <v>1833</v>
      </c>
      <c r="G205">
        <f>TbReceitas[[#This Row],[quantidade]]*TbReceitas[[#This Row],[preco_unitario]]</f>
        <v>7332</v>
      </c>
      <c r="H205" t="str">
        <f>TEXT(TbReceitas[[#This Row],[data_transacao]], "aaaa-mm")</f>
        <v>2024-10</v>
      </c>
    </row>
    <row r="206" spans="1:8">
      <c r="A206">
        <v>205</v>
      </c>
      <c r="B206" s="1">
        <v>46265</v>
      </c>
      <c r="C206" t="s">
        <v>755</v>
      </c>
      <c r="D206" t="s">
        <v>19</v>
      </c>
      <c r="E206">
        <v>1</v>
      </c>
      <c r="F206">
        <v>13342</v>
      </c>
      <c r="G206">
        <f>TbReceitas[[#This Row],[quantidade]]*TbReceitas[[#This Row],[preco_unitario]]</f>
        <v>13342</v>
      </c>
      <c r="H206" t="str">
        <f>TEXT(TbReceitas[[#This Row],[data_transacao]], "aaaa-mm")</f>
        <v>2026-08</v>
      </c>
    </row>
    <row r="207" spans="1:8">
      <c r="A207">
        <v>206</v>
      </c>
      <c r="B207" s="1">
        <v>45811</v>
      </c>
      <c r="C207" t="s">
        <v>896</v>
      </c>
      <c r="D207" t="s">
        <v>572</v>
      </c>
      <c r="E207">
        <v>3</v>
      </c>
      <c r="F207">
        <v>18187</v>
      </c>
      <c r="G207">
        <f>TbReceitas[[#This Row],[quantidade]]*TbReceitas[[#This Row],[preco_unitario]]</f>
        <v>54561</v>
      </c>
      <c r="H207" t="str">
        <f>TEXT(TbReceitas[[#This Row],[data_transacao]], "aaaa-mm")</f>
        <v>2025-06</v>
      </c>
    </row>
    <row r="208" spans="1:8">
      <c r="A208">
        <v>207</v>
      </c>
      <c r="B208" s="1">
        <v>46115</v>
      </c>
      <c r="C208" t="s">
        <v>897</v>
      </c>
      <c r="D208" t="s">
        <v>579</v>
      </c>
      <c r="E208">
        <v>5</v>
      </c>
      <c r="F208">
        <v>4385</v>
      </c>
      <c r="G208">
        <f>TbReceitas[[#This Row],[quantidade]]*TbReceitas[[#This Row],[preco_unitario]]</f>
        <v>21925</v>
      </c>
      <c r="H208" t="str">
        <f>TEXT(TbReceitas[[#This Row],[data_transacao]], "aaaa-mm")</f>
        <v>2026-04</v>
      </c>
    </row>
    <row r="209" spans="1:8">
      <c r="A209">
        <v>208</v>
      </c>
      <c r="B209" s="1">
        <v>45804</v>
      </c>
      <c r="C209" t="s">
        <v>898</v>
      </c>
      <c r="D209" t="s">
        <v>332</v>
      </c>
      <c r="E209">
        <v>3</v>
      </c>
      <c r="F209">
        <v>2135</v>
      </c>
      <c r="G209">
        <f>TbReceitas[[#This Row],[quantidade]]*TbReceitas[[#This Row],[preco_unitario]]</f>
        <v>6405</v>
      </c>
      <c r="H209" t="str">
        <f>TEXT(TbReceitas[[#This Row],[data_transacao]], "aaaa-mm")</f>
        <v>2025-05</v>
      </c>
    </row>
    <row r="210" spans="1:8">
      <c r="A210">
        <v>209</v>
      </c>
      <c r="B210" s="1">
        <v>46004</v>
      </c>
      <c r="C210" t="s">
        <v>822</v>
      </c>
      <c r="D210" t="s">
        <v>660</v>
      </c>
      <c r="E210">
        <v>4</v>
      </c>
      <c r="F210">
        <v>2289</v>
      </c>
      <c r="G210">
        <f>TbReceitas[[#This Row],[quantidade]]*TbReceitas[[#This Row],[preco_unitario]]</f>
        <v>9156</v>
      </c>
      <c r="H210" t="str">
        <f>TEXT(TbReceitas[[#This Row],[data_transacao]], "aaaa-mm")</f>
        <v>2025-12</v>
      </c>
    </row>
    <row r="211" spans="1:8">
      <c r="A211">
        <v>210</v>
      </c>
      <c r="B211" s="1">
        <v>45677</v>
      </c>
      <c r="C211" t="s">
        <v>899</v>
      </c>
      <c r="D211" t="s">
        <v>21</v>
      </c>
      <c r="E211">
        <v>4</v>
      </c>
      <c r="F211">
        <v>12746</v>
      </c>
      <c r="G211">
        <f>TbReceitas[[#This Row],[quantidade]]*TbReceitas[[#This Row],[preco_unitario]]</f>
        <v>50984</v>
      </c>
      <c r="H211" t="str">
        <f>TEXT(TbReceitas[[#This Row],[data_transacao]], "aaaa-mm")</f>
        <v>2025-01</v>
      </c>
    </row>
    <row r="212" spans="1:8">
      <c r="A212">
        <v>211</v>
      </c>
      <c r="B212" s="1">
        <v>46252</v>
      </c>
      <c r="C212" t="s">
        <v>900</v>
      </c>
      <c r="D212" t="s">
        <v>183</v>
      </c>
      <c r="E212">
        <v>1</v>
      </c>
      <c r="F212">
        <v>21471</v>
      </c>
      <c r="G212">
        <f>TbReceitas[[#This Row],[quantidade]]*TbReceitas[[#This Row],[preco_unitario]]</f>
        <v>21471</v>
      </c>
      <c r="H212" t="str">
        <f>TEXT(TbReceitas[[#This Row],[data_transacao]], "aaaa-mm")</f>
        <v>2026-08</v>
      </c>
    </row>
    <row r="213" spans="1:8">
      <c r="A213">
        <v>212</v>
      </c>
      <c r="B213" s="1">
        <v>46024</v>
      </c>
      <c r="C213" t="s">
        <v>802</v>
      </c>
      <c r="D213" t="s">
        <v>406</v>
      </c>
      <c r="E213">
        <v>5</v>
      </c>
      <c r="F213">
        <v>22347</v>
      </c>
      <c r="G213">
        <f>TbReceitas[[#This Row],[quantidade]]*TbReceitas[[#This Row],[preco_unitario]]</f>
        <v>111735</v>
      </c>
      <c r="H213" t="str">
        <f>TEXT(TbReceitas[[#This Row],[data_transacao]], "aaaa-mm")</f>
        <v>2026-01</v>
      </c>
    </row>
    <row r="214" spans="1:8">
      <c r="A214">
        <v>213</v>
      </c>
      <c r="B214" s="1">
        <v>45642</v>
      </c>
      <c r="C214" t="s">
        <v>818</v>
      </c>
      <c r="D214" t="s">
        <v>554</v>
      </c>
      <c r="E214">
        <v>5</v>
      </c>
      <c r="F214">
        <v>23347</v>
      </c>
      <c r="G214">
        <f>TbReceitas[[#This Row],[quantidade]]*TbReceitas[[#This Row],[preco_unitario]]</f>
        <v>116735</v>
      </c>
      <c r="H214" t="str">
        <f>TEXT(TbReceitas[[#This Row],[data_transacao]], "aaaa-mm")</f>
        <v>2024-12</v>
      </c>
    </row>
    <row r="215" spans="1:8">
      <c r="A215">
        <v>214</v>
      </c>
      <c r="B215" s="1">
        <v>46263</v>
      </c>
      <c r="C215" t="s">
        <v>901</v>
      </c>
      <c r="D215" t="s">
        <v>902</v>
      </c>
      <c r="E215">
        <v>2</v>
      </c>
      <c r="F215">
        <v>14695</v>
      </c>
      <c r="G215">
        <f>TbReceitas[[#This Row],[quantidade]]*TbReceitas[[#This Row],[preco_unitario]]</f>
        <v>29390</v>
      </c>
      <c r="H215" t="str">
        <f>TEXT(TbReceitas[[#This Row],[data_transacao]], "aaaa-mm")</f>
        <v>2026-08</v>
      </c>
    </row>
    <row r="216" spans="1:8">
      <c r="A216">
        <v>215</v>
      </c>
      <c r="B216" s="1">
        <v>45651</v>
      </c>
      <c r="C216" t="s">
        <v>903</v>
      </c>
      <c r="D216" t="s">
        <v>613</v>
      </c>
      <c r="E216">
        <v>2</v>
      </c>
      <c r="F216">
        <v>9029</v>
      </c>
      <c r="G216">
        <f>TbReceitas[[#This Row],[quantidade]]*TbReceitas[[#This Row],[preco_unitario]]</f>
        <v>18058</v>
      </c>
      <c r="H216" t="str">
        <f>TEXT(TbReceitas[[#This Row],[data_transacao]], "aaaa-mm")</f>
        <v>2024-12</v>
      </c>
    </row>
    <row r="217" spans="1:8">
      <c r="A217">
        <v>216</v>
      </c>
      <c r="B217" s="1">
        <v>46188</v>
      </c>
      <c r="C217" t="s">
        <v>904</v>
      </c>
      <c r="D217" t="s">
        <v>40</v>
      </c>
      <c r="E217">
        <v>1</v>
      </c>
      <c r="F217">
        <v>736</v>
      </c>
      <c r="G217">
        <f>TbReceitas[[#This Row],[quantidade]]*TbReceitas[[#This Row],[preco_unitario]]</f>
        <v>736</v>
      </c>
      <c r="H217" t="str">
        <f>TEXT(TbReceitas[[#This Row],[data_transacao]], "aaaa-mm")</f>
        <v>2026-06</v>
      </c>
    </row>
    <row r="218" spans="1:8">
      <c r="A218">
        <v>217</v>
      </c>
      <c r="B218" s="1">
        <v>46102</v>
      </c>
      <c r="C218" t="s">
        <v>905</v>
      </c>
      <c r="D218" t="s">
        <v>149</v>
      </c>
      <c r="E218">
        <v>2</v>
      </c>
      <c r="F218">
        <v>9725</v>
      </c>
      <c r="G218">
        <f>TbReceitas[[#This Row],[quantidade]]*TbReceitas[[#This Row],[preco_unitario]]</f>
        <v>19450</v>
      </c>
      <c r="H218" t="str">
        <f>TEXT(TbReceitas[[#This Row],[data_transacao]], "aaaa-mm")</f>
        <v>2026-03</v>
      </c>
    </row>
    <row r="219" spans="1:8">
      <c r="A219">
        <v>218</v>
      </c>
      <c r="B219" s="1">
        <v>46029</v>
      </c>
      <c r="C219" t="s">
        <v>906</v>
      </c>
      <c r="D219" t="s">
        <v>80</v>
      </c>
      <c r="E219">
        <v>2</v>
      </c>
      <c r="F219">
        <v>846</v>
      </c>
      <c r="G219">
        <f>TbReceitas[[#This Row],[quantidade]]*TbReceitas[[#This Row],[preco_unitario]]</f>
        <v>1692</v>
      </c>
      <c r="H219" t="str">
        <f>TEXT(TbReceitas[[#This Row],[data_transacao]], "aaaa-mm")</f>
        <v>2026-01</v>
      </c>
    </row>
    <row r="220" spans="1:8">
      <c r="A220">
        <v>219</v>
      </c>
      <c r="B220" s="1">
        <v>45901</v>
      </c>
      <c r="C220" t="s">
        <v>907</v>
      </c>
      <c r="D220" t="s">
        <v>612</v>
      </c>
      <c r="E220">
        <v>1</v>
      </c>
      <c r="F220">
        <v>20797</v>
      </c>
      <c r="G220">
        <f>TbReceitas[[#This Row],[quantidade]]*TbReceitas[[#This Row],[preco_unitario]]</f>
        <v>20797</v>
      </c>
      <c r="H220" t="str">
        <f>TEXT(TbReceitas[[#This Row],[data_transacao]], "aaaa-mm")</f>
        <v>2025-09</v>
      </c>
    </row>
    <row r="221" spans="1:8">
      <c r="A221">
        <v>220</v>
      </c>
      <c r="B221" s="1">
        <v>46020</v>
      </c>
      <c r="C221" t="s">
        <v>908</v>
      </c>
      <c r="D221" t="s">
        <v>686</v>
      </c>
      <c r="E221">
        <v>2</v>
      </c>
      <c r="F221">
        <v>7346</v>
      </c>
      <c r="G221">
        <f>TbReceitas[[#This Row],[quantidade]]*TbReceitas[[#This Row],[preco_unitario]]</f>
        <v>14692</v>
      </c>
      <c r="H221" t="str">
        <f>TEXT(TbReceitas[[#This Row],[data_transacao]], "aaaa-mm")</f>
        <v>2025-12</v>
      </c>
    </row>
    <row r="222" spans="1:8">
      <c r="A222">
        <v>221</v>
      </c>
      <c r="B222" s="1">
        <v>46174</v>
      </c>
      <c r="C222" t="s">
        <v>909</v>
      </c>
      <c r="D222" t="s">
        <v>31</v>
      </c>
      <c r="E222">
        <v>1</v>
      </c>
      <c r="F222">
        <v>3134</v>
      </c>
      <c r="G222">
        <f>TbReceitas[[#This Row],[quantidade]]*TbReceitas[[#This Row],[preco_unitario]]</f>
        <v>3134</v>
      </c>
      <c r="H222" t="str">
        <f>TEXT(TbReceitas[[#This Row],[data_transacao]], "aaaa-mm")</f>
        <v>2026-06</v>
      </c>
    </row>
    <row r="223" spans="1:8">
      <c r="A223">
        <v>222</v>
      </c>
      <c r="B223" s="1">
        <v>45891</v>
      </c>
      <c r="C223" t="s">
        <v>910</v>
      </c>
      <c r="D223" t="s">
        <v>478</v>
      </c>
      <c r="E223">
        <v>1</v>
      </c>
      <c r="F223">
        <v>18253</v>
      </c>
      <c r="G223">
        <f>TbReceitas[[#This Row],[quantidade]]*TbReceitas[[#This Row],[preco_unitario]]</f>
        <v>18253</v>
      </c>
      <c r="H223" t="str">
        <f>TEXT(TbReceitas[[#This Row],[data_transacao]], "aaaa-mm")</f>
        <v>2025-08</v>
      </c>
    </row>
    <row r="224" spans="1:8">
      <c r="A224">
        <v>223</v>
      </c>
      <c r="B224" s="1">
        <v>46136</v>
      </c>
      <c r="C224" t="s">
        <v>893</v>
      </c>
      <c r="D224" t="s">
        <v>261</v>
      </c>
      <c r="E224">
        <v>2</v>
      </c>
      <c r="F224">
        <v>17079</v>
      </c>
      <c r="G224">
        <f>TbReceitas[[#This Row],[quantidade]]*TbReceitas[[#This Row],[preco_unitario]]</f>
        <v>34158</v>
      </c>
      <c r="H224" t="str">
        <f>TEXT(TbReceitas[[#This Row],[data_transacao]], "aaaa-mm")</f>
        <v>2026-04</v>
      </c>
    </row>
    <row r="225" spans="1:8">
      <c r="A225">
        <v>224</v>
      </c>
      <c r="B225" s="1">
        <v>45792</v>
      </c>
      <c r="C225" t="s">
        <v>911</v>
      </c>
      <c r="D225" t="s">
        <v>469</v>
      </c>
      <c r="E225">
        <v>2</v>
      </c>
      <c r="F225">
        <v>151</v>
      </c>
      <c r="G225">
        <f>TbReceitas[[#This Row],[quantidade]]*TbReceitas[[#This Row],[preco_unitario]]</f>
        <v>302</v>
      </c>
      <c r="H225" t="str">
        <f>TEXT(TbReceitas[[#This Row],[data_transacao]], "aaaa-mm")</f>
        <v>2025-05</v>
      </c>
    </row>
    <row r="226" spans="1:8">
      <c r="A226">
        <v>225</v>
      </c>
      <c r="B226" s="1">
        <v>45566</v>
      </c>
      <c r="C226" t="s">
        <v>912</v>
      </c>
      <c r="D226" t="s">
        <v>562</v>
      </c>
      <c r="E226">
        <v>2</v>
      </c>
      <c r="F226">
        <v>1203</v>
      </c>
      <c r="G226">
        <f>TbReceitas[[#This Row],[quantidade]]*TbReceitas[[#This Row],[preco_unitario]]</f>
        <v>2406</v>
      </c>
      <c r="H226" t="str">
        <f>TEXT(TbReceitas[[#This Row],[data_transacao]], "aaaa-mm")</f>
        <v>2024-10</v>
      </c>
    </row>
    <row r="227" spans="1:8">
      <c r="A227">
        <v>226</v>
      </c>
      <c r="B227" s="1">
        <v>46076</v>
      </c>
      <c r="C227" t="s">
        <v>913</v>
      </c>
      <c r="D227" t="s">
        <v>284</v>
      </c>
      <c r="E227">
        <v>1</v>
      </c>
      <c r="F227">
        <v>16365</v>
      </c>
      <c r="G227">
        <f>TbReceitas[[#This Row],[quantidade]]*TbReceitas[[#This Row],[preco_unitario]]</f>
        <v>16365</v>
      </c>
      <c r="H227" t="str">
        <f>TEXT(TbReceitas[[#This Row],[data_transacao]], "aaaa-mm")</f>
        <v>2026-02</v>
      </c>
    </row>
    <row r="228" spans="1:8">
      <c r="A228">
        <v>227</v>
      </c>
      <c r="B228" s="1">
        <v>45892</v>
      </c>
      <c r="C228" t="s">
        <v>798</v>
      </c>
      <c r="D228" t="s">
        <v>267</v>
      </c>
      <c r="E228">
        <v>4</v>
      </c>
      <c r="F228">
        <v>8433</v>
      </c>
      <c r="G228">
        <f>TbReceitas[[#This Row],[quantidade]]*TbReceitas[[#This Row],[preco_unitario]]</f>
        <v>33732</v>
      </c>
      <c r="H228" t="str">
        <f>TEXT(TbReceitas[[#This Row],[data_transacao]], "aaaa-mm")</f>
        <v>2025-08</v>
      </c>
    </row>
    <row r="229" spans="1:8">
      <c r="A229">
        <v>228</v>
      </c>
      <c r="B229" s="1">
        <v>45652</v>
      </c>
      <c r="C229" t="s">
        <v>914</v>
      </c>
      <c r="D229" t="s">
        <v>599</v>
      </c>
      <c r="E229">
        <v>3</v>
      </c>
      <c r="F229">
        <v>45</v>
      </c>
      <c r="G229">
        <f>TbReceitas[[#This Row],[quantidade]]*TbReceitas[[#This Row],[preco_unitario]]</f>
        <v>135</v>
      </c>
      <c r="H229" t="str">
        <f>TEXT(TbReceitas[[#This Row],[data_transacao]], "aaaa-mm")</f>
        <v>2024-12</v>
      </c>
    </row>
    <row r="230" spans="1:8">
      <c r="A230">
        <v>229</v>
      </c>
      <c r="B230" s="1">
        <v>45825</v>
      </c>
      <c r="C230" t="s">
        <v>769</v>
      </c>
      <c r="D230" t="s">
        <v>497</v>
      </c>
      <c r="E230">
        <v>3</v>
      </c>
      <c r="F230">
        <v>16615</v>
      </c>
      <c r="G230">
        <f>TbReceitas[[#This Row],[quantidade]]*TbReceitas[[#This Row],[preco_unitario]]</f>
        <v>49845</v>
      </c>
      <c r="H230" t="str">
        <f>TEXT(TbReceitas[[#This Row],[data_transacao]], "aaaa-mm")</f>
        <v>2025-06</v>
      </c>
    </row>
    <row r="231" spans="1:8">
      <c r="A231">
        <v>230</v>
      </c>
      <c r="B231" s="1">
        <v>45854</v>
      </c>
      <c r="C231" t="s">
        <v>915</v>
      </c>
      <c r="D231" t="s">
        <v>201</v>
      </c>
      <c r="E231">
        <v>1</v>
      </c>
      <c r="F231">
        <v>22649</v>
      </c>
      <c r="G231">
        <f>TbReceitas[[#This Row],[quantidade]]*TbReceitas[[#This Row],[preco_unitario]]</f>
        <v>22649</v>
      </c>
      <c r="H231" t="str">
        <f>TEXT(TbReceitas[[#This Row],[data_transacao]], "aaaa-mm")</f>
        <v>2025-07</v>
      </c>
    </row>
    <row r="232" spans="1:8">
      <c r="A232">
        <v>231</v>
      </c>
      <c r="B232" s="1">
        <v>45940</v>
      </c>
      <c r="C232" t="s">
        <v>916</v>
      </c>
      <c r="D232" t="s">
        <v>388</v>
      </c>
      <c r="E232">
        <v>3</v>
      </c>
      <c r="F232">
        <v>5518</v>
      </c>
      <c r="G232">
        <f>TbReceitas[[#This Row],[quantidade]]*TbReceitas[[#This Row],[preco_unitario]]</f>
        <v>16554</v>
      </c>
      <c r="H232" t="str">
        <f>TEXT(TbReceitas[[#This Row],[data_transacao]], "aaaa-mm")</f>
        <v>2025-10</v>
      </c>
    </row>
    <row r="233" spans="1:8">
      <c r="A233">
        <v>232</v>
      </c>
      <c r="B233" s="1">
        <v>46145</v>
      </c>
      <c r="C233" t="s">
        <v>917</v>
      </c>
      <c r="D233" t="s">
        <v>481</v>
      </c>
      <c r="E233">
        <v>5</v>
      </c>
      <c r="F233">
        <v>23782</v>
      </c>
      <c r="G233">
        <f>TbReceitas[[#This Row],[quantidade]]*TbReceitas[[#This Row],[preco_unitario]]</f>
        <v>118910</v>
      </c>
      <c r="H233" t="str">
        <f>TEXT(TbReceitas[[#This Row],[data_transacao]], "aaaa-mm")</f>
        <v>2026-05</v>
      </c>
    </row>
    <row r="234" spans="1:8">
      <c r="A234">
        <v>233</v>
      </c>
      <c r="B234" s="1">
        <v>45851</v>
      </c>
      <c r="C234" t="s">
        <v>866</v>
      </c>
      <c r="D234" t="s">
        <v>436</v>
      </c>
      <c r="E234">
        <v>4</v>
      </c>
      <c r="F234">
        <v>24553</v>
      </c>
      <c r="G234">
        <f>TbReceitas[[#This Row],[quantidade]]*TbReceitas[[#This Row],[preco_unitario]]</f>
        <v>98212</v>
      </c>
      <c r="H234" t="str">
        <f>TEXT(TbReceitas[[#This Row],[data_transacao]], "aaaa-mm")</f>
        <v>2025-07</v>
      </c>
    </row>
    <row r="235" spans="1:8">
      <c r="A235">
        <v>234</v>
      </c>
      <c r="B235" s="1">
        <v>45970</v>
      </c>
      <c r="C235" t="s">
        <v>764</v>
      </c>
      <c r="D235" t="s">
        <v>414</v>
      </c>
      <c r="E235">
        <v>4</v>
      </c>
      <c r="F235">
        <v>18008</v>
      </c>
      <c r="G235">
        <f>TbReceitas[[#This Row],[quantidade]]*TbReceitas[[#This Row],[preco_unitario]]</f>
        <v>72032</v>
      </c>
      <c r="H235" t="str">
        <f>TEXT(TbReceitas[[#This Row],[data_transacao]], "aaaa-mm")</f>
        <v>2025-11</v>
      </c>
    </row>
    <row r="236" spans="1:8">
      <c r="A236">
        <v>235</v>
      </c>
      <c r="B236" s="1">
        <v>46275</v>
      </c>
      <c r="C236" t="s">
        <v>918</v>
      </c>
      <c r="D236" t="s">
        <v>606</v>
      </c>
      <c r="E236">
        <v>5</v>
      </c>
      <c r="F236">
        <v>7402</v>
      </c>
      <c r="G236">
        <f>TbReceitas[[#This Row],[quantidade]]*TbReceitas[[#This Row],[preco_unitario]]</f>
        <v>37010</v>
      </c>
      <c r="H236" t="str">
        <f>TEXT(TbReceitas[[#This Row],[data_transacao]], "aaaa-mm")</f>
        <v>2026-09</v>
      </c>
    </row>
    <row r="237" spans="1:8">
      <c r="A237">
        <v>236</v>
      </c>
      <c r="B237" s="1">
        <v>45821</v>
      </c>
      <c r="C237" t="s">
        <v>919</v>
      </c>
      <c r="D237" t="s">
        <v>624</v>
      </c>
      <c r="E237">
        <v>4</v>
      </c>
      <c r="F237">
        <v>4705</v>
      </c>
      <c r="G237">
        <f>TbReceitas[[#This Row],[quantidade]]*TbReceitas[[#This Row],[preco_unitario]]</f>
        <v>18820</v>
      </c>
      <c r="H237" t="str">
        <f>TEXT(TbReceitas[[#This Row],[data_transacao]], "aaaa-mm")</f>
        <v>2025-06</v>
      </c>
    </row>
    <row r="238" spans="1:8">
      <c r="A238">
        <v>237</v>
      </c>
      <c r="B238" s="1">
        <v>45644</v>
      </c>
      <c r="C238" t="s">
        <v>920</v>
      </c>
      <c r="D238" t="s">
        <v>390</v>
      </c>
      <c r="E238">
        <v>4</v>
      </c>
      <c r="F238">
        <v>9992</v>
      </c>
      <c r="G238">
        <f>TbReceitas[[#This Row],[quantidade]]*TbReceitas[[#This Row],[preco_unitario]]</f>
        <v>39968</v>
      </c>
      <c r="H238" t="str">
        <f>TEXT(TbReceitas[[#This Row],[data_transacao]], "aaaa-mm")</f>
        <v>2024-12</v>
      </c>
    </row>
    <row r="239" spans="1:8">
      <c r="A239">
        <v>238</v>
      </c>
      <c r="B239" s="1">
        <v>46159</v>
      </c>
      <c r="C239" t="s">
        <v>921</v>
      </c>
      <c r="D239" t="s">
        <v>457</v>
      </c>
      <c r="E239">
        <v>4</v>
      </c>
      <c r="F239">
        <v>19353</v>
      </c>
      <c r="G239">
        <f>TbReceitas[[#This Row],[quantidade]]*TbReceitas[[#This Row],[preco_unitario]]</f>
        <v>77412</v>
      </c>
      <c r="H239" t="str">
        <f>TEXT(TbReceitas[[#This Row],[data_transacao]], "aaaa-mm")</f>
        <v>2026-05</v>
      </c>
    </row>
    <row r="240" spans="1:8">
      <c r="A240">
        <v>239</v>
      </c>
      <c r="B240" s="1">
        <v>45686</v>
      </c>
      <c r="C240" t="s">
        <v>922</v>
      </c>
      <c r="D240" t="s">
        <v>412</v>
      </c>
      <c r="E240">
        <v>4</v>
      </c>
      <c r="F240">
        <v>18704</v>
      </c>
      <c r="G240">
        <f>TbReceitas[[#This Row],[quantidade]]*TbReceitas[[#This Row],[preco_unitario]]</f>
        <v>74816</v>
      </c>
      <c r="H240" t="str">
        <f>TEXT(TbReceitas[[#This Row],[data_transacao]], "aaaa-mm")</f>
        <v>2025-01</v>
      </c>
    </row>
    <row r="241" spans="1:8">
      <c r="A241">
        <v>240</v>
      </c>
      <c r="B241" s="1">
        <v>46155</v>
      </c>
      <c r="C241" t="s">
        <v>923</v>
      </c>
      <c r="D241" t="s">
        <v>489</v>
      </c>
      <c r="E241">
        <v>5</v>
      </c>
      <c r="F241">
        <v>786</v>
      </c>
      <c r="G241">
        <f>TbReceitas[[#This Row],[quantidade]]*TbReceitas[[#This Row],[preco_unitario]]</f>
        <v>3930</v>
      </c>
      <c r="H241" t="str">
        <f>TEXT(TbReceitas[[#This Row],[data_transacao]], "aaaa-mm")</f>
        <v>2026-05</v>
      </c>
    </row>
    <row r="242" spans="1:8">
      <c r="A242">
        <v>241</v>
      </c>
      <c r="B242" s="1">
        <v>45940</v>
      </c>
      <c r="C242" t="s">
        <v>805</v>
      </c>
      <c r="D242" t="s">
        <v>644</v>
      </c>
      <c r="E242">
        <v>4</v>
      </c>
      <c r="F242">
        <v>19389</v>
      </c>
      <c r="G242">
        <f>TbReceitas[[#This Row],[quantidade]]*TbReceitas[[#This Row],[preco_unitario]]</f>
        <v>77556</v>
      </c>
      <c r="H242" t="str">
        <f>TEXT(TbReceitas[[#This Row],[data_transacao]], "aaaa-mm")</f>
        <v>2025-10</v>
      </c>
    </row>
    <row r="243" spans="1:8">
      <c r="A243">
        <v>242</v>
      </c>
      <c r="B243" s="1">
        <v>45856</v>
      </c>
      <c r="C243" t="s">
        <v>823</v>
      </c>
      <c r="D243" t="s">
        <v>649</v>
      </c>
      <c r="E243">
        <v>4</v>
      </c>
      <c r="F243">
        <v>22268</v>
      </c>
      <c r="G243">
        <f>TbReceitas[[#This Row],[quantidade]]*TbReceitas[[#This Row],[preco_unitario]]</f>
        <v>89072</v>
      </c>
      <c r="H243" t="str">
        <f>TEXT(TbReceitas[[#This Row],[data_transacao]], "aaaa-mm")</f>
        <v>2025-07</v>
      </c>
    </row>
    <row r="244" spans="1:8">
      <c r="A244">
        <v>243</v>
      </c>
      <c r="B244" s="1">
        <v>45957</v>
      </c>
      <c r="C244" t="s">
        <v>708</v>
      </c>
      <c r="D244" t="s">
        <v>224</v>
      </c>
      <c r="E244">
        <v>2</v>
      </c>
      <c r="F244">
        <v>2181</v>
      </c>
      <c r="G244">
        <f>TbReceitas[[#This Row],[quantidade]]*TbReceitas[[#This Row],[preco_unitario]]</f>
        <v>4362</v>
      </c>
      <c r="H244" t="str">
        <f>TEXT(TbReceitas[[#This Row],[data_transacao]], "aaaa-mm")</f>
        <v>2025-10</v>
      </c>
    </row>
    <row r="245" spans="1:8">
      <c r="A245">
        <v>244</v>
      </c>
      <c r="B245" s="1">
        <v>45755</v>
      </c>
      <c r="C245" t="s">
        <v>924</v>
      </c>
      <c r="D245" t="s">
        <v>33</v>
      </c>
      <c r="E245">
        <v>4</v>
      </c>
      <c r="F245">
        <v>20998</v>
      </c>
      <c r="G245">
        <f>TbReceitas[[#This Row],[quantidade]]*TbReceitas[[#This Row],[preco_unitario]]</f>
        <v>83992</v>
      </c>
      <c r="H245" t="str">
        <f>TEXT(TbReceitas[[#This Row],[data_transacao]], "aaaa-mm")</f>
        <v>2025-04</v>
      </c>
    </row>
    <row r="246" spans="1:8">
      <c r="A246">
        <v>245</v>
      </c>
      <c r="B246" s="1">
        <v>46123</v>
      </c>
      <c r="C246" t="s">
        <v>925</v>
      </c>
      <c r="D246" t="s">
        <v>697</v>
      </c>
      <c r="E246">
        <v>2</v>
      </c>
      <c r="F246">
        <v>24199</v>
      </c>
      <c r="G246">
        <f>TbReceitas[[#This Row],[quantidade]]*TbReceitas[[#This Row],[preco_unitario]]</f>
        <v>48398</v>
      </c>
      <c r="H246" t="str">
        <f>TEXT(TbReceitas[[#This Row],[data_transacao]], "aaaa-mm")</f>
        <v>2026-04</v>
      </c>
    </row>
    <row r="247" spans="1:8">
      <c r="A247">
        <v>246</v>
      </c>
      <c r="B247" s="1">
        <v>46013</v>
      </c>
      <c r="C247" t="s">
        <v>926</v>
      </c>
      <c r="D247" t="s">
        <v>82</v>
      </c>
      <c r="E247">
        <v>5</v>
      </c>
      <c r="F247">
        <v>3126</v>
      </c>
      <c r="G247">
        <f>TbReceitas[[#This Row],[quantidade]]*TbReceitas[[#This Row],[preco_unitario]]</f>
        <v>15630</v>
      </c>
      <c r="H247" t="str">
        <f>TEXT(TbReceitas[[#This Row],[data_transacao]], "aaaa-mm")</f>
        <v>2025-12</v>
      </c>
    </row>
    <row r="248" spans="1:8">
      <c r="A248">
        <v>247</v>
      </c>
      <c r="B248" s="1">
        <v>46176</v>
      </c>
      <c r="C248" t="s">
        <v>927</v>
      </c>
      <c r="D248" t="s">
        <v>387</v>
      </c>
      <c r="E248">
        <v>2</v>
      </c>
      <c r="F248">
        <v>16353</v>
      </c>
      <c r="G248">
        <f>TbReceitas[[#This Row],[quantidade]]*TbReceitas[[#This Row],[preco_unitario]]</f>
        <v>32706</v>
      </c>
      <c r="H248" t="str">
        <f>TEXT(TbReceitas[[#This Row],[data_transacao]], "aaaa-mm")</f>
        <v>2026-06</v>
      </c>
    </row>
    <row r="249" spans="1:8">
      <c r="A249">
        <v>248</v>
      </c>
      <c r="B249" s="1">
        <v>46003</v>
      </c>
      <c r="C249" t="s">
        <v>928</v>
      </c>
      <c r="D249" t="s">
        <v>351</v>
      </c>
      <c r="E249">
        <v>4</v>
      </c>
      <c r="F249">
        <v>15536</v>
      </c>
      <c r="G249">
        <f>TbReceitas[[#This Row],[quantidade]]*TbReceitas[[#This Row],[preco_unitario]]</f>
        <v>62144</v>
      </c>
      <c r="H249" t="str">
        <f>TEXT(TbReceitas[[#This Row],[data_transacao]], "aaaa-mm")</f>
        <v>2025-12</v>
      </c>
    </row>
    <row r="250" spans="1:8">
      <c r="A250">
        <v>249</v>
      </c>
      <c r="B250" s="1">
        <v>45882</v>
      </c>
      <c r="C250" t="s">
        <v>929</v>
      </c>
      <c r="D250" t="s">
        <v>451</v>
      </c>
      <c r="E250">
        <v>1</v>
      </c>
      <c r="F250">
        <v>17205</v>
      </c>
      <c r="G250">
        <f>TbReceitas[[#This Row],[quantidade]]*TbReceitas[[#This Row],[preco_unitario]]</f>
        <v>17205</v>
      </c>
      <c r="H250" t="str">
        <f>TEXT(TbReceitas[[#This Row],[data_transacao]], "aaaa-mm")</f>
        <v>2025-08</v>
      </c>
    </row>
    <row r="251" spans="1:8">
      <c r="A251">
        <v>250</v>
      </c>
      <c r="B251" s="1">
        <v>45925</v>
      </c>
      <c r="C251" t="s">
        <v>930</v>
      </c>
      <c r="D251" t="s">
        <v>415</v>
      </c>
      <c r="E251">
        <v>2</v>
      </c>
      <c r="F251">
        <v>19318</v>
      </c>
      <c r="G251">
        <f>TbReceitas[[#This Row],[quantidade]]*TbReceitas[[#This Row],[preco_unitario]]</f>
        <v>38636</v>
      </c>
      <c r="H251" t="str">
        <f>TEXT(TbReceitas[[#This Row],[data_transacao]], "aaaa-mm")</f>
        <v>2025-09</v>
      </c>
    </row>
    <row r="252" spans="1:8">
      <c r="A252">
        <v>251</v>
      </c>
      <c r="B252" s="1">
        <v>46166</v>
      </c>
      <c r="C252" t="s">
        <v>931</v>
      </c>
      <c r="D252" t="s">
        <v>381</v>
      </c>
      <c r="E252">
        <v>4</v>
      </c>
      <c r="F252">
        <v>13501</v>
      </c>
      <c r="G252">
        <f>TbReceitas[[#This Row],[quantidade]]*TbReceitas[[#This Row],[preco_unitario]]</f>
        <v>54004</v>
      </c>
      <c r="H252" t="str">
        <f>TEXT(TbReceitas[[#This Row],[data_transacao]], "aaaa-mm")</f>
        <v>2026-05</v>
      </c>
    </row>
    <row r="253" spans="1:8">
      <c r="A253">
        <v>252</v>
      </c>
      <c r="B253" s="1">
        <v>45675</v>
      </c>
      <c r="C253" t="s">
        <v>766</v>
      </c>
      <c r="D253" t="s">
        <v>108</v>
      </c>
      <c r="E253">
        <v>1</v>
      </c>
      <c r="F253">
        <v>6891</v>
      </c>
      <c r="G253">
        <f>TbReceitas[[#This Row],[quantidade]]*TbReceitas[[#This Row],[preco_unitario]]</f>
        <v>6891</v>
      </c>
      <c r="H253" t="str">
        <f>TEXT(TbReceitas[[#This Row],[data_transacao]], "aaaa-mm")</f>
        <v>2025-01</v>
      </c>
    </row>
    <row r="254" spans="1:8">
      <c r="A254">
        <v>253</v>
      </c>
      <c r="B254" s="1">
        <v>45872</v>
      </c>
      <c r="C254" t="s">
        <v>932</v>
      </c>
      <c r="D254" t="s">
        <v>165</v>
      </c>
      <c r="E254">
        <v>1</v>
      </c>
      <c r="F254">
        <v>16789</v>
      </c>
      <c r="G254">
        <f>TbReceitas[[#This Row],[quantidade]]*TbReceitas[[#This Row],[preco_unitario]]</f>
        <v>16789</v>
      </c>
      <c r="H254" t="str">
        <f>TEXT(TbReceitas[[#This Row],[data_transacao]], "aaaa-mm")</f>
        <v>2025-08</v>
      </c>
    </row>
    <row r="255" spans="1:8">
      <c r="A255">
        <v>254</v>
      </c>
      <c r="B255" s="1">
        <v>46131</v>
      </c>
      <c r="C255" t="s">
        <v>933</v>
      </c>
      <c r="D255" t="s">
        <v>341</v>
      </c>
      <c r="E255">
        <v>4</v>
      </c>
      <c r="F255">
        <v>11665</v>
      </c>
      <c r="G255">
        <f>TbReceitas[[#This Row],[quantidade]]*TbReceitas[[#This Row],[preco_unitario]]</f>
        <v>46660</v>
      </c>
      <c r="H255" t="str">
        <f>TEXT(TbReceitas[[#This Row],[data_transacao]], "aaaa-mm")</f>
        <v>2026-04</v>
      </c>
    </row>
    <row r="256" spans="1:8">
      <c r="A256">
        <v>255</v>
      </c>
      <c r="B256" s="1">
        <v>46199</v>
      </c>
      <c r="C256" t="s">
        <v>934</v>
      </c>
      <c r="D256" t="s">
        <v>173</v>
      </c>
      <c r="E256">
        <v>3</v>
      </c>
      <c r="F256">
        <v>10965</v>
      </c>
      <c r="G256">
        <f>TbReceitas[[#This Row],[quantidade]]*TbReceitas[[#This Row],[preco_unitario]]</f>
        <v>32895</v>
      </c>
      <c r="H256" t="str">
        <f>TEXT(TbReceitas[[#This Row],[data_transacao]], "aaaa-mm")</f>
        <v>2026-06</v>
      </c>
    </row>
    <row r="257" spans="1:8">
      <c r="A257">
        <v>256</v>
      </c>
      <c r="B257" s="1">
        <v>46255</v>
      </c>
      <c r="C257" t="s">
        <v>810</v>
      </c>
      <c r="D257" t="s">
        <v>212</v>
      </c>
      <c r="E257">
        <v>2</v>
      </c>
      <c r="F257">
        <v>6603</v>
      </c>
      <c r="G257">
        <f>TbReceitas[[#This Row],[quantidade]]*TbReceitas[[#This Row],[preco_unitario]]</f>
        <v>13206</v>
      </c>
      <c r="H257" t="str">
        <f>TEXT(TbReceitas[[#This Row],[data_transacao]], "aaaa-mm")</f>
        <v>2026-08</v>
      </c>
    </row>
    <row r="258" spans="1:8">
      <c r="A258">
        <v>257</v>
      </c>
      <c r="B258" s="1">
        <v>45672</v>
      </c>
      <c r="C258" t="s">
        <v>935</v>
      </c>
      <c r="D258" t="s">
        <v>196</v>
      </c>
      <c r="E258">
        <v>4</v>
      </c>
      <c r="F258">
        <v>8167</v>
      </c>
      <c r="G258">
        <f>TbReceitas[[#This Row],[quantidade]]*TbReceitas[[#This Row],[preco_unitario]]</f>
        <v>32668</v>
      </c>
      <c r="H258" t="str">
        <f>TEXT(TbReceitas[[#This Row],[data_transacao]], "aaaa-mm")</f>
        <v>2025-01</v>
      </c>
    </row>
    <row r="259" spans="1:8">
      <c r="A259">
        <v>258</v>
      </c>
      <c r="B259" s="1">
        <v>46093</v>
      </c>
      <c r="C259" t="s">
        <v>936</v>
      </c>
      <c r="D259" t="s">
        <v>147</v>
      </c>
      <c r="E259">
        <v>4</v>
      </c>
      <c r="F259">
        <v>3654</v>
      </c>
      <c r="G259">
        <f>TbReceitas[[#This Row],[quantidade]]*TbReceitas[[#This Row],[preco_unitario]]</f>
        <v>14616</v>
      </c>
      <c r="H259" t="str">
        <f>TEXT(TbReceitas[[#This Row],[data_transacao]], "aaaa-mm")</f>
        <v>2026-03</v>
      </c>
    </row>
    <row r="260" spans="1:8">
      <c r="A260">
        <v>259</v>
      </c>
      <c r="B260" s="1">
        <v>45557</v>
      </c>
      <c r="C260" t="s">
        <v>937</v>
      </c>
      <c r="D260" t="s">
        <v>564</v>
      </c>
      <c r="E260">
        <v>2</v>
      </c>
      <c r="F260">
        <v>13486</v>
      </c>
      <c r="G260">
        <f>TbReceitas[[#This Row],[quantidade]]*TbReceitas[[#This Row],[preco_unitario]]</f>
        <v>26972</v>
      </c>
      <c r="H260" t="str">
        <f>TEXT(TbReceitas[[#This Row],[data_transacao]], "aaaa-mm")</f>
        <v>2024-09</v>
      </c>
    </row>
    <row r="261" spans="1:8">
      <c r="A261">
        <v>260</v>
      </c>
      <c r="B261" s="1">
        <v>45951</v>
      </c>
      <c r="C261" t="s">
        <v>752</v>
      </c>
      <c r="D261" t="s">
        <v>297</v>
      </c>
      <c r="E261">
        <v>1</v>
      </c>
      <c r="F261">
        <v>14665</v>
      </c>
      <c r="G261">
        <f>TbReceitas[[#This Row],[quantidade]]*TbReceitas[[#This Row],[preco_unitario]]</f>
        <v>14665</v>
      </c>
      <c r="H261" t="str">
        <f>TEXT(TbReceitas[[#This Row],[data_transacao]], "aaaa-mm")</f>
        <v>2025-10</v>
      </c>
    </row>
    <row r="262" spans="1:8">
      <c r="A262">
        <v>261</v>
      </c>
      <c r="B262" s="1">
        <v>45771</v>
      </c>
      <c r="C262" t="s">
        <v>938</v>
      </c>
      <c r="D262" t="s">
        <v>337</v>
      </c>
      <c r="E262">
        <v>4</v>
      </c>
      <c r="F262">
        <v>8484</v>
      </c>
      <c r="G262">
        <f>TbReceitas[[#This Row],[quantidade]]*TbReceitas[[#This Row],[preco_unitario]]</f>
        <v>33936</v>
      </c>
      <c r="H262" t="str">
        <f>TEXT(TbReceitas[[#This Row],[data_transacao]], "aaaa-mm")</f>
        <v>2025-04</v>
      </c>
    </row>
    <row r="263" spans="1:8">
      <c r="A263">
        <v>262</v>
      </c>
      <c r="B263" s="1">
        <v>46058</v>
      </c>
      <c r="C263" t="s">
        <v>939</v>
      </c>
      <c r="D263" t="s">
        <v>334</v>
      </c>
      <c r="E263">
        <v>1</v>
      </c>
      <c r="F263">
        <v>20877</v>
      </c>
      <c r="G263">
        <f>TbReceitas[[#This Row],[quantidade]]*TbReceitas[[#This Row],[preco_unitario]]</f>
        <v>20877</v>
      </c>
      <c r="H263" t="str">
        <f>TEXT(TbReceitas[[#This Row],[data_transacao]], "aaaa-mm")</f>
        <v>2026-02</v>
      </c>
    </row>
    <row r="264" spans="1:8">
      <c r="A264">
        <v>263</v>
      </c>
      <c r="B264" s="1">
        <v>46190</v>
      </c>
      <c r="C264" t="s">
        <v>940</v>
      </c>
      <c r="D264" t="s">
        <v>343</v>
      </c>
      <c r="E264">
        <v>4</v>
      </c>
      <c r="F264">
        <v>4997</v>
      </c>
      <c r="G264">
        <f>TbReceitas[[#This Row],[quantidade]]*TbReceitas[[#This Row],[preco_unitario]]</f>
        <v>19988</v>
      </c>
      <c r="H264" t="str">
        <f>TEXT(TbReceitas[[#This Row],[data_transacao]], "aaaa-mm")</f>
        <v>2026-06</v>
      </c>
    </row>
    <row r="265" spans="1:8">
      <c r="A265">
        <v>264</v>
      </c>
      <c r="B265" s="1">
        <v>45764</v>
      </c>
      <c r="C265" t="s">
        <v>941</v>
      </c>
      <c r="D265" t="s">
        <v>528</v>
      </c>
      <c r="E265">
        <v>1</v>
      </c>
      <c r="F265">
        <v>17709</v>
      </c>
      <c r="G265">
        <f>TbReceitas[[#This Row],[quantidade]]*TbReceitas[[#This Row],[preco_unitario]]</f>
        <v>17709</v>
      </c>
      <c r="H265" t="str">
        <f>TEXT(TbReceitas[[#This Row],[data_transacao]], "aaaa-mm")</f>
        <v>2025-04</v>
      </c>
    </row>
    <row r="266" spans="1:8">
      <c r="A266">
        <v>265</v>
      </c>
      <c r="B266" s="1">
        <v>46029</v>
      </c>
      <c r="C266" t="s">
        <v>942</v>
      </c>
      <c r="D266" t="s">
        <v>354</v>
      </c>
      <c r="E266">
        <v>2</v>
      </c>
      <c r="F266">
        <v>19135</v>
      </c>
      <c r="G266">
        <f>TbReceitas[[#This Row],[quantidade]]*TbReceitas[[#This Row],[preco_unitario]]</f>
        <v>38270</v>
      </c>
      <c r="H266" t="str">
        <f>TEXT(TbReceitas[[#This Row],[data_transacao]], "aaaa-mm")</f>
        <v>2026-01</v>
      </c>
    </row>
    <row r="267" spans="1:8">
      <c r="A267">
        <v>266</v>
      </c>
      <c r="B267" s="1">
        <v>45690</v>
      </c>
      <c r="C267" t="s">
        <v>943</v>
      </c>
      <c r="D267" t="s">
        <v>358</v>
      </c>
      <c r="E267">
        <v>3</v>
      </c>
      <c r="F267">
        <v>11913</v>
      </c>
      <c r="G267">
        <f>TbReceitas[[#This Row],[quantidade]]*TbReceitas[[#This Row],[preco_unitario]]</f>
        <v>35739</v>
      </c>
      <c r="H267" t="str">
        <f>TEXT(TbReceitas[[#This Row],[data_transacao]], "aaaa-mm")</f>
        <v>2025-02</v>
      </c>
    </row>
    <row r="268" spans="1:8">
      <c r="A268">
        <v>267</v>
      </c>
      <c r="B268" s="1">
        <v>46134</v>
      </c>
      <c r="C268" t="s">
        <v>855</v>
      </c>
      <c r="D268" t="s">
        <v>278</v>
      </c>
      <c r="E268">
        <v>2</v>
      </c>
      <c r="F268">
        <v>17591</v>
      </c>
      <c r="G268">
        <f>TbReceitas[[#This Row],[quantidade]]*TbReceitas[[#This Row],[preco_unitario]]</f>
        <v>35182</v>
      </c>
      <c r="H268" t="str">
        <f>TEXT(TbReceitas[[#This Row],[data_transacao]], "aaaa-mm")</f>
        <v>2026-04</v>
      </c>
    </row>
    <row r="269" spans="1:8">
      <c r="A269">
        <v>268</v>
      </c>
      <c r="B269" s="1">
        <v>46068</v>
      </c>
      <c r="C269" t="s">
        <v>944</v>
      </c>
      <c r="D269" t="s">
        <v>166</v>
      </c>
      <c r="E269">
        <v>2</v>
      </c>
      <c r="F269">
        <v>323</v>
      </c>
      <c r="G269">
        <f>TbReceitas[[#This Row],[quantidade]]*TbReceitas[[#This Row],[preco_unitario]]</f>
        <v>646</v>
      </c>
      <c r="H269" t="str">
        <f>TEXT(TbReceitas[[#This Row],[data_transacao]], "aaaa-mm")</f>
        <v>2026-02</v>
      </c>
    </row>
    <row r="270" spans="1:8">
      <c r="A270">
        <v>269</v>
      </c>
      <c r="B270" s="1">
        <v>45631</v>
      </c>
      <c r="C270" t="s">
        <v>741</v>
      </c>
      <c r="D270" t="s">
        <v>376</v>
      </c>
      <c r="E270">
        <v>3</v>
      </c>
      <c r="F270">
        <v>23922</v>
      </c>
      <c r="G270">
        <f>TbReceitas[[#This Row],[quantidade]]*TbReceitas[[#This Row],[preco_unitario]]</f>
        <v>71766</v>
      </c>
      <c r="H270" t="str">
        <f>TEXT(TbReceitas[[#This Row],[data_transacao]], "aaaa-mm")</f>
        <v>2024-12</v>
      </c>
    </row>
    <row r="271" spans="1:8">
      <c r="A271">
        <v>270</v>
      </c>
      <c r="B271" s="1">
        <v>46269</v>
      </c>
      <c r="C271" t="s">
        <v>945</v>
      </c>
      <c r="D271" t="s">
        <v>105</v>
      </c>
      <c r="E271">
        <v>3</v>
      </c>
      <c r="F271">
        <v>11041</v>
      </c>
      <c r="G271">
        <f>TbReceitas[[#This Row],[quantidade]]*TbReceitas[[#This Row],[preco_unitario]]</f>
        <v>33123</v>
      </c>
      <c r="H271" t="str">
        <f>TEXT(TbReceitas[[#This Row],[data_transacao]], "aaaa-mm")</f>
        <v>2026-09</v>
      </c>
    </row>
    <row r="272" spans="1:8">
      <c r="A272">
        <v>271</v>
      </c>
      <c r="B272" s="1">
        <v>45916</v>
      </c>
      <c r="C272" t="s">
        <v>946</v>
      </c>
      <c r="D272" t="s">
        <v>301</v>
      </c>
      <c r="E272">
        <v>5</v>
      </c>
      <c r="F272">
        <v>13322</v>
      </c>
      <c r="G272">
        <f>TbReceitas[[#This Row],[quantidade]]*TbReceitas[[#This Row],[preco_unitario]]</f>
        <v>66610</v>
      </c>
      <c r="H272" t="str">
        <f>TEXT(TbReceitas[[#This Row],[data_transacao]], "aaaa-mm")</f>
        <v>2025-09</v>
      </c>
    </row>
    <row r="273" spans="1:8">
      <c r="A273">
        <v>272</v>
      </c>
      <c r="B273" s="1">
        <v>46007</v>
      </c>
      <c r="C273" t="s">
        <v>791</v>
      </c>
      <c r="D273" t="s">
        <v>66</v>
      </c>
      <c r="E273">
        <v>1</v>
      </c>
      <c r="F273">
        <v>329</v>
      </c>
      <c r="G273">
        <f>TbReceitas[[#This Row],[quantidade]]*TbReceitas[[#This Row],[preco_unitario]]</f>
        <v>329</v>
      </c>
      <c r="H273" t="str">
        <f>TEXT(TbReceitas[[#This Row],[data_transacao]], "aaaa-mm")</f>
        <v>2025-12</v>
      </c>
    </row>
    <row r="274" spans="1:8">
      <c r="A274">
        <v>273</v>
      </c>
      <c r="B274" s="1">
        <v>46093</v>
      </c>
      <c r="C274" t="s">
        <v>947</v>
      </c>
      <c r="D274" t="s">
        <v>316</v>
      </c>
      <c r="E274">
        <v>5</v>
      </c>
      <c r="F274">
        <v>4372</v>
      </c>
      <c r="G274">
        <f>TbReceitas[[#This Row],[quantidade]]*TbReceitas[[#This Row],[preco_unitario]]</f>
        <v>21860</v>
      </c>
      <c r="H274" t="str">
        <f>TEXT(TbReceitas[[#This Row],[data_transacao]], "aaaa-mm")</f>
        <v>2026-03</v>
      </c>
    </row>
    <row r="275" spans="1:8">
      <c r="A275">
        <v>274</v>
      </c>
      <c r="B275" s="1">
        <v>45867</v>
      </c>
      <c r="C275" t="s">
        <v>948</v>
      </c>
      <c r="D275" t="s">
        <v>628</v>
      </c>
      <c r="E275">
        <v>5</v>
      </c>
      <c r="F275">
        <v>4049</v>
      </c>
      <c r="G275">
        <f>TbReceitas[[#This Row],[quantidade]]*TbReceitas[[#This Row],[preco_unitario]]</f>
        <v>20245</v>
      </c>
      <c r="H275" t="str">
        <f>TEXT(TbReceitas[[#This Row],[data_transacao]], "aaaa-mm")</f>
        <v>2025-07</v>
      </c>
    </row>
    <row r="276" spans="1:8">
      <c r="A276">
        <v>275</v>
      </c>
      <c r="B276" s="1">
        <v>45924</v>
      </c>
      <c r="C276" t="s">
        <v>714</v>
      </c>
      <c r="D276" t="s">
        <v>639</v>
      </c>
      <c r="E276">
        <v>5</v>
      </c>
      <c r="F276">
        <v>4224</v>
      </c>
      <c r="G276">
        <f>TbReceitas[[#This Row],[quantidade]]*TbReceitas[[#This Row],[preco_unitario]]</f>
        <v>21120</v>
      </c>
      <c r="H276" t="str">
        <f>TEXT(TbReceitas[[#This Row],[data_transacao]], "aaaa-mm")</f>
        <v>2025-09</v>
      </c>
    </row>
    <row r="277" spans="1:8">
      <c r="A277">
        <v>276</v>
      </c>
      <c r="B277" s="1">
        <v>46228</v>
      </c>
      <c r="C277" t="s">
        <v>949</v>
      </c>
      <c r="D277" t="s">
        <v>291</v>
      </c>
      <c r="E277">
        <v>4</v>
      </c>
      <c r="F277">
        <v>24715</v>
      </c>
      <c r="G277">
        <f>TbReceitas[[#This Row],[quantidade]]*TbReceitas[[#This Row],[preco_unitario]]</f>
        <v>98860</v>
      </c>
      <c r="H277" t="str">
        <f>TEXT(TbReceitas[[#This Row],[data_transacao]], "aaaa-mm")</f>
        <v>2026-07</v>
      </c>
    </row>
    <row r="278" spans="1:8">
      <c r="A278">
        <v>277</v>
      </c>
      <c r="B278" s="1">
        <v>46087</v>
      </c>
      <c r="C278" t="s">
        <v>950</v>
      </c>
      <c r="D278" t="s">
        <v>205</v>
      </c>
      <c r="E278">
        <v>3</v>
      </c>
      <c r="F278">
        <v>1639</v>
      </c>
      <c r="G278">
        <f>TbReceitas[[#This Row],[quantidade]]*TbReceitas[[#This Row],[preco_unitario]]</f>
        <v>4917</v>
      </c>
      <c r="H278" t="str">
        <f>TEXT(TbReceitas[[#This Row],[data_transacao]], "aaaa-mm")</f>
        <v>2026-03</v>
      </c>
    </row>
    <row r="279" spans="1:8">
      <c r="A279">
        <v>278</v>
      </c>
      <c r="B279" s="1">
        <v>46125</v>
      </c>
      <c r="C279" t="s">
        <v>951</v>
      </c>
      <c r="D279" t="s">
        <v>227</v>
      </c>
      <c r="E279">
        <v>5</v>
      </c>
      <c r="F279">
        <v>23168</v>
      </c>
      <c r="G279">
        <f>TbReceitas[[#This Row],[quantidade]]*TbReceitas[[#This Row],[preco_unitario]]</f>
        <v>115840</v>
      </c>
      <c r="H279" t="str">
        <f>TEXT(TbReceitas[[#This Row],[data_transacao]], "aaaa-mm")</f>
        <v>2026-04</v>
      </c>
    </row>
    <row r="280" spans="1:8">
      <c r="A280">
        <v>279</v>
      </c>
      <c r="B280" s="1">
        <v>45844</v>
      </c>
      <c r="C280" t="s">
        <v>942</v>
      </c>
      <c r="D280" t="s">
        <v>613</v>
      </c>
      <c r="E280">
        <v>1</v>
      </c>
      <c r="F280">
        <v>9029</v>
      </c>
      <c r="G280">
        <f>TbReceitas[[#This Row],[quantidade]]*TbReceitas[[#This Row],[preco_unitario]]</f>
        <v>9029</v>
      </c>
      <c r="H280" t="str">
        <f>TEXT(TbReceitas[[#This Row],[data_transacao]], "aaaa-mm")</f>
        <v>2025-07</v>
      </c>
    </row>
    <row r="281" spans="1:8">
      <c r="A281">
        <v>280</v>
      </c>
      <c r="B281" s="1">
        <v>45548</v>
      </c>
      <c r="C281" t="s">
        <v>854</v>
      </c>
      <c r="D281" t="s">
        <v>902</v>
      </c>
      <c r="E281">
        <v>1</v>
      </c>
      <c r="F281">
        <v>14695</v>
      </c>
      <c r="G281">
        <f>TbReceitas[[#This Row],[quantidade]]*TbReceitas[[#This Row],[preco_unitario]]</f>
        <v>14695</v>
      </c>
      <c r="H281" t="str">
        <f>TEXT(TbReceitas[[#This Row],[data_transacao]], "aaaa-mm")</f>
        <v>2024-09</v>
      </c>
    </row>
    <row r="282" spans="1:8">
      <c r="A282">
        <v>281</v>
      </c>
      <c r="B282" s="1">
        <v>45604</v>
      </c>
      <c r="C282" t="s">
        <v>952</v>
      </c>
      <c r="D282" t="s">
        <v>229</v>
      </c>
      <c r="E282">
        <v>2</v>
      </c>
      <c r="F282">
        <v>6433</v>
      </c>
      <c r="G282">
        <f>TbReceitas[[#This Row],[quantidade]]*TbReceitas[[#This Row],[preco_unitario]]</f>
        <v>12866</v>
      </c>
      <c r="H282" t="str">
        <f>TEXT(TbReceitas[[#This Row],[data_transacao]], "aaaa-mm")</f>
        <v>2024-11</v>
      </c>
    </row>
    <row r="283" spans="1:8">
      <c r="A283">
        <v>282</v>
      </c>
      <c r="B283" s="1">
        <v>46203</v>
      </c>
      <c r="C283" t="s">
        <v>953</v>
      </c>
      <c r="D283" t="s">
        <v>186</v>
      </c>
      <c r="E283">
        <v>2</v>
      </c>
      <c r="F283">
        <v>5111</v>
      </c>
      <c r="G283">
        <f>TbReceitas[[#This Row],[quantidade]]*TbReceitas[[#This Row],[preco_unitario]]</f>
        <v>10222</v>
      </c>
      <c r="H283" t="str">
        <f>TEXT(TbReceitas[[#This Row],[data_transacao]], "aaaa-mm")</f>
        <v>2026-06</v>
      </c>
    </row>
    <row r="284" spans="1:8">
      <c r="A284">
        <v>283</v>
      </c>
      <c r="B284" s="1">
        <v>46229</v>
      </c>
      <c r="C284" t="s">
        <v>904</v>
      </c>
      <c r="D284" t="s">
        <v>685</v>
      </c>
      <c r="E284">
        <v>2</v>
      </c>
      <c r="F284">
        <v>11639</v>
      </c>
      <c r="G284">
        <f>TbReceitas[[#This Row],[quantidade]]*TbReceitas[[#This Row],[preco_unitario]]</f>
        <v>23278</v>
      </c>
      <c r="H284" t="str">
        <f>TEXT(TbReceitas[[#This Row],[data_transacao]], "aaaa-mm")</f>
        <v>2026-07</v>
      </c>
    </row>
    <row r="285" spans="1:8">
      <c r="A285">
        <v>284</v>
      </c>
      <c r="B285" s="1">
        <v>46149</v>
      </c>
      <c r="C285" t="s">
        <v>954</v>
      </c>
      <c r="D285" t="s">
        <v>194</v>
      </c>
      <c r="E285">
        <v>2</v>
      </c>
      <c r="F285">
        <v>20829</v>
      </c>
      <c r="G285">
        <f>TbReceitas[[#This Row],[quantidade]]*TbReceitas[[#This Row],[preco_unitario]]</f>
        <v>41658</v>
      </c>
      <c r="H285" t="str">
        <f>TEXT(TbReceitas[[#This Row],[data_transacao]], "aaaa-mm")</f>
        <v>2026-05</v>
      </c>
    </row>
    <row r="286" spans="1:8">
      <c r="A286">
        <v>285</v>
      </c>
      <c r="B286" s="1">
        <v>45665</v>
      </c>
      <c r="C286" t="s">
        <v>955</v>
      </c>
      <c r="D286" t="s">
        <v>409</v>
      </c>
      <c r="E286">
        <v>2</v>
      </c>
      <c r="F286">
        <v>6002</v>
      </c>
      <c r="G286">
        <f>TbReceitas[[#This Row],[quantidade]]*TbReceitas[[#This Row],[preco_unitario]]</f>
        <v>12004</v>
      </c>
      <c r="H286" t="str">
        <f>TEXT(TbReceitas[[#This Row],[data_transacao]], "aaaa-mm")</f>
        <v>2025-01</v>
      </c>
    </row>
    <row r="287" spans="1:8">
      <c r="A287">
        <v>286</v>
      </c>
      <c r="B287" s="1">
        <v>46262</v>
      </c>
      <c r="C287" t="s">
        <v>956</v>
      </c>
      <c r="D287" t="s">
        <v>492</v>
      </c>
      <c r="E287">
        <v>4</v>
      </c>
      <c r="F287">
        <v>2615</v>
      </c>
      <c r="G287">
        <f>TbReceitas[[#This Row],[quantidade]]*TbReceitas[[#This Row],[preco_unitario]]</f>
        <v>10460</v>
      </c>
      <c r="H287" t="str">
        <f>TEXT(TbReceitas[[#This Row],[data_transacao]], "aaaa-mm")</f>
        <v>2026-08</v>
      </c>
    </row>
    <row r="288" spans="1:8">
      <c r="A288">
        <v>287</v>
      </c>
      <c r="B288" s="1">
        <v>45694</v>
      </c>
      <c r="C288" t="s">
        <v>957</v>
      </c>
      <c r="D288" t="s">
        <v>508</v>
      </c>
      <c r="E288">
        <v>5</v>
      </c>
      <c r="F288">
        <v>12755</v>
      </c>
      <c r="G288">
        <f>TbReceitas[[#This Row],[quantidade]]*TbReceitas[[#This Row],[preco_unitario]]</f>
        <v>63775</v>
      </c>
      <c r="H288" t="str">
        <f>TEXT(TbReceitas[[#This Row],[data_transacao]], "aaaa-mm")</f>
        <v>2025-02</v>
      </c>
    </row>
    <row r="289" spans="1:8">
      <c r="A289">
        <v>288</v>
      </c>
      <c r="B289" s="1">
        <v>45549</v>
      </c>
      <c r="C289" t="s">
        <v>958</v>
      </c>
      <c r="D289" t="s">
        <v>159</v>
      </c>
      <c r="E289">
        <v>2</v>
      </c>
      <c r="F289">
        <v>16217</v>
      </c>
      <c r="G289">
        <f>TbReceitas[[#This Row],[quantidade]]*TbReceitas[[#This Row],[preco_unitario]]</f>
        <v>32434</v>
      </c>
      <c r="H289" t="str">
        <f>TEXT(TbReceitas[[#This Row],[data_transacao]], "aaaa-mm")</f>
        <v>2024-09</v>
      </c>
    </row>
    <row r="290" spans="1:8">
      <c r="A290">
        <v>289</v>
      </c>
      <c r="B290" s="1">
        <v>45792</v>
      </c>
      <c r="C290" t="s">
        <v>923</v>
      </c>
      <c r="D290" t="s">
        <v>298</v>
      </c>
      <c r="E290">
        <v>1</v>
      </c>
      <c r="F290">
        <v>9609</v>
      </c>
      <c r="G290">
        <f>TbReceitas[[#This Row],[quantidade]]*TbReceitas[[#This Row],[preco_unitario]]</f>
        <v>9609</v>
      </c>
      <c r="H290" t="str">
        <f>TEXT(TbReceitas[[#This Row],[data_transacao]], "aaaa-mm")</f>
        <v>2025-05</v>
      </c>
    </row>
    <row r="291" spans="1:8">
      <c r="A291">
        <v>290</v>
      </c>
      <c r="B291" s="1">
        <v>45719</v>
      </c>
      <c r="C291" t="s">
        <v>959</v>
      </c>
      <c r="D291" t="s">
        <v>111</v>
      </c>
      <c r="E291">
        <v>2</v>
      </c>
      <c r="F291">
        <v>22417</v>
      </c>
      <c r="G291">
        <f>TbReceitas[[#This Row],[quantidade]]*TbReceitas[[#This Row],[preco_unitario]]</f>
        <v>44834</v>
      </c>
      <c r="H291" t="str">
        <f>TEXT(TbReceitas[[#This Row],[data_transacao]], "aaaa-mm")</f>
        <v>2025-03</v>
      </c>
    </row>
    <row r="292" spans="1:8">
      <c r="A292">
        <v>291</v>
      </c>
      <c r="B292" s="1">
        <v>46086</v>
      </c>
      <c r="C292" t="s">
        <v>920</v>
      </c>
      <c r="D292" t="s">
        <v>360</v>
      </c>
      <c r="E292">
        <v>3</v>
      </c>
      <c r="F292">
        <v>8663</v>
      </c>
      <c r="G292">
        <f>TbReceitas[[#This Row],[quantidade]]*TbReceitas[[#This Row],[preco_unitario]]</f>
        <v>25989</v>
      </c>
      <c r="H292" t="str">
        <f>TEXT(TbReceitas[[#This Row],[data_transacao]], "aaaa-mm")</f>
        <v>2026-03</v>
      </c>
    </row>
    <row r="293" spans="1:8">
      <c r="A293">
        <v>292</v>
      </c>
      <c r="B293" s="1">
        <v>46156</v>
      </c>
      <c r="C293" t="s">
        <v>960</v>
      </c>
      <c r="D293" t="s">
        <v>621</v>
      </c>
      <c r="E293">
        <v>1</v>
      </c>
      <c r="F293">
        <v>9823</v>
      </c>
      <c r="G293">
        <f>TbReceitas[[#This Row],[quantidade]]*TbReceitas[[#This Row],[preco_unitario]]</f>
        <v>9823</v>
      </c>
      <c r="H293" t="str">
        <f>TEXT(TbReceitas[[#This Row],[data_transacao]], "aaaa-mm")</f>
        <v>2026-05</v>
      </c>
    </row>
    <row r="294" spans="1:8">
      <c r="A294">
        <v>293</v>
      </c>
      <c r="B294" s="1">
        <v>45877</v>
      </c>
      <c r="C294" t="s">
        <v>961</v>
      </c>
      <c r="D294" t="s">
        <v>197</v>
      </c>
      <c r="E294">
        <v>5</v>
      </c>
      <c r="F294">
        <v>1917</v>
      </c>
      <c r="G294">
        <f>TbReceitas[[#This Row],[quantidade]]*TbReceitas[[#This Row],[preco_unitario]]</f>
        <v>9585</v>
      </c>
      <c r="H294" t="str">
        <f>TEXT(TbReceitas[[#This Row],[data_transacao]], "aaaa-mm")</f>
        <v>2025-08</v>
      </c>
    </row>
    <row r="295" spans="1:8">
      <c r="A295">
        <v>294</v>
      </c>
      <c r="B295" s="1">
        <v>45768</v>
      </c>
      <c r="C295" t="s">
        <v>962</v>
      </c>
      <c r="D295" t="s">
        <v>251</v>
      </c>
      <c r="E295">
        <v>3</v>
      </c>
      <c r="F295">
        <v>4862</v>
      </c>
      <c r="G295">
        <f>TbReceitas[[#This Row],[quantidade]]*TbReceitas[[#This Row],[preco_unitario]]</f>
        <v>14586</v>
      </c>
      <c r="H295" t="str">
        <f>TEXT(TbReceitas[[#This Row],[data_transacao]], "aaaa-mm")</f>
        <v>2025-04</v>
      </c>
    </row>
    <row r="296" spans="1:8">
      <c r="A296">
        <v>295</v>
      </c>
      <c r="B296" s="1">
        <v>46049</v>
      </c>
      <c r="C296" t="s">
        <v>963</v>
      </c>
      <c r="D296" t="s">
        <v>640</v>
      </c>
      <c r="E296">
        <v>4</v>
      </c>
      <c r="F296">
        <v>9499</v>
      </c>
      <c r="G296">
        <f>TbReceitas[[#This Row],[quantidade]]*TbReceitas[[#This Row],[preco_unitario]]</f>
        <v>37996</v>
      </c>
      <c r="H296" t="str">
        <f>TEXT(TbReceitas[[#This Row],[data_transacao]], "aaaa-mm")</f>
        <v>2026-01</v>
      </c>
    </row>
    <row r="297" spans="1:8">
      <c r="A297">
        <v>296</v>
      </c>
      <c r="B297" s="1">
        <v>46011</v>
      </c>
      <c r="C297" t="s">
        <v>964</v>
      </c>
      <c r="D297" t="s">
        <v>354</v>
      </c>
      <c r="E297">
        <v>2</v>
      </c>
      <c r="F297">
        <v>19135</v>
      </c>
      <c r="G297">
        <f>TbReceitas[[#This Row],[quantidade]]*TbReceitas[[#This Row],[preco_unitario]]</f>
        <v>38270</v>
      </c>
      <c r="H297" t="str">
        <f>TEXT(TbReceitas[[#This Row],[data_transacao]], "aaaa-mm")</f>
        <v>2025-12</v>
      </c>
    </row>
    <row r="298" spans="1:8">
      <c r="A298">
        <v>297</v>
      </c>
      <c r="B298" s="1">
        <v>46183</v>
      </c>
      <c r="C298" t="s">
        <v>813</v>
      </c>
      <c r="D298" t="s">
        <v>574</v>
      </c>
      <c r="E298">
        <v>1</v>
      </c>
      <c r="F298">
        <v>19723</v>
      </c>
      <c r="G298">
        <f>TbReceitas[[#This Row],[quantidade]]*TbReceitas[[#This Row],[preco_unitario]]</f>
        <v>19723</v>
      </c>
      <c r="H298" t="str">
        <f>TEXT(TbReceitas[[#This Row],[data_transacao]], "aaaa-mm")</f>
        <v>2026-06</v>
      </c>
    </row>
    <row r="299" spans="1:8">
      <c r="A299">
        <v>298</v>
      </c>
      <c r="B299" s="1">
        <v>46126</v>
      </c>
      <c r="C299" t="s">
        <v>965</v>
      </c>
      <c r="D299" t="s">
        <v>158</v>
      </c>
      <c r="E299">
        <v>5</v>
      </c>
      <c r="F299">
        <v>2383</v>
      </c>
      <c r="G299">
        <f>TbReceitas[[#This Row],[quantidade]]*TbReceitas[[#This Row],[preco_unitario]]</f>
        <v>11915</v>
      </c>
      <c r="H299" t="str">
        <f>TEXT(TbReceitas[[#This Row],[data_transacao]], "aaaa-mm")</f>
        <v>2026-04</v>
      </c>
    </row>
    <row r="300" spans="1:8">
      <c r="A300">
        <v>299</v>
      </c>
      <c r="B300" s="1">
        <v>45547</v>
      </c>
      <c r="C300" t="s">
        <v>966</v>
      </c>
      <c r="D300" t="s">
        <v>347</v>
      </c>
      <c r="E300">
        <v>4</v>
      </c>
      <c r="F300">
        <v>19492</v>
      </c>
      <c r="G300">
        <f>TbReceitas[[#This Row],[quantidade]]*TbReceitas[[#This Row],[preco_unitario]]</f>
        <v>77968</v>
      </c>
      <c r="H300" t="str">
        <f>TEXT(TbReceitas[[#This Row],[data_transacao]], "aaaa-mm")</f>
        <v>2024-09</v>
      </c>
    </row>
    <row r="301" spans="1:8">
      <c r="A301">
        <v>300</v>
      </c>
      <c r="B301" s="1">
        <v>46248</v>
      </c>
      <c r="C301" t="s">
        <v>967</v>
      </c>
      <c r="D301" t="s">
        <v>371</v>
      </c>
      <c r="E301">
        <v>5</v>
      </c>
      <c r="F301">
        <v>11753</v>
      </c>
      <c r="G301">
        <f>TbReceitas[[#This Row],[quantidade]]*TbReceitas[[#This Row],[preco_unitario]]</f>
        <v>58765</v>
      </c>
      <c r="H301" t="str">
        <f>TEXT(TbReceitas[[#This Row],[data_transacao]], "aaaa-mm")</f>
        <v>2026-08</v>
      </c>
    </row>
    <row r="302" spans="1:8">
      <c r="A302">
        <v>301</v>
      </c>
      <c r="B302" s="1">
        <v>46008</v>
      </c>
      <c r="C302" t="s">
        <v>968</v>
      </c>
      <c r="D302" t="s">
        <v>132</v>
      </c>
      <c r="E302">
        <v>2</v>
      </c>
      <c r="F302">
        <v>14526</v>
      </c>
      <c r="G302">
        <f>TbReceitas[[#This Row],[quantidade]]*TbReceitas[[#This Row],[preco_unitario]]</f>
        <v>29052</v>
      </c>
      <c r="H302" t="str">
        <f>TEXT(TbReceitas[[#This Row],[data_transacao]], "aaaa-mm")</f>
        <v>2025-12</v>
      </c>
    </row>
    <row r="303" spans="1:8">
      <c r="A303">
        <v>302</v>
      </c>
      <c r="B303" s="1">
        <v>45593</v>
      </c>
      <c r="C303" t="s">
        <v>969</v>
      </c>
      <c r="D303" t="s">
        <v>480</v>
      </c>
      <c r="E303">
        <v>2</v>
      </c>
      <c r="F303">
        <v>1934</v>
      </c>
      <c r="G303">
        <f>TbReceitas[[#This Row],[quantidade]]*TbReceitas[[#This Row],[preco_unitario]]</f>
        <v>3868</v>
      </c>
      <c r="H303" t="str">
        <f>TEXT(TbReceitas[[#This Row],[data_transacao]], "aaaa-mm")</f>
        <v>2024-10</v>
      </c>
    </row>
    <row r="304" spans="1:8">
      <c r="A304">
        <v>303</v>
      </c>
      <c r="B304" s="1">
        <v>46162</v>
      </c>
      <c r="C304" t="s">
        <v>970</v>
      </c>
      <c r="D304" t="s">
        <v>599</v>
      </c>
      <c r="E304">
        <v>4</v>
      </c>
      <c r="F304">
        <v>45</v>
      </c>
      <c r="G304">
        <f>TbReceitas[[#This Row],[quantidade]]*TbReceitas[[#This Row],[preco_unitario]]</f>
        <v>180</v>
      </c>
      <c r="H304" t="str">
        <f>TEXT(TbReceitas[[#This Row],[data_transacao]], "aaaa-mm")</f>
        <v>2026-05</v>
      </c>
    </row>
    <row r="305" spans="1:8">
      <c r="A305">
        <v>304</v>
      </c>
      <c r="B305" s="1">
        <v>45713</v>
      </c>
      <c r="C305" t="s">
        <v>971</v>
      </c>
      <c r="D305" t="s">
        <v>222</v>
      </c>
      <c r="E305">
        <v>5</v>
      </c>
      <c r="F305">
        <v>21814</v>
      </c>
      <c r="G305">
        <f>TbReceitas[[#This Row],[quantidade]]*TbReceitas[[#This Row],[preco_unitario]]</f>
        <v>109070</v>
      </c>
      <c r="H305" t="str">
        <f>TEXT(TbReceitas[[#This Row],[data_transacao]], "aaaa-mm")</f>
        <v>2025-02</v>
      </c>
    </row>
    <row r="306" spans="1:8">
      <c r="A306">
        <v>305</v>
      </c>
      <c r="B306" s="1">
        <v>45742</v>
      </c>
      <c r="C306" t="s">
        <v>972</v>
      </c>
      <c r="D306" t="s">
        <v>699</v>
      </c>
      <c r="E306">
        <v>2</v>
      </c>
      <c r="F306">
        <v>12969</v>
      </c>
      <c r="G306">
        <f>TbReceitas[[#This Row],[quantidade]]*TbReceitas[[#This Row],[preco_unitario]]</f>
        <v>25938</v>
      </c>
      <c r="H306" t="str">
        <f>TEXT(TbReceitas[[#This Row],[data_transacao]], "aaaa-mm")</f>
        <v>2025-03</v>
      </c>
    </row>
    <row r="307" spans="1:8">
      <c r="A307">
        <v>306</v>
      </c>
      <c r="B307" s="1">
        <v>45787</v>
      </c>
      <c r="C307" t="s">
        <v>946</v>
      </c>
      <c r="D307" t="s">
        <v>217</v>
      </c>
      <c r="E307">
        <v>3</v>
      </c>
      <c r="F307">
        <v>4789</v>
      </c>
      <c r="G307">
        <f>TbReceitas[[#This Row],[quantidade]]*TbReceitas[[#This Row],[preco_unitario]]</f>
        <v>14367</v>
      </c>
      <c r="H307" t="str">
        <f>TEXT(TbReceitas[[#This Row],[data_transacao]], "aaaa-mm")</f>
        <v>2025-05</v>
      </c>
    </row>
    <row r="308" spans="1:8">
      <c r="A308">
        <v>307</v>
      </c>
      <c r="B308" s="1">
        <v>45547</v>
      </c>
      <c r="C308" t="s">
        <v>973</v>
      </c>
      <c r="D308" t="s">
        <v>516</v>
      </c>
      <c r="E308">
        <v>2</v>
      </c>
      <c r="F308">
        <v>4039</v>
      </c>
      <c r="G308">
        <f>TbReceitas[[#This Row],[quantidade]]*TbReceitas[[#This Row],[preco_unitario]]</f>
        <v>8078</v>
      </c>
      <c r="H308" t="str">
        <f>TEXT(TbReceitas[[#This Row],[data_transacao]], "aaaa-mm")</f>
        <v>2024-09</v>
      </c>
    </row>
    <row r="309" spans="1:8">
      <c r="A309">
        <v>308</v>
      </c>
      <c r="B309" s="1">
        <v>46071</v>
      </c>
      <c r="C309" t="s">
        <v>974</v>
      </c>
      <c r="D309" t="s">
        <v>285</v>
      </c>
      <c r="E309">
        <v>3</v>
      </c>
      <c r="F309">
        <v>23725</v>
      </c>
      <c r="G309">
        <f>TbReceitas[[#This Row],[quantidade]]*TbReceitas[[#This Row],[preco_unitario]]</f>
        <v>71175</v>
      </c>
      <c r="H309" t="str">
        <f>TEXT(TbReceitas[[#This Row],[data_transacao]], "aaaa-mm")</f>
        <v>2026-02</v>
      </c>
    </row>
    <row r="310" spans="1:8">
      <c r="A310">
        <v>309</v>
      </c>
      <c r="B310" s="1">
        <v>45555</v>
      </c>
      <c r="C310" t="s">
        <v>975</v>
      </c>
      <c r="D310" t="s">
        <v>225</v>
      </c>
      <c r="E310">
        <v>1</v>
      </c>
      <c r="F310">
        <v>17354</v>
      </c>
      <c r="G310">
        <f>TbReceitas[[#This Row],[quantidade]]*TbReceitas[[#This Row],[preco_unitario]]</f>
        <v>17354</v>
      </c>
      <c r="H310" t="str">
        <f>TEXT(TbReceitas[[#This Row],[data_transacao]], "aaaa-mm")</f>
        <v>2024-09</v>
      </c>
    </row>
    <row r="311" spans="1:8">
      <c r="A311">
        <v>310</v>
      </c>
      <c r="B311" s="1">
        <v>46147</v>
      </c>
      <c r="C311" t="s">
        <v>976</v>
      </c>
      <c r="D311" t="s">
        <v>283</v>
      </c>
      <c r="E311">
        <v>2</v>
      </c>
      <c r="F311">
        <v>12218</v>
      </c>
      <c r="G311">
        <f>TbReceitas[[#This Row],[quantidade]]*TbReceitas[[#This Row],[preco_unitario]]</f>
        <v>24436</v>
      </c>
      <c r="H311" t="str">
        <f>TEXT(TbReceitas[[#This Row],[data_transacao]], "aaaa-mm")</f>
        <v>2026-05</v>
      </c>
    </row>
    <row r="312" spans="1:8">
      <c r="A312">
        <v>311</v>
      </c>
      <c r="B312" s="1">
        <v>45662</v>
      </c>
      <c r="C312" t="s">
        <v>977</v>
      </c>
      <c r="D312" t="s">
        <v>214</v>
      </c>
      <c r="E312">
        <v>2</v>
      </c>
      <c r="F312">
        <v>11351</v>
      </c>
      <c r="G312">
        <f>TbReceitas[[#This Row],[quantidade]]*TbReceitas[[#This Row],[preco_unitario]]</f>
        <v>22702</v>
      </c>
      <c r="H312" t="str">
        <f>TEXT(TbReceitas[[#This Row],[data_transacao]], "aaaa-mm")</f>
        <v>2025-01</v>
      </c>
    </row>
    <row r="313" spans="1:8">
      <c r="A313">
        <v>312</v>
      </c>
      <c r="B313" s="1">
        <v>45772</v>
      </c>
      <c r="C313" t="s">
        <v>978</v>
      </c>
      <c r="D313" t="s">
        <v>134</v>
      </c>
      <c r="E313">
        <v>4</v>
      </c>
      <c r="F313">
        <v>12384</v>
      </c>
      <c r="G313">
        <f>TbReceitas[[#This Row],[quantidade]]*TbReceitas[[#This Row],[preco_unitario]]</f>
        <v>49536</v>
      </c>
      <c r="H313" t="str">
        <f>TEXT(TbReceitas[[#This Row],[data_transacao]], "aaaa-mm")</f>
        <v>2025-04</v>
      </c>
    </row>
    <row r="314" spans="1:8">
      <c r="A314">
        <v>313</v>
      </c>
      <c r="B314" s="1">
        <v>45991</v>
      </c>
      <c r="C314" t="s">
        <v>979</v>
      </c>
      <c r="D314" t="s">
        <v>410</v>
      </c>
      <c r="E314">
        <v>3</v>
      </c>
      <c r="F314">
        <v>11982</v>
      </c>
      <c r="G314">
        <f>TbReceitas[[#This Row],[quantidade]]*TbReceitas[[#This Row],[preco_unitario]]</f>
        <v>35946</v>
      </c>
      <c r="H314" t="str">
        <f>TEXT(TbReceitas[[#This Row],[data_transacao]], "aaaa-mm")</f>
        <v>2025-11</v>
      </c>
    </row>
    <row r="315" spans="1:8">
      <c r="A315">
        <v>314</v>
      </c>
      <c r="B315" s="1">
        <v>45951</v>
      </c>
      <c r="C315" t="s">
        <v>821</v>
      </c>
      <c r="D315" t="s">
        <v>551</v>
      </c>
      <c r="E315">
        <v>1</v>
      </c>
      <c r="F315">
        <v>15993</v>
      </c>
      <c r="G315">
        <f>TbReceitas[[#This Row],[quantidade]]*TbReceitas[[#This Row],[preco_unitario]]</f>
        <v>15993</v>
      </c>
      <c r="H315" t="str">
        <f>TEXT(TbReceitas[[#This Row],[data_transacao]], "aaaa-mm")</f>
        <v>2025-10</v>
      </c>
    </row>
    <row r="316" spans="1:8">
      <c r="A316">
        <v>315</v>
      </c>
      <c r="B316" s="1">
        <v>45620</v>
      </c>
      <c r="C316" t="s">
        <v>980</v>
      </c>
      <c r="D316" t="s">
        <v>345</v>
      </c>
      <c r="E316">
        <v>2</v>
      </c>
      <c r="F316">
        <v>2298</v>
      </c>
      <c r="G316">
        <f>TbReceitas[[#This Row],[quantidade]]*TbReceitas[[#This Row],[preco_unitario]]</f>
        <v>4596</v>
      </c>
      <c r="H316" t="str">
        <f>TEXT(TbReceitas[[#This Row],[data_transacao]], "aaaa-mm")</f>
        <v>2024-11</v>
      </c>
    </row>
    <row r="317" spans="1:8">
      <c r="A317">
        <v>316</v>
      </c>
      <c r="B317" s="1">
        <v>45898</v>
      </c>
      <c r="C317" t="s">
        <v>723</v>
      </c>
      <c r="D317" t="s">
        <v>502</v>
      </c>
      <c r="E317">
        <v>3</v>
      </c>
      <c r="F317">
        <v>18946</v>
      </c>
      <c r="G317">
        <f>TbReceitas[[#This Row],[quantidade]]*TbReceitas[[#This Row],[preco_unitario]]</f>
        <v>56838</v>
      </c>
      <c r="H317" t="str">
        <f>TEXT(TbReceitas[[#This Row],[data_transacao]], "aaaa-mm")</f>
        <v>2025-08</v>
      </c>
    </row>
    <row r="318" spans="1:8">
      <c r="A318">
        <v>317</v>
      </c>
      <c r="B318" s="1">
        <v>46100</v>
      </c>
      <c r="C318" t="s">
        <v>981</v>
      </c>
      <c r="D318" t="s">
        <v>72</v>
      </c>
      <c r="E318">
        <v>5</v>
      </c>
      <c r="F318">
        <v>22215</v>
      </c>
      <c r="G318">
        <f>TbReceitas[[#This Row],[quantidade]]*TbReceitas[[#This Row],[preco_unitario]]</f>
        <v>111075</v>
      </c>
      <c r="H318" t="str">
        <f>TEXT(TbReceitas[[#This Row],[data_transacao]], "aaaa-mm")</f>
        <v>2026-03</v>
      </c>
    </row>
    <row r="319" spans="1:8">
      <c r="A319">
        <v>318</v>
      </c>
      <c r="B319" s="1">
        <v>45835</v>
      </c>
      <c r="C319" t="s">
        <v>982</v>
      </c>
      <c r="D319" t="s">
        <v>152</v>
      </c>
      <c r="E319">
        <v>3</v>
      </c>
      <c r="F319">
        <v>23714</v>
      </c>
      <c r="G319">
        <f>TbReceitas[[#This Row],[quantidade]]*TbReceitas[[#This Row],[preco_unitario]]</f>
        <v>71142</v>
      </c>
      <c r="H319" t="str">
        <f>TEXT(TbReceitas[[#This Row],[data_transacao]], "aaaa-mm")</f>
        <v>2025-06</v>
      </c>
    </row>
    <row r="320" spans="1:8">
      <c r="A320">
        <v>319</v>
      </c>
      <c r="B320" s="1">
        <v>46132</v>
      </c>
      <c r="C320" t="s">
        <v>983</v>
      </c>
      <c r="D320" t="s">
        <v>16</v>
      </c>
      <c r="E320">
        <v>4</v>
      </c>
      <c r="F320">
        <v>19899</v>
      </c>
      <c r="G320">
        <f>TbReceitas[[#This Row],[quantidade]]*TbReceitas[[#This Row],[preco_unitario]]</f>
        <v>79596</v>
      </c>
      <c r="H320" t="str">
        <f>TEXT(TbReceitas[[#This Row],[data_transacao]], "aaaa-mm")</f>
        <v>2026-04</v>
      </c>
    </row>
    <row r="321" spans="1:8">
      <c r="A321">
        <v>320</v>
      </c>
      <c r="B321" s="1">
        <v>45573</v>
      </c>
      <c r="C321" t="s">
        <v>984</v>
      </c>
      <c r="D321" t="s">
        <v>201</v>
      </c>
      <c r="E321">
        <v>1</v>
      </c>
      <c r="F321">
        <v>22649</v>
      </c>
      <c r="G321">
        <f>TbReceitas[[#This Row],[quantidade]]*TbReceitas[[#This Row],[preco_unitario]]</f>
        <v>22649</v>
      </c>
      <c r="H321" t="str">
        <f>TEXT(TbReceitas[[#This Row],[data_transacao]], "aaaa-mm")</f>
        <v>2024-10</v>
      </c>
    </row>
    <row r="322" spans="1:8">
      <c r="A322">
        <v>321</v>
      </c>
      <c r="B322" s="1">
        <v>45690</v>
      </c>
      <c r="C322" t="s">
        <v>985</v>
      </c>
      <c r="D322" t="s">
        <v>559</v>
      </c>
      <c r="E322">
        <v>2</v>
      </c>
      <c r="F322">
        <v>482</v>
      </c>
      <c r="G322">
        <f>TbReceitas[[#This Row],[quantidade]]*TbReceitas[[#This Row],[preco_unitario]]</f>
        <v>964</v>
      </c>
      <c r="H322" t="str">
        <f>TEXT(TbReceitas[[#This Row],[data_transacao]], "aaaa-mm")</f>
        <v>2025-02</v>
      </c>
    </row>
    <row r="323" spans="1:8">
      <c r="A323">
        <v>322</v>
      </c>
      <c r="B323" s="1">
        <v>45837</v>
      </c>
      <c r="C323" t="s">
        <v>986</v>
      </c>
      <c r="D323" t="s">
        <v>215</v>
      </c>
      <c r="E323">
        <v>4</v>
      </c>
      <c r="F323">
        <v>6467</v>
      </c>
      <c r="G323">
        <f>TbReceitas[[#This Row],[quantidade]]*TbReceitas[[#This Row],[preco_unitario]]</f>
        <v>25868</v>
      </c>
      <c r="H323" t="str">
        <f>TEXT(TbReceitas[[#This Row],[data_transacao]], "aaaa-mm")</f>
        <v>2025-06</v>
      </c>
    </row>
    <row r="324" spans="1:8">
      <c r="A324">
        <v>323</v>
      </c>
      <c r="B324" s="1">
        <v>46273</v>
      </c>
      <c r="C324" t="s">
        <v>974</v>
      </c>
      <c r="D324" t="s">
        <v>590</v>
      </c>
      <c r="E324">
        <v>3</v>
      </c>
      <c r="F324">
        <v>195</v>
      </c>
      <c r="G324">
        <f>TbReceitas[[#This Row],[quantidade]]*TbReceitas[[#This Row],[preco_unitario]]</f>
        <v>585</v>
      </c>
      <c r="H324" t="str">
        <f>TEXT(TbReceitas[[#This Row],[data_transacao]], "aaaa-mm")</f>
        <v>2026-09</v>
      </c>
    </row>
    <row r="325" spans="1:8">
      <c r="A325">
        <v>324</v>
      </c>
      <c r="B325" s="1">
        <v>46085</v>
      </c>
      <c r="C325" t="s">
        <v>987</v>
      </c>
      <c r="D325" t="s">
        <v>263</v>
      </c>
      <c r="E325">
        <v>1</v>
      </c>
      <c r="F325">
        <v>18249</v>
      </c>
      <c r="G325">
        <f>TbReceitas[[#This Row],[quantidade]]*TbReceitas[[#This Row],[preco_unitario]]</f>
        <v>18249</v>
      </c>
      <c r="H325" t="str">
        <f>TEXT(TbReceitas[[#This Row],[data_transacao]], "aaaa-mm")</f>
        <v>2026-03</v>
      </c>
    </row>
    <row r="326" spans="1:8">
      <c r="A326">
        <v>325</v>
      </c>
      <c r="B326" s="1">
        <v>45640</v>
      </c>
      <c r="C326" t="s">
        <v>988</v>
      </c>
      <c r="D326" t="s">
        <v>688</v>
      </c>
      <c r="E326">
        <v>5</v>
      </c>
      <c r="F326">
        <v>24347</v>
      </c>
      <c r="G326">
        <f>TbReceitas[[#This Row],[quantidade]]*TbReceitas[[#This Row],[preco_unitario]]</f>
        <v>121735</v>
      </c>
      <c r="H326" t="str">
        <f>TEXT(TbReceitas[[#This Row],[data_transacao]], "aaaa-mm")</f>
        <v>2024-12</v>
      </c>
    </row>
    <row r="327" spans="1:8">
      <c r="A327">
        <v>326</v>
      </c>
      <c r="B327" s="1">
        <v>45547</v>
      </c>
      <c r="C327" t="s">
        <v>989</v>
      </c>
      <c r="D327" t="s">
        <v>95</v>
      </c>
      <c r="E327">
        <v>5</v>
      </c>
      <c r="F327">
        <v>23586</v>
      </c>
      <c r="G327">
        <f>TbReceitas[[#This Row],[quantidade]]*TbReceitas[[#This Row],[preco_unitario]]</f>
        <v>117930</v>
      </c>
      <c r="H327" t="str">
        <f>TEXT(TbReceitas[[#This Row],[data_transacao]], "aaaa-mm")</f>
        <v>2024-09</v>
      </c>
    </row>
    <row r="328" spans="1:8">
      <c r="A328">
        <v>327</v>
      </c>
      <c r="B328" s="1">
        <v>46041</v>
      </c>
      <c r="C328" t="s">
        <v>990</v>
      </c>
      <c r="D328" t="s">
        <v>301</v>
      </c>
      <c r="E328">
        <v>1</v>
      </c>
      <c r="F328">
        <v>13322</v>
      </c>
      <c r="G328">
        <f>TbReceitas[[#This Row],[quantidade]]*TbReceitas[[#This Row],[preco_unitario]]</f>
        <v>13322</v>
      </c>
      <c r="H328" t="str">
        <f>TEXT(TbReceitas[[#This Row],[data_transacao]], "aaaa-mm")</f>
        <v>2026-01</v>
      </c>
    </row>
    <row r="329" spans="1:8">
      <c r="A329">
        <v>328</v>
      </c>
      <c r="B329" s="1">
        <v>46269</v>
      </c>
      <c r="C329" t="s">
        <v>991</v>
      </c>
      <c r="D329" t="s">
        <v>148</v>
      </c>
      <c r="E329">
        <v>2</v>
      </c>
      <c r="F329">
        <v>20605</v>
      </c>
      <c r="G329">
        <f>TbReceitas[[#This Row],[quantidade]]*TbReceitas[[#This Row],[preco_unitario]]</f>
        <v>41210</v>
      </c>
      <c r="H329" t="str">
        <f>TEXT(TbReceitas[[#This Row],[data_transacao]], "aaaa-mm")</f>
        <v>2026-09</v>
      </c>
    </row>
    <row r="330" spans="1:8">
      <c r="A330">
        <v>329</v>
      </c>
      <c r="B330" s="1">
        <v>45590</v>
      </c>
      <c r="C330" t="s">
        <v>992</v>
      </c>
      <c r="D330" t="s">
        <v>606</v>
      </c>
      <c r="E330">
        <v>4</v>
      </c>
      <c r="F330">
        <v>7402</v>
      </c>
      <c r="G330">
        <f>TbReceitas[[#This Row],[quantidade]]*TbReceitas[[#This Row],[preco_unitario]]</f>
        <v>29608</v>
      </c>
      <c r="H330" t="str">
        <f>TEXT(TbReceitas[[#This Row],[data_transacao]], "aaaa-mm")</f>
        <v>2024-10</v>
      </c>
    </row>
    <row r="331" spans="1:8">
      <c r="A331">
        <v>330</v>
      </c>
      <c r="B331" s="1">
        <v>45718</v>
      </c>
      <c r="C331" t="s">
        <v>993</v>
      </c>
      <c r="D331" t="s">
        <v>451</v>
      </c>
      <c r="E331">
        <v>2</v>
      </c>
      <c r="F331">
        <v>17205</v>
      </c>
      <c r="G331">
        <f>TbReceitas[[#This Row],[quantidade]]*TbReceitas[[#This Row],[preco_unitario]]</f>
        <v>34410</v>
      </c>
      <c r="H331" t="str">
        <f>TEXT(TbReceitas[[#This Row],[data_transacao]], "aaaa-mm")</f>
        <v>2025-03</v>
      </c>
    </row>
    <row r="332" spans="1:8">
      <c r="A332">
        <v>331</v>
      </c>
      <c r="B332" s="1">
        <v>46099</v>
      </c>
      <c r="C332" t="s">
        <v>789</v>
      </c>
      <c r="D332" t="s">
        <v>352</v>
      </c>
      <c r="E332">
        <v>5</v>
      </c>
      <c r="F332">
        <v>9748</v>
      </c>
      <c r="G332">
        <f>TbReceitas[[#This Row],[quantidade]]*TbReceitas[[#This Row],[preco_unitario]]</f>
        <v>48740</v>
      </c>
      <c r="H332" t="str">
        <f>TEXT(TbReceitas[[#This Row],[data_transacao]], "aaaa-mm")</f>
        <v>2026-03</v>
      </c>
    </row>
    <row r="333" spans="1:8">
      <c r="A333">
        <v>332</v>
      </c>
      <c r="B333" s="1">
        <v>45635</v>
      </c>
      <c r="C333" t="s">
        <v>994</v>
      </c>
      <c r="D333" t="s">
        <v>45</v>
      </c>
      <c r="E333">
        <v>3</v>
      </c>
      <c r="F333">
        <v>17287</v>
      </c>
      <c r="G333">
        <f>TbReceitas[[#This Row],[quantidade]]*TbReceitas[[#This Row],[preco_unitario]]</f>
        <v>51861</v>
      </c>
      <c r="H333" t="str">
        <f>TEXT(TbReceitas[[#This Row],[data_transacao]], "aaaa-mm")</f>
        <v>2024-12</v>
      </c>
    </row>
    <row r="334" spans="1:8">
      <c r="A334">
        <v>333</v>
      </c>
      <c r="B334" s="1">
        <v>45785</v>
      </c>
      <c r="C334" t="s">
        <v>748</v>
      </c>
      <c r="D334" t="s">
        <v>315</v>
      </c>
      <c r="E334">
        <v>1</v>
      </c>
      <c r="F334">
        <v>9033</v>
      </c>
      <c r="G334">
        <f>TbReceitas[[#This Row],[quantidade]]*TbReceitas[[#This Row],[preco_unitario]]</f>
        <v>9033</v>
      </c>
      <c r="H334" t="str">
        <f>TEXT(TbReceitas[[#This Row],[data_transacao]], "aaaa-mm")</f>
        <v>2025-05</v>
      </c>
    </row>
    <row r="335" spans="1:8">
      <c r="A335">
        <v>334</v>
      </c>
      <c r="B335" s="1">
        <v>45921</v>
      </c>
      <c r="C335" t="s">
        <v>995</v>
      </c>
      <c r="D335" t="s">
        <v>834</v>
      </c>
      <c r="E335">
        <v>1</v>
      </c>
      <c r="F335">
        <v>19601</v>
      </c>
      <c r="G335">
        <f>TbReceitas[[#This Row],[quantidade]]*TbReceitas[[#This Row],[preco_unitario]]</f>
        <v>19601</v>
      </c>
      <c r="H335" t="str">
        <f>TEXT(TbReceitas[[#This Row],[data_transacao]], "aaaa-mm")</f>
        <v>2025-09</v>
      </c>
    </row>
    <row r="336" spans="1:8">
      <c r="A336">
        <v>335</v>
      </c>
      <c r="B336" s="1">
        <v>45602</v>
      </c>
      <c r="C336" t="s">
        <v>996</v>
      </c>
      <c r="D336" t="s">
        <v>203</v>
      </c>
      <c r="E336">
        <v>2</v>
      </c>
      <c r="F336">
        <v>1934</v>
      </c>
      <c r="G336">
        <f>TbReceitas[[#This Row],[quantidade]]*TbReceitas[[#This Row],[preco_unitario]]</f>
        <v>3868</v>
      </c>
      <c r="H336" t="str">
        <f>TEXT(TbReceitas[[#This Row],[data_transacao]], "aaaa-mm")</f>
        <v>2024-11</v>
      </c>
    </row>
    <row r="337" spans="1:8">
      <c r="A337">
        <v>336</v>
      </c>
      <c r="B337" s="1">
        <v>46239</v>
      </c>
      <c r="C337" t="s">
        <v>997</v>
      </c>
      <c r="D337" t="s">
        <v>387</v>
      </c>
      <c r="E337">
        <v>5</v>
      </c>
      <c r="F337">
        <v>16353</v>
      </c>
      <c r="G337">
        <f>TbReceitas[[#This Row],[quantidade]]*TbReceitas[[#This Row],[preco_unitario]]</f>
        <v>81765</v>
      </c>
      <c r="H337" t="str">
        <f>TEXT(TbReceitas[[#This Row],[data_transacao]], "aaaa-mm")</f>
        <v>2026-08</v>
      </c>
    </row>
    <row r="338" spans="1:8">
      <c r="A338">
        <v>337</v>
      </c>
      <c r="B338" s="1">
        <v>46077</v>
      </c>
      <c r="C338" t="s">
        <v>998</v>
      </c>
      <c r="D338" t="s">
        <v>665</v>
      </c>
      <c r="E338">
        <v>4</v>
      </c>
      <c r="F338">
        <v>2409</v>
      </c>
      <c r="G338">
        <f>TbReceitas[[#This Row],[quantidade]]*TbReceitas[[#This Row],[preco_unitario]]</f>
        <v>9636</v>
      </c>
      <c r="H338" t="str">
        <f>TEXT(TbReceitas[[#This Row],[data_transacao]], "aaaa-mm")</f>
        <v>2026-02</v>
      </c>
    </row>
    <row r="339" spans="1:8">
      <c r="A339">
        <v>338</v>
      </c>
      <c r="B339" s="1">
        <v>46013</v>
      </c>
      <c r="C339" t="s">
        <v>999</v>
      </c>
      <c r="D339" t="s">
        <v>1000</v>
      </c>
      <c r="E339">
        <v>2</v>
      </c>
      <c r="F339">
        <v>21329</v>
      </c>
      <c r="G339">
        <f>TbReceitas[[#This Row],[quantidade]]*TbReceitas[[#This Row],[preco_unitario]]</f>
        <v>42658</v>
      </c>
      <c r="H339" t="str">
        <f>TEXT(TbReceitas[[#This Row],[data_transacao]], "aaaa-mm")</f>
        <v>2025-12</v>
      </c>
    </row>
    <row r="340" spans="1:8">
      <c r="A340">
        <v>339</v>
      </c>
      <c r="B340" s="1">
        <v>45995</v>
      </c>
      <c r="C340" t="s">
        <v>1001</v>
      </c>
      <c r="D340" t="s">
        <v>579</v>
      </c>
      <c r="E340">
        <v>3</v>
      </c>
      <c r="F340">
        <v>4385</v>
      </c>
      <c r="G340">
        <f>TbReceitas[[#This Row],[quantidade]]*TbReceitas[[#This Row],[preco_unitario]]</f>
        <v>13155</v>
      </c>
      <c r="H340" t="str">
        <f>TEXT(TbReceitas[[#This Row],[data_transacao]], "aaaa-mm")</f>
        <v>2025-12</v>
      </c>
    </row>
    <row r="341" spans="1:8">
      <c r="A341">
        <v>340</v>
      </c>
      <c r="B341" s="1">
        <v>45920</v>
      </c>
      <c r="C341" t="s">
        <v>801</v>
      </c>
      <c r="D341" t="s">
        <v>184</v>
      </c>
      <c r="E341">
        <v>5</v>
      </c>
      <c r="F341">
        <v>18728</v>
      </c>
      <c r="G341">
        <f>TbReceitas[[#This Row],[quantidade]]*TbReceitas[[#This Row],[preco_unitario]]</f>
        <v>93640</v>
      </c>
      <c r="H341" t="str">
        <f>TEXT(TbReceitas[[#This Row],[data_transacao]], "aaaa-mm")</f>
        <v>2025-09</v>
      </c>
    </row>
    <row r="342" spans="1:8">
      <c r="A342">
        <v>341</v>
      </c>
      <c r="B342" s="1">
        <v>45914</v>
      </c>
      <c r="C342" t="s">
        <v>1002</v>
      </c>
      <c r="D342" t="s">
        <v>428</v>
      </c>
      <c r="E342">
        <v>5</v>
      </c>
      <c r="F342">
        <v>19405</v>
      </c>
      <c r="G342">
        <f>TbReceitas[[#This Row],[quantidade]]*TbReceitas[[#This Row],[preco_unitario]]</f>
        <v>97025</v>
      </c>
      <c r="H342" t="str">
        <f>TEXT(TbReceitas[[#This Row],[data_transacao]], "aaaa-mm")</f>
        <v>2025-09</v>
      </c>
    </row>
    <row r="343" spans="1:8">
      <c r="A343">
        <v>342</v>
      </c>
      <c r="B343" s="1">
        <v>45937</v>
      </c>
      <c r="C343" t="s">
        <v>1003</v>
      </c>
      <c r="D343" t="s">
        <v>312</v>
      </c>
      <c r="E343">
        <v>2</v>
      </c>
      <c r="F343">
        <v>24217</v>
      </c>
      <c r="G343">
        <f>TbReceitas[[#This Row],[quantidade]]*TbReceitas[[#This Row],[preco_unitario]]</f>
        <v>48434</v>
      </c>
      <c r="H343" t="str">
        <f>TEXT(TbReceitas[[#This Row],[data_transacao]], "aaaa-mm")</f>
        <v>2025-10</v>
      </c>
    </row>
    <row r="344" spans="1:8">
      <c r="A344">
        <v>343</v>
      </c>
      <c r="B344" s="1">
        <v>46183</v>
      </c>
      <c r="C344" t="s">
        <v>1004</v>
      </c>
      <c r="D344" t="s">
        <v>212</v>
      </c>
      <c r="E344">
        <v>1</v>
      </c>
      <c r="F344">
        <v>6603</v>
      </c>
      <c r="G344">
        <f>TbReceitas[[#This Row],[quantidade]]*TbReceitas[[#This Row],[preco_unitario]]</f>
        <v>6603</v>
      </c>
      <c r="H344" t="str">
        <f>TEXT(TbReceitas[[#This Row],[data_transacao]], "aaaa-mm")</f>
        <v>2026-06</v>
      </c>
    </row>
    <row r="345" spans="1:8">
      <c r="A345">
        <v>344</v>
      </c>
      <c r="B345" s="1">
        <v>46240</v>
      </c>
      <c r="C345" t="s">
        <v>913</v>
      </c>
      <c r="D345" t="s">
        <v>438</v>
      </c>
      <c r="E345">
        <v>4</v>
      </c>
      <c r="F345">
        <v>5413</v>
      </c>
      <c r="G345">
        <f>TbReceitas[[#This Row],[quantidade]]*TbReceitas[[#This Row],[preco_unitario]]</f>
        <v>21652</v>
      </c>
      <c r="H345" t="str">
        <f>TEXT(TbReceitas[[#This Row],[data_transacao]], "aaaa-mm")</f>
        <v>2026-08</v>
      </c>
    </row>
    <row r="346" spans="1:8">
      <c r="A346">
        <v>345</v>
      </c>
      <c r="B346" s="1">
        <v>45763</v>
      </c>
      <c r="C346" t="s">
        <v>934</v>
      </c>
      <c r="D346" t="s">
        <v>360</v>
      </c>
      <c r="E346">
        <v>3</v>
      </c>
      <c r="F346">
        <v>8663</v>
      </c>
      <c r="G346">
        <f>TbReceitas[[#This Row],[quantidade]]*TbReceitas[[#This Row],[preco_unitario]]</f>
        <v>25989</v>
      </c>
      <c r="H346" t="str">
        <f>TEXT(TbReceitas[[#This Row],[data_transacao]], "aaaa-mm")</f>
        <v>2025-04</v>
      </c>
    </row>
    <row r="347" spans="1:8">
      <c r="A347">
        <v>346</v>
      </c>
      <c r="B347" s="1">
        <v>45644</v>
      </c>
      <c r="C347" t="s">
        <v>1005</v>
      </c>
      <c r="D347" t="s">
        <v>47</v>
      </c>
      <c r="E347">
        <v>5</v>
      </c>
      <c r="F347">
        <v>854</v>
      </c>
      <c r="G347">
        <f>TbReceitas[[#This Row],[quantidade]]*TbReceitas[[#This Row],[preco_unitario]]</f>
        <v>4270</v>
      </c>
      <c r="H347" t="str">
        <f>TEXT(TbReceitas[[#This Row],[data_transacao]], "aaaa-mm")</f>
        <v>2024-12</v>
      </c>
    </row>
    <row r="348" spans="1:8">
      <c r="A348">
        <v>347</v>
      </c>
      <c r="B348" s="1">
        <v>46248</v>
      </c>
      <c r="C348" t="s">
        <v>1006</v>
      </c>
      <c r="D348" t="s">
        <v>722</v>
      </c>
      <c r="E348">
        <v>4</v>
      </c>
      <c r="F348">
        <v>1511</v>
      </c>
      <c r="G348">
        <f>TbReceitas[[#This Row],[quantidade]]*TbReceitas[[#This Row],[preco_unitario]]</f>
        <v>6044</v>
      </c>
      <c r="H348" t="str">
        <f>TEXT(TbReceitas[[#This Row],[data_transacao]], "aaaa-mm")</f>
        <v>2026-08</v>
      </c>
    </row>
    <row r="349" spans="1:8">
      <c r="A349">
        <v>348</v>
      </c>
      <c r="B349" s="1">
        <v>45708</v>
      </c>
      <c r="C349" t="s">
        <v>875</v>
      </c>
      <c r="D349" t="s">
        <v>497</v>
      </c>
      <c r="E349">
        <v>5</v>
      </c>
      <c r="F349">
        <v>16615</v>
      </c>
      <c r="G349">
        <f>TbReceitas[[#This Row],[quantidade]]*TbReceitas[[#This Row],[preco_unitario]]</f>
        <v>83075</v>
      </c>
      <c r="H349" t="str">
        <f>TEXT(TbReceitas[[#This Row],[data_transacao]], "aaaa-mm")</f>
        <v>2025-02</v>
      </c>
    </row>
    <row r="350" spans="1:8">
      <c r="A350">
        <v>349</v>
      </c>
      <c r="B350" s="1">
        <v>45702</v>
      </c>
      <c r="C350" t="s">
        <v>1007</v>
      </c>
      <c r="D350" t="s">
        <v>166</v>
      </c>
      <c r="E350">
        <v>2</v>
      </c>
      <c r="F350">
        <v>323</v>
      </c>
      <c r="G350">
        <f>TbReceitas[[#This Row],[quantidade]]*TbReceitas[[#This Row],[preco_unitario]]</f>
        <v>646</v>
      </c>
      <c r="H350" t="str">
        <f>TEXT(TbReceitas[[#This Row],[data_transacao]], "aaaa-mm")</f>
        <v>2025-02</v>
      </c>
    </row>
    <row r="351" spans="1:8">
      <c r="A351">
        <v>350</v>
      </c>
      <c r="B351" s="1">
        <v>45867</v>
      </c>
      <c r="C351" t="s">
        <v>1008</v>
      </c>
      <c r="D351" t="s">
        <v>72</v>
      </c>
      <c r="E351">
        <v>3</v>
      </c>
      <c r="F351">
        <v>22215</v>
      </c>
      <c r="G351">
        <f>TbReceitas[[#This Row],[quantidade]]*TbReceitas[[#This Row],[preco_unitario]]</f>
        <v>66645</v>
      </c>
      <c r="H351" t="str">
        <f>TEXT(TbReceitas[[#This Row],[data_transacao]], "aaaa-mm")</f>
        <v>2025-07</v>
      </c>
    </row>
    <row r="352" spans="1:8">
      <c r="A352">
        <v>351</v>
      </c>
      <c r="B352" s="1">
        <v>45936</v>
      </c>
      <c r="C352" t="s">
        <v>1009</v>
      </c>
      <c r="D352" t="s">
        <v>182</v>
      </c>
      <c r="E352">
        <v>3</v>
      </c>
      <c r="F352">
        <v>19777</v>
      </c>
      <c r="G352">
        <f>TbReceitas[[#This Row],[quantidade]]*TbReceitas[[#This Row],[preco_unitario]]</f>
        <v>59331</v>
      </c>
      <c r="H352" t="str">
        <f>TEXT(TbReceitas[[#This Row],[data_transacao]], "aaaa-mm")</f>
        <v>2025-10</v>
      </c>
    </row>
    <row r="353" spans="1:8">
      <c r="A353">
        <v>352</v>
      </c>
      <c r="B353" s="1">
        <v>45992</v>
      </c>
      <c r="C353" t="s">
        <v>1010</v>
      </c>
      <c r="D353" t="s">
        <v>638</v>
      </c>
      <c r="E353">
        <v>3</v>
      </c>
      <c r="F353">
        <v>9817</v>
      </c>
      <c r="G353">
        <f>TbReceitas[[#This Row],[quantidade]]*TbReceitas[[#This Row],[preco_unitario]]</f>
        <v>29451</v>
      </c>
      <c r="H353" t="str">
        <f>TEXT(TbReceitas[[#This Row],[data_transacao]], "aaaa-mm")</f>
        <v>2025-12</v>
      </c>
    </row>
    <row r="354" spans="1:8">
      <c r="A354">
        <v>353</v>
      </c>
      <c r="B354" s="1">
        <v>46176</v>
      </c>
      <c r="C354" t="s">
        <v>1011</v>
      </c>
      <c r="D354" t="s">
        <v>347</v>
      </c>
      <c r="E354">
        <v>5</v>
      </c>
      <c r="F354">
        <v>19492</v>
      </c>
      <c r="G354">
        <f>TbReceitas[[#This Row],[quantidade]]*TbReceitas[[#This Row],[preco_unitario]]</f>
        <v>97460</v>
      </c>
      <c r="H354" t="str">
        <f>TEXT(TbReceitas[[#This Row],[data_transacao]], "aaaa-mm")</f>
        <v>2026-06</v>
      </c>
    </row>
    <row r="355" spans="1:8">
      <c r="A355">
        <v>354</v>
      </c>
      <c r="B355" s="1">
        <v>45609</v>
      </c>
      <c r="C355" t="s">
        <v>924</v>
      </c>
      <c r="D355" t="s">
        <v>191</v>
      </c>
      <c r="E355">
        <v>2</v>
      </c>
      <c r="F355">
        <v>18422</v>
      </c>
      <c r="G355">
        <f>TbReceitas[[#This Row],[quantidade]]*TbReceitas[[#This Row],[preco_unitario]]</f>
        <v>36844</v>
      </c>
      <c r="H355" t="str">
        <f>TEXT(TbReceitas[[#This Row],[data_transacao]], "aaaa-mm")</f>
        <v>2024-11</v>
      </c>
    </row>
    <row r="356" spans="1:8">
      <c r="A356">
        <v>355</v>
      </c>
      <c r="B356" s="1">
        <v>45584</v>
      </c>
      <c r="C356" t="s">
        <v>1012</v>
      </c>
      <c r="D356" t="s">
        <v>588</v>
      </c>
      <c r="E356">
        <v>4</v>
      </c>
      <c r="F356">
        <v>15168</v>
      </c>
      <c r="G356">
        <f>TbReceitas[[#This Row],[quantidade]]*TbReceitas[[#This Row],[preco_unitario]]</f>
        <v>60672</v>
      </c>
      <c r="H356" t="str">
        <f>TEXT(TbReceitas[[#This Row],[data_transacao]], "aaaa-mm")</f>
        <v>2024-10</v>
      </c>
    </row>
    <row r="357" spans="1:8">
      <c r="A357">
        <v>356</v>
      </c>
      <c r="B357" s="1">
        <v>45596</v>
      </c>
      <c r="C357" t="s">
        <v>1013</v>
      </c>
      <c r="D357" t="s">
        <v>519</v>
      </c>
      <c r="E357">
        <v>5</v>
      </c>
      <c r="F357">
        <v>5599</v>
      </c>
      <c r="G357">
        <f>TbReceitas[[#This Row],[quantidade]]*TbReceitas[[#This Row],[preco_unitario]]</f>
        <v>27995</v>
      </c>
      <c r="H357" t="str">
        <f>TEXT(TbReceitas[[#This Row],[data_transacao]], "aaaa-mm")</f>
        <v>2024-10</v>
      </c>
    </row>
    <row r="358" spans="1:8">
      <c r="A358">
        <v>357</v>
      </c>
      <c r="B358" s="1">
        <v>45825</v>
      </c>
      <c r="C358" t="s">
        <v>1014</v>
      </c>
      <c r="D358" t="s">
        <v>16</v>
      </c>
      <c r="E358">
        <v>2</v>
      </c>
      <c r="F358">
        <v>19899</v>
      </c>
      <c r="G358">
        <f>TbReceitas[[#This Row],[quantidade]]*TbReceitas[[#This Row],[preco_unitario]]</f>
        <v>39798</v>
      </c>
      <c r="H358" t="str">
        <f>TEXT(TbReceitas[[#This Row],[data_transacao]], "aaaa-mm")</f>
        <v>2025-06</v>
      </c>
    </row>
    <row r="359" spans="1:8">
      <c r="A359">
        <v>358</v>
      </c>
      <c r="B359" s="1">
        <v>45776</v>
      </c>
      <c r="C359" t="s">
        <v>1015</v>
      </c>
      <c r="D359" t="s">
        <v>546</v>
      </c>
      <c r="E359">
        <v>2</v>
      </c>
      <c r="F359">
        <v>21187</v>
      </c>
      <c r="G359">
        <f>TbReceitas[[#This Row],[quantidade]]*TbReceitas[[#This Row],[preco_unitario]]</f>
        <v>42374</v>
      </c>
      <c r="H359" t="str">
        <f>TEXT(TbReceitas[[#This Row],[data_transacao]], "aaaa-mm")</f>
        <v>2025-04</v>
      </c>
    </row>
    <row r="360" spans="1:8">
      <c r="A360">
        <v>359</v>
      </c>
      <c r="B360" s="1">
        <v>46006</v>
      </c>
      <c r="C360" t="s">
        <v>999</v>
      </c>
      <c r="D360" t="s">
        <v>16</v>
      </c>
      <c r="E360">
        <v>2</v>
      </c>
      <c r="F360">
        <v>19899</v>
      </c>
      <c r="G360">
        <f>TbReceitas[[#This Row],[quantidade]]*TbReceitas[[#This Row],[preco_unitario]]</f>
        <v>39798</v>
      </c>
      <c r="H360" t="str">
        <f>TEXT(TbReceitas[[#This Row],[data_transacao]], "aaaa-mm")</f>
        <v>2025-12</v>
      </c>
    </row>
    <row r="361" spans="1:8">
      <c r="A361">
        <v>360</v>
      </c>
      <c r="B361" s="1">
        <v>45848</v>
      </c>
      <c r="C361" t="s">
        <v>987</v>
      </c>
      <c r="D361" t="s">
        <v>10</v>
      </c>
      <c r="E361">
        <v>4</v>
      </c>
      <c r="F361">
        <v>9876</v>
      </c>
      <c r="G361">
        <f>TbReceitas[[#This Row],[quantidade]]*TbReceitas[[#This Row],[preco_unitario]]</f>
        <v>39504</v>
      </c>
      <c r="H361" t="str">
        <f>TEXT(TbReceitas[[#This Row],[data_transacao]], "aaaa-mm")</f>
        <v>2025-07</v>
      </c>
    </row>
    <row r="362" spans="1:8">
      <c r="A362">
        <v>361</v>
      </c>
      <c r="B362" s="1">
        <v>45671</v>
      </c>
      <c r="C362" t="s">
        <v>1016</v>
      </c>
      <c r="D362" t="s">
        <v>259</v>
      </c>
      <c r="E362">
        <v>5</v>
      </c>
      <c r="F362">
        <v>2751</v>
      </c>
      <c r="G362">
        <f>TbReceitas[[#This Row],[quantidade]]*TbReceitas[[#This Row],[preco_unitario]]</f>
        <v>13755</v>
      </c>
      <c r="H362" t="str">
        <f>TEXT(TbReceitas[[#This Row],[data_transacao]], "aaaa-mm")</f>
        <v>2025-01</v>
      </c>
    </row>
    <row r="363" spans="1:8">
      <c r="A363">
        <v>362</v>
      </c>
      <c r="B363" s="1">
        <v>45960</v>
      </c>
      <c r="C363" t="s">
        <v>1017</v>
      </c>
      <c r="D363" t="s">
        <v>253</v>
      </c>
      <c r="E363">
        <v>2</v>
      </c>
      <c r="F363">
        <v>20646</v>
      </c>
      <c r="G363">
        <f>TbReceitas[[#This Row],[quantidade]]*TbReceitas[[#This Row],[preco_unitario]]</f>
        <v>41292</v>
      </c>
      <c r="H363" t="str">
        <f>TEXT(TbReceitas[[#This Row],[data_transacao]], "aaaa-mm")</f>
        <v>2025-10</v>
      </c>
    </row>
    <row r="364" spans="1:8">
      <c r="A364">
        <v>363</v>
      </c>
      <c r="B364" s="1">
        <v>45908</v>
      </c>
      <c r="C364" t="s">
        <v>1018</v>
      </c>
      <c r="D364" t="s">
        <v>502</v>
      </c>
      <c r="E364">
        <v>1</v>
      </c>
      <c r="F364">
        <v>18946</v>
      </c>
      <c r="G364">
        <f>TbReceitas[[#This Row],[quantidade]]*TbReceitas[[#This Row],[preco_unitario]]</f>
        <v>18946</v>
      </c>
      <c r="H364" t="str">
        <f>TEXT(TbReceitas[[#This Row],[data_transacao]], "aaaa-mm")</f>
        <v>2025-09</v>
      </c>
    </row>
    <row r="365" spans="1:8">
      <c r="A365">
        <v>364</v>
      </c>
      <c r="B365" s="1">
        <v>45901</v>
      </c>
      <c r="C365" t="s">
        <v>1019</v>
      </c>
      <c r="D365" t="s">
        <v>601</v>
      </c>
      <c r="E365">
        <v>5</v>
      </c>
      <c r="F365">
        <v>24408</v>
      </c>
      <c r="G365">
        <f>TbReceitas[[#This Row],[quantidade]]*TbReceitas[[#This Row],[preco_unitario]]</f>
        <v>122040</v>
      </c>
      <c r="H365" t="str">
        <f>TEXT(TbReceitas[[#This Row],[data_transacao]], "aaaa-mm")</f>
        <v>2025-09</v>
      </c>
    </row>
    <row r="366" spans="1:8">
      <c r="A366">
        <v>365</v>
      </c>
      <c r="B366" s="1">
        <v>45609</v>
      </c>
      <c r="C366" t="s">
        <v>1020</v>
      </c>
      <c r="D366" t="s">
        <v>672</v>
      </c>
      <c r="E366">
        <v>5</v>
      </c>
      <c r="F366">
        <v>21051</v>
      </c>
      <c r="G366">
        <f>TbReceitas[[#This Row],[quantidade]]*TbReceitas[[#This Row],[preco_unitario]]</f>
        <v>105255</v>
      </c>
      <c r="H366" t="str">
        <f>TEXT(TbReceitas[[#This Row],[data_transacao]], "aaaa-mm")</f>
        <v>2024-11</v>
      </c>
    </row>
    <row r="367" spans="1:8">
      <c r="A367">
        <v>366</v>
      </c>
      <c r="B367" s="1">
        <v>45935</v>
      </c>
      <c r="C367" t="s">
        <v>1021</v>
      </c>
      <c r="D367" t="s">
        <v>402</v>
      </c>
      <c r="E367">
        <v>4</v>
      </c>
      <c r="F367">
        <v>22282</v>
      </c>
      <c r="G367">
        <f>TbReceitas[[#This Row],[quantidade]]*TbReceitas[[#This Row],[preco_unitario]]</f>
        <v>89128</v>
      </c>
      <c r="H367" t="str">
        <f>TEXT(TbReceitas[[#This Row],[data_transacao]], "aaaa-mm")</f>
        <v>2025-10</v>
      </c>
    </row>
    <row r="368" spans="1:8">
      <c r="A368">
        <v>367</v>
      </c>
      <c r="B368" s="1">
        <v>46180</v>
      </c>
      <c r="C368" t="s">
        <v>1022</v>
      </c>
      <c r="D368" t="s">
        <v>432</v>
      </c>
      <c r="E368">
        <v>2</v>
      </c>
      <c r="F368">
        <v>2156</v>
      </c>
      <c r="G368">
        <f>TbReceitas[[#This Row],[quantidade]]*TbReceitas[[#This Row],[preco_unitario]]</f>
        <v>4312</v>
      </c>
      <c r="H368" t="str">
        <f>TEXT(TbReceitas[[#This Row],[data_transacao]], "aaaa-mm")</f>
        <v>2026-06</v>
      </c>
    </row>
    <row r="369" spans="1:8">
      <c r="A369">
        <v>368</v>
      </c>
      <c r="B369" s="1">
        <v>45801</v>
      </c>
      <c r="C369" t="s">
        <v>1023</v>
      </c>
      <c r="D369" t="s">
        <v>75</v>
      </c>
      <c r="E369">
        <v>3</v>
      </c>
      <c r="F369">
        <v>2558</v>
      </c>
      <c r="G369">
        <f>TbReceitas[[#This Row],[quantidade]]*TbReceitas[[#This Row],[preco_unitario]]</f>
        <v>7674</v>
      </c>
      <c r="H369" t="str">
        <f>TEXT(TbReceitas[[#This Row],[data_transacao]], "aaaa-mm")</f>
        <v>2025-05</v>
      </c>
    </row>
    <row r="370" spans="1:8">
      <c r="A370">
        <v>369</v>
      </c>
      <c r="B370" s="1">
        <v>45564</v>
      </c>
      <c r="C370" t="s">
        <v>756</v>
      </c>
      <c r="D370" t="s">
        <v>574</v>
      </c>
      <c r="E370">
        <v>1</v>
      </c>
      <c r="F370">
        <v>19723</v>
      </c>
      <c r="G370">
        <f>TbReceitas[[#This Row],[quantidade]]*TbReceitas[[#This Row],[preco_unitario]]</f>
        <v>19723</v>
      </c>
      <c r="H370" t="str">
        <f>TEXT(TbReceitas[[#This Row],[data_transacao]], "aaaa-mm")</f>
        <v>2024-09</v>
      </c>
    </row>
    <row r="371" spans="1:8">
      <c r="A371">
        <v>370</v>
      </c>
      <c r="B371" s="1">
        <v>45896</v>
      </c>
      <c r="C371" t="s">
        <v>1024</v>
      </c>
      <c r="D371" t="s">
        <v>252</v>
      </c>
      <c r="E371">
        <v>3</v>
      </c>
      <c r="F371">
        <v>12058</v>
      </c>
      <c r="G371">
        <f>TbReceitas[[#This Row],[quantidade]]*TbReceitas[[#This Row],[preco_unitario]]</f>
        <v>36174</v>
      </c>
      <c r="H371" t="str">
        <f>TEXT(TbReceitas[[#This Row],[data_transacao]], "aaaa-mm")</f>
        <v>2025-08</v>
      </c>
    </row>
    <row r="372" spans="1:8">
      <c r="A372">
        <v>371</v>
      </c>
      <c r="B372" s="1">
        <v>45681</v>
      </c>
      <c r="C372" t="s">
        <v>1025</v>
      </c>
      <c r="D372" t="s">
        <v>293</v>
      </c>
      <c r="E372">
        <v>4</v>
      </c>
      <c r="F372">
        <v>7737</v>
      </c>
      <c r="G372">
        <f>TbReceitas[[#This Row],[quantidade]]*TbReceitas[[#This Row],[preco_unitario]]</f>
        <v>30948</v>
      </c>
      <c r="H372" t="str">
        <f>TEXT(TbReceitas[[#This Row],[data_transacao]], "aaaa-mm")</f>
        <v>2025-01</v>
      </c>
    </row>
    <row r="373" spans="1:8">
      <c r="A373">
        <v>372</v>
      </c>
      <c r="B373" s="1">
        <v>45605</v>
      </c>
      <c r="C373" t="s">
        <v>1026</v>
      </c>
      <c r="D373" t="s">
        <v>202</v>
      </c>
      <c r="E373">
        <v>2</v>
      </c>
      <c r="F373">
        <v>8469</v>
      </c>
      <c r="G373">
        <f>TbReceitas[[#This Row],[quantidade]]*TbReceitas[[#This Row],[preco_unitario]]</f>
        <v>16938</v>
      </c>
      <c r="H373" t="str">
        <f>TEXT(TbReceitas[[#This Row],[data_transacao]], "aaaa-mm")</f>
        <v>2024-11</v>
      </c>
    </row>
    <row r="374" spans="1:8">
      <c r="A374">
        <v>373</v>
      </c>
      <c r="B374" s="1">
        <v>45563</v>
      </c>
      <c r="C374" t="s">
        <v>1027</v>
      </c>
      <c r="D374" t="s">
        <v>163</v>
      </c>
      <c r="E374">
        <v>4</v>
      </c>
      <c r="F374">
        <v>562</v>
      </c>
      <c r="G374">
        <f>TbReceitas[[#This Row],[quantidade]]*TbReceitas[[#This Row],[preco_unitario]]</f>
        <v>2248</v>
      </c>
      <c r="H374" t="str">
        <f>TEXT(TbReceitas[[#This Row],[data_transacao]], "aaaa-mm")</f>
        <v>2024-09</v>
      </c>
    </row>
    <row r="375" spans="1:8">
      <c r="A375">
        <v>374</v>
      </c>
      <c r="B375" s="1">
        <v>45880</v>
      </c>
      <c r="C375" t="s">
        <v>886</v>
      </c>
      <c r="D375" t="s">
        <v>288</v>
      </c>
      <c r="E375">
        <v>5</v>
      </c>
      <c r="F375">
        <v>1219</v>
      </c>
      <c r="G375">
        <f>TbReceitas[[#This Row],[quantidade]]*TbReceitas[[#This Row],[preco_unitario]]</f>
        <v>6095</v>
      </c>
      <c r="H375" t="str">
        <f>TEXT(TbReceitas[[#This Row],[data_transacao]], "aaaa-mm")</f>
        <v>2025-08</v>
      </c>
    </row>
    <row r="376" spans="1:8">
      <c r="A376">
        <v>375</v>
      </c>
      <c r="B376" s="1">
        <v>46205</v>
      </c>
      <c r="C376" t="s">
        <v>756</v>
      </c>
      <c r="D376" t="s">
        <v>653</v>
      </c>
      <c r="E376">
        <v>2</v>
      </c>
      <c r="F376">
        <v>24964</v>
      </c>
      <c r="G376">
        <f>TbReceitas[[#This Row],[quantidade]]*TbReceitas[[#This Row],[preco_unitario]]</f>
        <v>49928</v>
      </c>
      <c r="H376" t="str">
        <f>TEXT(TbReceitas[[#This Row],[data_transacao]], "aaaa-mm")</f>
        <v>2026-07</v>
      </c>
    </row>
    <row r="377" spans="1:8">
      <c r="A377">
        <v>376</v>
      </c>
      <c r="B377" s="1">
        <v>46228</v>
      </c>
      <c r="C377" t="s">
        <v>1028</v>
      </c>
      <c r="D377" t="s">
        <v>20</v>
      </c>
      <c r="E377">
        <v>4</v>
      </c>
      <c r="F377">
        <v>5319</v>
      </c>
      <c r="G377">
        <f>TbReceitas[[#This Row],[quantidade]]*TbReceitas[[#This Row],[preco_unitario]]</f>
        <v>21276</v>
      </c>
      <c r="H377" t="str">
        <f>TEXT(TbReceitas[[#This Row],[data_transacao]], "aaaa-mm")</f>
        <v>2026-07</v>
      </c>
    </row>
    <row r="378" spans="1:8">
      <c r="A378">
        <v>377</v>
      </c>
      <c r="B378" s="1">
        <v>46228</v>
      </c>
      <c r="C378" t="s">
        <v>792</v>
      </c>
      <c r="D378" t="s">
        <v>574</v>
      </c>
      <c r="E378">
        <v>3</v>
      </c>
      <c r="F378">
        <v>19723</v>
      </c>
      <c r="G378">
        <f>TbReceitas[[#This Row],[quantidade]]*TbReceitas[[#This Row],[preco_unitario]]</f>
        <v>59169</v>
      </c>
      <c r="H378" t="str">
        <f>TEXT(TbReceitas[[#This Row],[data_transacao]], "aaaa-mm")</f>
        <v>2026-07</v>
      </c>
    </row>
    <row r="379" spans="1:8">
      <c r="A379">
        <v>378</v>
      </c>
      <c r="B379" s="1">
        <v>46034</v>
      </c>
      <c r="C379" t="s">
        <v>1029</v>
      </c>
      <c r="D379" t="s">
        <v>251</v>
      </c>
      <c r="E379">
        <v>3</v>
      </c>
      <c r="F379">
        <v>4862</v>
      </c>
      <c r="G379">
        <f>TbReceitas[[#This Row],[quantidade]]*TbReceitas[[#This Row],[preco_unitario]]</f>
        <v>14586</v>
      </c>
      <c r="H379" t="str">
        <f>TEXT(TbReceitas[[#This Row],[data_transacao]], "aaaa-mm")</f>
        <v>2026-01</v>
      </c>
    </row>
    <row r="380" spans="1:8">
      <c r="A380">
        <v>379</v>
      </c>
      <c r="B380" s="1">
        <v>45565</v>
      </c>
      <c r="C380" t="s">
        <v>1030</v>
      </c>
      <c r="D380" t="s">
        <v>124</v>
      </c>
      <c r="E380">
        <v>4</v>
      </c>
      <c r="F380">
        <v>16361</v>
      </c>
      <c r="G380">
        <f>TbReceitas[[#This Row],[quantidade]]*TbReceitas[[#This Row],[preco_unitario]]</f>
        <v>65444</v>
      </c>
      <c r="H380" t="str">
        <f>TEXT(TbReceitas[[#This Row],[data_transacao]], "aaaa-mm")</f>
        <v>2024-09</v>
      </c>
    </row>
    <row r="381" spans="1:8">
      <c r="A381">
        <v>380</v>
      </c>
      <c r="B381" s="1">
        <v>45915</v>
      </c>
      <c r="C381" t="s">
        <v>1031</v>
      </c>
      <c r="D381" t="s">
        <v>594</v>
      </c>
      <c r="E381">
        <v>1</v>
      </c>
      <c r="F381">
        <v>9862</v>
      </c>
      <c r="G381">
        <f>TbReceitas[[#This Row],[quantidade]]*TbReceitas[[#This Row],[preco_unitario]]</f>
        <v>9862</v>
      </c>
      <c r="H381" t="str">
        <f>TEXT(TbReceitas[[#This Row],[data_transacao]], "aaaa-mm")</f>
        <v>2025-09</v>
      </c>
    </row>
    <row r="382" spans="1:8">
      <c r="A382">
        <v>381</v>
      </c>
      <c r="B382" s="1">
        <v>45992</v>
      </c>
      <c r="C382" t="s">
        <v>1032</v>
      </c>
      <c r="D382" t="s">
        <v>43</v>
      </c>
      <c r="E382">
        <v>2</v>
      </c>
      <c r="F382">
        <v>24604</v>
      </c>
      <c r="G382">
        <f>TbReceitas[[#This Row],[quantidade]]*TbReceitas[[#This Row],[preco_unitario]]</f>
        <v>49208</v>
      </c>
      <c r="H382" t="str">
        <f>TEXT(TbReceitas[[#This Row],[data_transacao]], "aaaa-mm")</f>
        <v>2025-12</v>
      </c>
    </row>
    <row r="383" spans="1:8">
      <c r="A383">
        <v>382</v>
      </c>
      <c r="B383" s="1">
        <v>45806</v>
      </c>
      <c r="C383" t="s">
        <v>1033</v>
      </c>
      <c r="D383" t="s">
        <v>76</v>
      </c>
      <c r="E383">
        <v>3</v>
      </c>
      <c r="F383">
        <v>23998</v>
      </c>
      <c r="G383">
        <f>TbReceitas[[#This Row],[quantidade]]*TbReceitas[[#This Row],[preco_unitario]]</f>
        <v>71994</v>
      </c>
      <c r="H383" t="str">
        <f>TEXT(TbReceitas[[#This Row],[data_transacao]], "aaaa-mm")</f>
        <v>2025-05</v>
      </c>
    </row>
    <row r="384" spans="1:8">
      <c r="A384">
        <v>383</v>
      </c>
      <c r="B384" s="1">
        <v>45689</v>
      </c>
      <c r="C384" t="s">
        <v>1034</v>
      </c>
      <c r="D384" t="s">
        <v>176</v>
      </c>
      <c r="E384">
        <v>1</v>
      </c>
      <c r="F384">
        <v>776</v>
      </c>
      <c r="G384">
        <f>TbReceitas[[#This Row],[quantidade]]*TbReceitas[[#This Row],[preco_unitario]]</f>
        <v>776</v>
      </c>
      <c r="H384" t="str">
        <f>TEXT(TbReceitas[[#This Row],[data_transacao]], "aaaa-mm")</f>
        <v>2025-02</v>
      </c>
    </row>
    <row r="385" spans="1:8">
      <c r="A385">
        <v>384</v>
      </c>
      <c r="B385" s="1">
        <v>45849</v>
      </c>
      <c r="C385" t="s">
        <v>1035</v>
      </c>
      <c r="D385" t="s">
        <v>546</v>
      </c>
      <c r="E385">
        <v>4</v>
      </c>
      <c r="F385">
        <v>21187</v>
      </c>
      <c r="G385">
        <f>TbReceitas[[#This Row],[quantidade]]*TbReceitas[[#This Row],[preco_unitario]]</f>
        <v>84748</v>
      </c>
      <c r="H385" t="str">
        <f>TEXT(TbReceitas[[#This Row],[data_transacao]], "aaaa-mm")</f>
        <v>2025-07</v>
      </c>
    </row>
    <row r="386" spans="1:8">
      <c r="A386">
        <v>385</v>
      </c>
      <c r="B386" s="1">
        <v>45858</v>
      </c>
      <c r="C386" t="s">
        <v>1036</v>
      </c>
      <c r="D386" t="s">
        <v>156</v>
      </c>
      <c r="E386">
        <v>4</v>
      </c>
      <c r="F386">
        <v>20451</v>
      </c>
      <c r="G386">
        <f>TbReceitas[[#This Row],[quantidade]]*TbReceitas[[#This Row],[preco_unitario]]</f>
        <v>81804</v>
      </c>
      <c r="H386" t="str">
        <f>TEXT(TbReceitas[[#This Row],[data_transacao]], "aaaa-mm")</f>
        <v>2025-07</v>
      </c>
    </row>
    <row r="387" spans="1:8">
      <c r="A387">
        <v>386</v>
      </c>
      <c r="B387" s="1">
        <v>45782</v>
      </c>
      <c r="C387" t="s">
        <v>769</v>
      </c>
      <c r="D387" t="s">
        <v>159</v>
      </c>
      <c r="E387">
        <v>1</v>
      </c>
      <c r="F387">
        <v>16217</v>
      </c>
      <c r="G387">
        <f>TbReceitas[[#This Row],[quantidade]]*TbReceitas[[#This Row],[preco_unitario]]</f>
        <v>16217</v>
      </c>
      <c r="H387" t="str">
        <f>TEXT(TbReceitas[[#This Row],[data_transacao]], "aaaa-mm")</f>
        <v>2025-05</v>
      </c>
    </row>
    <row r="388" spans="1:8">
      <c r="A388">
        <v>387</v>
      </c>
      <c r="B388" s="1">
        <v>45882</v>
      </c>
      <c r="C388" t="s">
        <v>1037</v>
      </c>
      <c r="D388" t="s">
        <v>590</v>
      </c>
      <c r="E388">
        <v>5</v>
      </c>
      <c r="F388">
        <v>195</v>
      </c>
      <c r="G388">
        <f>TbReceitas[[#This Row],[quantidade]]*TbReceitas[[#This Row],[preco_unitario]]</f>
        <v>975</v>
      </c>
      <c r="H388" t="str">
        <f>TEXT(TbReceitas[[#This Row],[data_transacao]], "aaaa-mm")</f>
        <v>2025-08</v>
      </c>
    </row>
    <row r="389" spans="1:8">
      <c r="A389">
        <v>388</v>
      </c>
      <c r="B389" s="1">
        <v>46051</v>
      </c>
      <c r="C389" t="s">
        <v>1038</v>
      </c>
      <c r="D389" t="s">
        <v>255</v>
      </c>
      <c r="E389">
        <v>4</v>
      </c>
      <c r="F389">
        <v>16027</v>
      </c>
      <c r="G389">
        <f>TbReceitas[[#This Row],[quantidade]]*TbReceitas[[#This Row],[preco_unitario]]</f>
        <v>64108</v>
      </c>
      <c r="H389" t="str">
        <f>TEXT(TbReceitas[[#This Row],[data_transacao]], "aaaa-mm")</f>
        <v>2026-01</v>
      </c>
    </row>
    <row r="390" spans="1:8">
      <c r="A390">
        <v>389</v>
      </c>
      <c r="B390" s="1">
        <v>46266</v>
      </c>
      <c r="C390" t="s">
        <v>995</v>
      </c>
      <c r="D390" t="s">
        <v>613</v>
      </c>
      <c r="E390">
        <v>3</v>
      </c>
      <c r="F390">
        <v>9029</v>
      </c>
      <c r="G390">
        <f>TbReceitas[[#This Row],[quantidade]]*TbReceitas[[#This Row],[preco_unitario]]</f>
        <v>27087</v>
      </c>
      <c r="H390" t="str">
        <f>TEXT(TbReceitas[[#This Row],[data_transacao]], "aaaa-mm")</f>
        <v>2026-09</v>
      </c>
    </row>
    <row r="391" spans="1:8">
      <c r="A391">
        <v>390</v>
      </c>
      <c r="B391" s="1">
        <v>45918</v>
      </c>
      <c r="C391" t="s">
        <v>1039</v>
      </c>
      <c r="D391" t="s">
        <v>453</v>
      </c>
      <c r="E391">
        <v>5</v>
      </c>
      <c r="F391">
        <v>8033</v>
      </c>
      <c r="G391">
        <f>TbReceitas[[#This Row],[quantidade]]*TbReceitas[[#This Row],[preco_unitario]]</f>
        <v>40165</v>
      </c>
      <c r="H391" t="str">
        <f>TEXT(TbReceitas[[#This Row],[data_transacao]], "aaaa-mm")</f>
        <v>2025-09</v>
      </c>
    </row>
    <row r="392" spans="1:8">
      <c r="A392">
        <v>391</v>
      </c>
      <c r="B392" s="1">
        <v>45547</v>
      </c>
      <c r="C392" t="s">
        <v>1040</v>
      </c>
      <c r="D392" t="s">
        <v>199</v>
      </c>
      <c r="E392">
        <v>4</v>
      </c>
      <c r="F392">
        <v>7038</v>
      </c>
      <c r="G392">
        <f>TbReceitas[[#This Row],[quantidade]]*TbReceitas[[#This Row],[preco_unitario]]</f>
        <v>28152</v>
      </c>
      <c r="H392" t="str">
        <f>TEXT(TbReceitas[[#This Row],[data_transacao]], "aaaa-mm")</f>
        <v>2024-09</v>
      </c>
    </row>
    <row r="393" spans="1:8">
      <c r="A393">
        <v>392</v>
      </c>
      <c r="B393" s="1">
        <v>46184</v>
      </c>
      <c r="C393" t="s">
        <v>1026</v>
      </c>
      <c r="D393" t="s">
        <v>347</v>
      </c>
      <c r="E393">
        <v>2</v>
      </c>
      <c r="F393">
        <v>19492</v>
      </c>
      <c r="G393">
        <f>TbReceitas[[#This Row],[quantidade]]*TbReceitas[[#This Row],[preco_unitario]]</f>
        <v>38984</v>
      </c>
      <c r="H393" t="str">
        <f>TEXT(TbReceitas[[#This Row],[data_transacao]], "aaaa-mm")</f>
        <v>2026-06</v>
      </c>
    </row>
    <row r="394" spans="1:8">
      <c r="A394">
        <v>393</v>
      </c>
      <c r="B394" s="1">
        <v>45564</v>
      </c>
      <c r="C394" t="s">
        <v>1041</v>
      </c>
      <c r="D394" t="s">
        <v>271</v>
      </c>
      <c r="E394">
        <v>4</v>
      </c>
      <c r="F394">
        <v>10155</v>
      </c>
      <c r="G394">
        <f>TbReceitas[[#This Row],[quantidade]]*TbReceitas[[#This Row],[preco_unitario]]</f>
        <v>40620</v>
      </c>
      <c r="H394" t="str">
        <f>TEXT(TbReceitas[[#This Row],[data_transacao]], "aaaa-mm")</f>
        <v>2024-09</v>
      </c>
    </row>
    <row r="395" spans="1:8">
      <c r="A395">
        <v>394</v>
      </c>
      <c r="B395" s="1">
        <v>45569</v>
      </c>
      <c r="C395" t="s">
        <v>1042</v>
      </c>
      <c r="D395" t="s">
        <v>235</v>
      </c>
      <c r="E395">
        <v>2</v>
      </c>
      <c r="F395">
        <v>3762</v>
      </c>
      <c r="G395">
        <f>TbReceitas[[#This Row],[quantidade]]*TbReceitas[[#This Row],[preco_unitario]]</f>
        <v>7524</v>
      </c>
      <c r="H395" t="str">
        <f>TEXT(TbReceitas[[#This Row],[data_transacao]], "aaaa-mm")</f>
        <v>2024-10</v>
      </c>
    </row>
    <row r="396" spans="1:8">
      <c r="A396">
        <v>395</v>
      </c>
      <c r="B396" s="1">
        <v>45777</v>
      </c>
      <c r="C396" t="s">
        <v>1043</v>
      </c>
      <c r="D396" t="s">
        <v>257</v>
      </c>
      <c r="E396">
        <v>5</v>
      </c>
      <c r="F396">
        <v>5821</v>
      </c>
      <c r="G396">
        <f>TbReceitas[[#This Row],[quantidade]]*TbReceitas[[#This Row],[preco_unitario]]</f>
        <v>29105</v>
      </c>
      <c r="H396" t="str">
        <f>TEXT(TbReceitas[[#This Row],[data_transacao]], "aaaa-mm")</f>
        <v>2025-04</v>
      </c>
    </row>
    <row r="397" spans="1:8">
      <c r="A397">
        <v>396</v>
      </c>
      <c r="B397" s="1">
        <v>45749</v>
      </c>
      <c r="C397" t="s">
        <v>1044</v>
      </c>
      <c r="D397" t="s">
        <v>425</v>
      </c>
      <c r="E397">
        <v>1</v>
      </c>
      <c r="F397">
        <v>24879</v>
      </c>
      <c r="G397">
        <f>TbReceitas[[#This Row],[quantidade]]*TbReceitas[[#This Row],[preco_unitario]]</f>
        <v>24879</v>
      </c>
      <c r="H397" t="str">
        <f>TEXT(TbReceitas[[#This Row],[data_transacao]], "aaaa-mm")</f>
        <v>2025-04</v>
      </c>
    </row>
    <row r="398" spans="1:8">
      <c r="A398">
        <v>397</v>
      </c>
      <c r="B398" s="1">
        <v>45959</v>
      </c>
      <c r="C398" t="s">
        <v>1045</v>
      </c>
      <c r="D398" t="s">
        <v>269</v>
      </c>
      <c r="E398">
        <v>3</v>
      </c>
      <c r="F398">
        <v>12528</v>
      </c>
      <c r="G398">
        <f>TbReceitas[[#This Row],[quantidade]]*TbReceitas[[#This Row],[preco_unitario]]</f>
        <v>37584</v>
      </c>
      <c r="H398" t="str">
        <f>TEXT(TbReceitas[[#This Row],[data_transacao]], "aaaa-mm")</f>
        <v>2025-10</v>
      </c>
    </row>
    <row r="399" spans="1:8">
      <c r="A399">
        <v>398</v>
      </c>
      <c r="B399" s="1">
        <v>45619</v>
      </c>
      <c r="C399" t="s">
        <v>1046</v>
      </c>
      <c r="D399" t="s">
        <v>168</v>
      </c>
      <c r="E399">
        <v>2</v>
      </c>
      <c r="F399">
        <v>3678</v>
      </c>
      <c r="G399">
        <f>TbReceitas[[#This Row],[quantidade]]*TbReceitas[[#This Row],[preco_unitario]]</f>
        <v>7356</v>
      </c>
      <c r="H399" t="str">
        <f>TEXT(TbReceitas[[#This Row],[data_transacao]], "aaaa-mm")</f>
        <v>2024-11</v>
      </c>
    </row>
    <row r="400" spans="1:8">
      <c r="A400">
        <v>399</v>
      </c>
      <c r="B400" s="1">
        <v>46253</v>
      </c>
      <c r="C400" t="s">
        <v>886</v>
      </c>
      <c r="D400" t="s">
        <v>9</v>
      </c>
      <c r="E400">
        <v>3</v>
      </c>
      <c r="F400">
        <v>751</v>
      </c>
      <c r="G400">
        <f>TbReceitas[[#This Row],[quantidade]]*TbReceitas[[#This Row],[preco_unitario]]</f>
        <v>2253</v>
      </c>
      <c r="H400" t="str">
        <f>TEXT(TbReceitas[[#This Row],[data_transacao]], "aaaa-mm")</f>
        <v>2026-08</v>
      </c>
    </row>
    <row r="401" spans="1:8">
      <c r="A401">
        <v>400</v>
      </c>
      <c r="B401" s="1">
        <v>45870</v>
      </c>
      <c r="C401" t="s">
        <v>1047</v>
      </c>
      <c r="D401" t="s">
        <v>353</v>
      </c>
      <c r="E401">
        <v>4</v>
      </c>
      <c r="F401">
        <v>1932</v>
      </c>
      <c r="G401">
        <f>TbReceitas[[#This Row],[quantidade]]*TbReceitas[[#This Row],[preco_unitario]]</f>
        <v>7728</v>
      </c>
      <c r="H401" t="str">
        <f>TEXT(TbReceitas[[#This Row],[data_transacao]], "aaaa-mm")</f>
        <v>2025-08</v>
      </c>
    </row>
    <row r="402" spans="1:8">
      <c r="A402">
        <v>401</v>
      </c>
      <c r="B402" s="1">
        <v>46124</v>
      </c>
      <c r="C402" t="s">
        <v>1048</v>
      </c>
      <c r="D402" t="s">
        <v>149</v>
      </c>
      <c r="E402">
        <v>1</v>
      </c>
      <c r="F402">
        <v>9725</v>
      </c>
      <c r="G402">
        <f>TbReceitas[[#This Row],[quantidade]]*TbReceitas[[#This Row],[preco_unitario]]</f>
        <v>9725</v>
      </c>
      <c r="H402" t="str">
        <f>TEXT(TbReceitas[[#This Row],[data_transacao]], "aaaa-mm")</f>
        <v>2026-04</v>
      </c>
    </row>
    <row r="403" spans="1:8">
      <c r="A403">
        <v>402</v>
      </c>
      <c r="B403" s="1">
        <v>45878</v>
      </c>
      <c r="C403" t="s">
        <v>1049</v>
      </c>
      <c r="D403" t="s">
        <v>75</v>
      </c>
      <c r="E403">
        <v>1</v>
      </c>
      <c r="F403">
        <v>2558</v>
      </c>
      <c r="G403">
        <f>TbReceitas[[#This Row],[quantidade]]*TbReceitas[[#This Row],[preco_unitario]]</f>
        <v>2558</v>
      </c>
      <c r="H403" t="str">
        <f>TEXT(TbReceitas[[#This Row],[data_transacao]], "aaaa-mm")</f>
        <v>2025-08</v>
      </c>
    </row>
    <row r="404" spans="1:8">
      <c r="A404">
        <v>403</v>
      </c>
      <c r="B404" s="1">
        <v>45854</v>
      </c>
      <c r="C404" t="s">
        <v>1050</v>
      </c>
      <c r="D404" t="s">
        <v>696</v>
      </c>
      <c r="E404">
        <v>2</v>
      </c>
      <c r="F404">
        <v>24429</v>
      </c>
      <c r="G404">
        <f>TbReceitas[[#This Row],[quantidade]]*TbReceitas[[#This Row],[preco_unitario]]</f>
        <v>48858</v>
      </c>
      <c r="H404" t="str">
        <f>TEXT(TbReceitas[[#This Row],[data_transacao]], "aaaa-mm")</f>
        <v>2025-07</v>
      </c>
    </row>
    <row r="405" spans="1:8">
      <c r="A405">
        <v>404</v>
      </c>
      <c r="B405" s="1">
        <v>46196</v>
      </c>
      <c r="C405" t="s">
        <v>1051</v>
      </c>
      <c r="D405" t="s">
        <v>1052</v>
      </c>
      <c r="E405">
        <v>1</v>
      </c>
      <c r="F405">
        <v>10547</v>
      </c>
      <c r="G405">
        <f>TbReceitas[[#This Row],[quantidade]]*TbReceitas[[#This Row],[preco_unitario]]</f>
        <v>10547</v>
      </c>
      <c r="H405" t="str">
        <f>TEXT(TbReceitas[[#This Row],[data_transacao]], "aaaa-mm")</f>
        <v>2026-06</v>
      </c>
    </row>
    <row r="406" spans="1:8">
      <c r="A406">
        <v>405</v>
      </c>
      <c r="B406" s="1">
        <v>45653</v>
      </c>
      <c r="C406" t="s">
        <v>1053</v>
      </c>
      <c r="D406" t="s">
        <v>370</v>
      </c>
      <c r="E406">
        <v>3</v>
      </c>
      <c r="F406">
        <v>10127</v>
      </c>
      <c r="G406">
        <f>TbReceitas[[#This Row],[quantidade]]*TbReceitas[[#This Row],[preco_unitario]]</f>
        <v>30381</v>
      </c>
      <c r="H406" t="str">
        <f>TEXT(TbReceitas[[#This Row],[data_transacao]], "aaaa-mm")</f>
        <v>2024-12</v>
      </c>
    </row>
    <row r="407" spans="1:8">
      <c r="A407">
        <v>406</v>
      </c>
      <c r="B407" s="1">
        <v>46002</v>
      </c>
      <c r="C407" t="s">
        <v>1054</v>
      </c>
      <c r="D407" t="s">
        <v>358</v>
      </c>
      <c r="E407">
        <v>4</v>
      </c>
      <c r="F407">
        <v>11913</v>
      </c>
      <c r="G407">
        <f>TbReceitas[[#This Row],[quantidade]]*TbReceitas[[#This Row],[preco_unitario]]</f>
        <v>47652</v>
      </c>
      <c r="H407" t="str">
        <f>TEXT(TbReceitas[[#This Row],[data_transacao]], "aaaa-mm")</f>
        <v>2025-12</v>
      </c>
    </row>
    <row r="408" spans="1:8">
      <c r="A408">
        <v>407</v>
      </c>
      <c r="B408" s="1">
        <v>45958</v>
      </c>
      <c r="C408" t="s">
        <v>1055</v>
      </c>
      <c r="D408" t="s">
        <v>240</v>
      </c>
      <c r="E408">
        <v>2</v>
      </c>
      <c r="F408">
        <v>19846</v>
      </c>
      <c r="G408">
        <f>TbReceitas[[#This Row],[quantidade]]*TbReceitas[[#This Row],[preco_unitario]]</f>
        <v>39692</v>
      </c>
      <c r="H408" t="str">
        <f>TEXT(TbReceitas[[#This Row],[data_transacao]], "aaaa-mm")</f>
        <v>2025-10</v>
      </c>
    </row>
    <row r="409" spans="1:8">
      <c r="A409">
        <v>408</v>
      </c>
      <c r="B409" s="1">
        <v>46240</v>
      </c>
      <c r="C409" t="s">
        <v>1056</v>
      </c>
      <c r="D409" t="s">
        <v>267</v>
      </c>
      <c r="E409">
        <v>2</v>
      </c>
      <c r="F409">
        <v>8433</v>
      </c>
      <c r="G409">
        <f>TbReceitas[[#This Row],[quantidade]]*TbReceitas[[#This Row],[preco_unitario]]</f>
        <v>16866</v>
      </c>
      <c r="H409" t="str">
        <f>TEXT(TbReceitas[[#This Row],[data_transacao]], "aaaa-mm")</f>
        <v>2026-08</v>
      </c>
    </row>
    <row r="410" spans="1:8">
      <c r="A410">
        <v>409</v>
      </c>
      <c r="B410" s="1">
        <v>45673</v>
      </c>
      <c r="C410" t="s">
        <v>1057</v>
      </c>
      <c r="D410" t="s">
        <v>452</v>
      </c>
      <c r="E410">
        <v>2</v>
      </c>
      <c r="F410">
        <v>607</v>
      </c>
      <c r="G410">
        <f>TbReceitas[[#This Row],[quantidade]]*TbReceitas[[#This Row],[preco_unitario]]</f>
        <v>1214</v>
      </c>
      <c r="H410" t="str">
        <f>TEXT(TbReceitas[[#This Row],[data_transacao]], "aaaa-mm")</f>
        <v>2025-01</v>
      </c>
    </row>
    <row r="411" spans="1:8">
      <c r="A411">
        <v>410</v>
      </c>
      <c r="B411" s="1">
        <v>46201</v>
      </c>
      <c r="C411" t="s">
        <v>1058</v>
      </c>
      <c r="D411" t="s">
        <v>316</v>
      </c>
      <c r="E411">
        <v>1</v>
      </c>
      <c r="F411">
        <v>4372</v>
      </c>
      <c r="G411">
        <f>TbReceitas[[#This Row],[quantidade]]*TbReceitas[[#This Row],[preco_unitario]]</f>
        <v>4372</v>
      </c>
      <c r="H411" t="str">
        <f>TEXT(TbReceitas[[#This Row],[data_transacao]], "aaaa-mm")</f>
        <v>2026-06</v>
      </c>
    </row>
    <row r="412" spans="1:8">
      <c r="A412">
        <v>411</v>
      </c>
      <c r="B412" s="1">
        <v>45787</v>
      </c>
      <c r="C412" t="s">
        <v>1059</v>
      </c>
      <c r="D412" t="s">
        <v>540</v>
      </c>
      <c r="E412">
        <v>2</v>
      </c>
      <c r="F412">
        <v>10156</v>
      </c>
      <c r="G412">
        <f>TbReceitas[[#This Row],[quantidade]]*TbReceitas[[#This Row],[preco_unitario]]</f>
        <v>20312</v>
      </c>
      <c r="H412" t="str">
        <f>TEXT(TbReceitas[[#This Row],[data_transacao]], "aaaa-mm")</f>
        <v>2025-05</v>
      </c>
    </row>
    <row r="413" spans="1:8">
      <c r="A413">
        <v>412</v>
      </c>
      <c r="B413" s="1">
        <v>45841</v>
      </c>
      <c r="C413" t="s">
        <v>1060</v>
      </c>
      <c r="D413" t="s">
        <v>138</v>
      </c>
      <c r="E413">
        <v>3</v>
      </c>
      <c r="F413">
        <v>20784</v>
      </c>
      <c r="G413">
        <f>TbReceitas[[#This Row],[quantidade]]*TbReceitas[[#This Row],[preco_unitario]]</f>
        <v>62352</v>
      </c>
      <c r="H413" t="str">
        <f>TEXT(TbReceitas[[#This Row],[data_transacao]], "aaaa-mm")</f>
        <v>2025-07</v>
      </c>
    </row>
    <row r="414" spans="1:8">
      <c r="A414">
        <v>413</v>
      </c>
      <c r="B414" s="1">
        <v>45844</v>
      </c>
      <c r="C414" t="s">
        <v>919</v>
      </c>
      <c r="D414" t="s">
        <v>259</v>
      </c>
      <c r="E414">
        <v>3</v>
      </c>
      <c r="F414">
        <v>2751</v>
      </c>
      <c r="G414">
        <f>TbReceitas[[#This Row],[quantidade]]*TbReceitas[[#This Row],[preco_unitario]]</f>
        <v>8253</v>
      </c>
      <c r="H414" t="str">
        <f>TEXT(TbReceitas[[#This Row],[data_transacao]], "aaaa-mm")</f>
        <v>2025-07</v>
      </c>
    </row>
    <row r="415" spans="1:8">
      <c r="A415">
        <v>414</v>
      </c>
      <c r="B415" s="1">
        <v>46174</v>
      </c>
      <c r="C415" t="s">
        <v>866</v>
      </c>
      <c r="D415" t="s">
        <v>293</v>
      </c>
      <c r="E415">
        <v>4</v>
      </c>
      <c r="F415">
        <v>7737</v>
      </c>
      <c r="G415">
        <f>TbReceitas[[#This Row],[quantidade]]*TbReceitas[[#This Row],[preco_unitario]]</f>
        <v>30948</v>
      </c>
      <c r="H415" t="str">
        <f>TEXT(TbReceitas[[#This Row],[data_transacao]], "aaaa-mm")</f>
        <v>2026-06</v>
      </c>
    </row>
    <row r="416" spans="1:8">
      <c r="A416">
        <v>415</v>
      </c>
      <c r="B416" s="1">
        <v>46178</v>
      </c>
      <c r="C416" t="s">
        <v>1061</v>
      </c>
      <c r="D416" t="s">
        <v>561</v>
      </c>
      <c r="E416">
        <v>5</v>
      </c>
      <c r="F416">
        <v>878</v>
      </c>
      <c r="G416">
        <f>TbReceitas[[#This Row],[quantidade]]*TbReceitas[[#This Row],[preco_unitario]]</f>
        <v>4390</v>
      </c>
      <c r="H416" t="str">
        <f>TEXT(TbReceitas[[#This Row],[data_transacao]], "aaaa-mm")</f>
        <v>2026-06</v>
      </c>
    </row>
    <row r="417" spans="1:8">
      <c r="A417">
        <v>416</v>
      </c>
      <c r="B417" s="1">
        <v>45896</v>
      </c>
      <c r="C417" t="s">
        <v>731</v>
      </c>
      <c r="D417" t="s">
        <v>458</v>
      </c>
      <c r="E417">
        <v>3</v>
      </c>
      <c r="F417">
        <v>4815</v>
      </c>
      <c r="G417">
        <f>TbReceitas[[#This Row],[quantidade]]*TbReceitas[[#This Row],[preco_unitario]]</f>
        <v>14445</v>
      </c>
      <c r="H417" t="str">
        <f>TEXT(TbReceitas[[#This Row],[data_transacao]], "aaaa-mm")</f>
        <v>2025-08</v>
      </c>
    </row>
    <row r="418" spans="1:8">
      <c r="A418">
        <v>417</v>
      </c>
      <c r="B418" s="1">
        <v>46166</v>
      </c>
      <c r="C418" t="s">
        <v>1062</v>
      </c>
      <c r="D418" t="s">
        <v>132</v>
      </c>
      <c r="E418">
        <v>1</v>
      </c>
      <c r="F418">
        <v>14526</v>
      </c>
      <c r="G418">
        <f>TbReceitas[[#This Row],[quantidade]]*TbReceitas[[#This Row],[preco_unitario]]</f>
        <v>14526</v>
      </c>
      <c r="H418" t="str">
        <f>TEXT(TbReceitas[[#This Row],[data_transacao]], "aaaa-mm")</f>
        <v>2026-05</v>
      </c>
    </row>
    <row r="419" spans="1:8">
      <c r="A419">
        <v>418</v>
      </c>
      <c r="B419" s="1">
        <v>45785</v>
      </c>
      <c r="C419" t="s">
        <v>1063</v>
      </c>
      <c r="D419" t="s">
        <v>605</v>
      </c>
      <c r="E419">
        <v>5</v>
      </c>
      <c r="F419">
        <v>21376</v>
      </c>
      <c r="G419">
        <f>TbReceitas[[#This Row],[quantidade]]*TbReceitas[[#This Row],[preco_unitario]]</f>
        <v>106880</v>
      </c>
      <c r="H419" t="str">
        <f>TEXT(TbReceitas[[#This Row],[data_transacao]], "aaaa-mm")</f>
        <v>2025-05</v>
      </c>
    </row>
    <row r="420" spans="1:8">
      <c r="A420">
        <v>419</v>
      </c>
      <c r="B420" s="1">
        <v>46113</v>
      </c>
      <c r="C420" t="s">
        <v>1064</v>
      </c>
      <c r="D420" t="s">
        <v>211</v>
      </c>
      <c r="E420">
        <v>1</v>
      </c>
      <c r="F420">
        <v>20547</v>
      </c>
      <c r="G420">
        <f>TbReceitas[[#This Row],[quantidade]]*TbReceitas[[#This Row],[preco_unitario]]</f>
        <v>20547</v>
      </c>
      <c r="H420" t="str">
        <f>TEXT(TbReceitas[[#This Row],[data_transacao]], "aaaa-mm")</f>
        <v>2026-04</v>
      </c>
    </row>
    <row r="421" spans="1:8">
      <c r="A421">
        <v>420</v>
      </c>
      <c r="B421" s="1">
        <v>45823</v>
      </c>
      <c r="C421" t="s">
        <v>1065</v>
      </c>
      <c r="D421" t="s">
        <v>357</v>
      </c>
      <c r="E421">
        <v>2</v>
      </c>
      <c r="F421">
        <v>7516</v>
      </c>
      <c r="G421">
        <f>TbReceitas[[#This Row],[quantidade]]*TbReceitas[[#This Row],[preco_unitario]]</f>
        <v>15032</v>
      </c>
      <c r="H421" t="str">
        <f>TEXT(TbReceitas[[#This Row],[data_transacao]], "aaaa-mm")</f>
        <v>2025-06</v>
      </c>
    </row>
    <row r="422" spans="1:8">
      <c r="A422">
        <v>421</v>
      </c>
      <c r="B422" s="1">
        <v>45875</v>
      </c>
      <c r="C422" t="s">
        <v>1066</v>
      </c>
      <c r="D422" t="s">
        <v>134</v>
      </c>
      <c r="E422">
        <v>4</v>
      </c>
      <c r="F422">
        <v>12384</v>
      </c>
      <c r="G422">
        <f>TbReceitas[[#This Row],[quantidade]]*TbReceitas[[#This Row],[preco_unitario]]</f>
        <v>49536</v>
      </c>
      <c r="H422" t="str">
        <f>TEXT(TbReceitas[[#This Row],[data_transacao]], "aaaa-mm")</f>
        <v>2025-08</v>
      </c>
    </row>
    <row r="423" spans="1:8">
      <c r="A423">
        <v>422</v>
      </c>
      <c r="B423" s="1">
        <v>46277</v>
      </c>
      <c r="C423" t="s">
        <v>1067</v>
      </c>
      <c r="D423" t="s">
        <v>353</v>
      </c>
      <c r="E423">
        <v>3</v>
      </c>
      <c r="F423">
        <v>1932</v>
      </c>
      <c r="G423">
        <f>TbReceitas[[#This Row],[quantidade]]*TbReceitas[[#This Row],[preco_unitario]]</f>
        <v>5796</v>
      </c>
      <c r="H423" t="str">
        <f>TEXT(TbReceitas[[#This Row],[data_transacao]], "aaaa-mm")</f>
        <v>2026-09</v>
      </c>
    </row>
    <row r="424" spans="1:8">
      <c r="A424">
        <v>423</v>
      </c>
      <c r="B424" s="1">
        <v>45824</v>
      </c>
      <c r="C424" t="s">
        <v>1068</v>
      </c>
      <c r="D424" t="s">
        <v>148</v>
      </c>
      <c r="E424">
        <v>3</v>
      </c>
      <c r="F424">
        <v>20605</v>
      </c>
      <c r="G424">
        <f>TbReceitas[[#This Row],[quantidade]]*TbReceitas[[#This Row],[preco_unitario]]</f>
        <v>61815</v>
      </c>
      <c r="H424" t="str">
        <f>TEXT(TbReceitas[[#This Row],[data_transacao]], "aaaa-mm")</f>
        <v>2025-06</v>
      </c>
    </row>
    <row r="425" spans="1:8">
      <c r="A425">
        <v>424</v>
      </c>
      <c r="B425" s="1">
        <v>45715</v>
      </c>
      <c r="C425" t="s">
        <v>1069</v>
      </c>
      <c r="D425" t="s">
        <v>282</v>
      </c>
      <c r="E425">
        <v>1</v>
      </c>
      <c r="F425">
        <v>2647</v>
      </c>
      <c r="G425">
        <f>TbReceitas[[#This Row],[quantidade]]*TbReceitas[[#This Row],[preco_unitario]]</f>
        <v>2647</v>
      </c>
      <c r="H425" t="str">
        <f>TEXT(TbReceitas[[#This Row],[data_transacao]], "aaaa-mm")</f>
        <v>2025-02</v>
      </c>
    </row>
    <row r="426" spans="1:8">
      <c r="A426">
        <v>425</v>
      </c>
      <c r="B426" s="1">
        <v>46151</v>
      </c>
      <c r="C426" t="s">
        <v>813</v>
      </c>
      <c r="D426" t="s">
        <v>15</v>
      </c>
      <c r="E426">
        <v>4</v>
      </c>
      <c r="F426">
        <v>15605</v>
      </c>
      <c r="G426">
        <f>TbReceitas[[#This Row],[quantidade]]*TbReceitas[[#This Row],[preco_unitario]]</f>
        <v>62420</v>
      </c>
      <c r="H426" t="str">
        <f>TEXT(TbReceitas[[#This Row],[data_transacao]], "aaaa-mm")</f>
        <v>2026-05</v>
      </c>
    </row>
    <row r="427" spans="1:8">
      <c r="A427">
        <v>426</v>
      </c>
      <c r="B427" s="1">
        <v>45955</v>
      </c>
      <c r="C427" t="s">
        <v>1070</v>
      </c>
      <c r="D427" t="s">
        <v>224</v>
      </c>
      <c r="E427">
        <v>5</v>
      </c>
      <c r="F427">
        <v>2181</v>
      </c>
      <c r="G427">
        <f>TbReceitas[[#This Row],[quantidade]]*TbReceitas[[#This Row],[preco_unitario]]</f>
        <v>10905</v>
      </c>
      <c r="H427" t="str">
        <f>TEXT(TbReceitas[[#This Row],[data_transacao]], "aaaa-mm")</f>
        <v>2025-10</v>
      </c>
    </row>
    <row r="428" spans="1:8">
      <c r="A428">
        <v>427</v>
      </c>
      <c r="B428" s="1">
        <v>46097</v>
      </c>
      <c r="C428" t="s">
        <v>1071</v>
      </c>
      <c r="D428" t="s">
        <v>525</v>
      </c>
      <c r="E428">
        <v>1</v>
      </c>
      <c r="F428">
        <v>5995</v>
      </c>
      <c r="G428">
        <f>TbReceitas[[#This Row],[quantidade]]*TbReceitas[[#This Row],[preco_unitario]]</f>
        <v>5995</v>
      </c>
      <c r="H428" t="str">
        <f>TEXT(TbReceitas[[#This Row],[data_transacao]], "aaaa-mm")</f>
        <v>2026-03</v>
      </c>
    </row>
    <row r="429" spans="1:8">
      <c r="A429">
        <v>428</v>
      </c>
      <c r="B429" s="1">
        <v>45846</v>
      </c>
      <c r="C429" t="s">
        <v>1072</v>
      </c>
      <c r="D429" t="s">
        <v>74</v>
      </c>
      <c r="E429">
        <v>4</v>
      </c>
      <c r="F429">
        <v>22125</v>
      </c>
      <c r="G429">
        <f>TbReceitas[[#This Row],[quantidade]]*TbReceitas[[#This Row],[preco_unitario]]</f>
        <v>88500</v>
      </c>
      <c r="H429" t="str">
        <f>TEXT(TbReceitas[[#This Row],[data_transacao]], "aaaa-mm")</f>
        <v>2025-07</v>
      </c>
    </row>
    <row r="430" spans="1:8">
      <c r="A430">
        <v>429</v>
      </c>
      <c r="B430" s="1">
        <v>46039</v>
      </c>
      <c r="C430" t="s">
        <v>1073</v>
      </c>
      <c r="D430" t="s">
        <v>644</v>
      </c>
      <c r="E430">
        <v>1</v>
      </c>
      <c r="F430">
        <v>19389</v>
      </c>
      <c r="G430">
        <f>TbReceitas[[#This Row],[quantidade]]*TbReceitas[[#This Row],[preco_unitario]]</f>
        <v>19389</v>
      </c>
      <c r="H430" t="str">
        <f>TEXT(TbReceitas[[#This Row],[data_transacao]], "aaaa-mm")</f>
        <v>2026-01</v>
      </c>
    </row>
    <row r="431" spans="1:8">
      <c r="A431">
        <v>430</v>
      </c>
      <c r="B431" s="1">
        <v>46023</v>
      </c>
      <c r="C431" t="s">
        <v>1074</v>
      </c>
      <c r="D431" t="s">
        <v>678</v>
      </c>
      <c r="E431">
        <v>3</v>
      </c>
      <c r="F431">
        <v>15865</v>
      </c>
      <c r="G431">
        <f>TbReceitas[[#This Row],[quantidade]]*TbReceitas[[#This Row],[preco_unitario]]</f>
        <v>47595</v>
      </c>
      <c r="H431" t="str">
        <f>TEXT(TbReceitas[[#This Row],[data_transacao]], "aaaa-mm")</f>
        <v>2026-01</v>
      </c>
    </row>
    <row r="432" spans="1:8">
      <c r="A432">
        <v>431</v>
      </c>
      <c r="B432" s="1">
        <v>45898</v>
      </c>
      <c r="C432" t="s">
        <v>1075</v>
      </c>
      <c r="D432" t="s">
        <v>204</v>
      </c>
      <c r="E432">
        <v>2</v>
      </c>
      <c r="F432">
        <v>34</v>
      </c>
      <c r="G432">
        <f>TbReceitas[[#This Row],[quantidade]]*TbReceitas[[#This Row],[preco_unitario]]</f>
        <v>68</v>
      </c>
      <c r="H432" t="str">
        <f>TEXT(TbReceitas[[#This Row],[data_transacao]], "aaaa-mm")</f>
        <v>2025-08</v>
      </c>
    </row>
    <row r="433" spans="1:8">
      <c r="A433">
        <v>432</v>
      </c>
      <c r="B433" s="1">
        <v>45884</v>
      </c>
      <c r="C433" t="s">
        <v>1076</v>
      </c>
      <c r="D433" t="s">
        <v>546</v>
      </c>
      <c r="E433">
        <v>2</v>
      </c>
      <c r="F433">
        <v>21187</v>
      </c>
      <c r="G433">
        <f>TbReceitas[[#This Row],[quantidade]]*TbReceitas[[#This Row],[preco_unitario]]</f>
        <v>42374</v>
      </c>
      <c r="H433" t="str">
        <f>TEXT(TbReceitas[[#This Row],[data_transacao]], "aaaa-mm")</f>
        <v>2025-08</v>
      </c>
    </row>
    <row r="434" spans="1:8">
      <c r="A434">
        <v>433</v>
      </c>
      <c r="B434" s="1">
        <v>46153</v>
      </c>
      <c r="C434" t="s">
        <v>1077</v>
      </c>
      <c r="D434" t="s">
        <v>347</v>
      </c>
      <c r="E434">
        <v>2</v>
      </c>
      <c r="F434">
        <v>19492</v>
      </c>
      <c r="G434">
        <f>TbReceitas[[#This Row],[quantidade]]*TbReceitas[[#This Row],[preco_unitario]]</f>
        <v>38984</v>
      </c>
      <c r="H434" t="str">
        <f>TEXT(TbReceitas[[#This Row],[data_transacao]], "aaaa-mm")</f>
        <v>2026-05</v>
      </c>
    </row>
    <row r="435" spans="1:8">
      <c r="A435">
        <v>434</v>
      </c>
      <c r="B435" s="1">
        <v>45806</v>
      </c>
      <c r="C435" t="s">
        <v>965</v>
      </c>
      <c r="D435" t="s">
        <v>423</v>
      </c>
      <c r="E435">
        <v>2</v>
      </c>
      <c r="F435">
        <v>334</v>
      </c>
      <c r="G435">
        <f>TbReceitas[[#This Row],[quantidade]]*TbReceitas[[#This Row],[preco_unitario]]</f>
        <v>668</v>
      </c>
      <c r="H435" t="str">
        <f>TEXT(TbReceitas[[#This Row],[data_transacao]], "aaaa-mm")</f>
        <v>2025-05</v>
      </c>
    </row>
    <row r="436" spans="1:8">
      <c r="A436">
        <v>435</v>
      </c>
      <c r="B436" s="1">
        <v>45805</v>
      </c>
      <c r="C436" t="s">
        <v>1078</v>
      </c>
      <c r="D436" t="s">
        <v>229</v>
      </c>
      <c r="E436">
        <v>5</v>
      </c>
      <c r="F436">
        <v>6433</v>
      </c>
      <c r="G436">
        <f>TbReceitas[[#This Row],[quantidade]]*TbReceitas[[#This Row],[preco_unitario]]</f>
        <v>32165</v>
      </c>
      <c r="H436" t="str">
        <f>TEXT(TbReceitas[[#This Row],[data_transacao]], "aaaa-mm")</f>
        <v>2025-05</v>
      </c>
    </row>
    <row r="437" spans="1:8">
      <c r="A437">
        <v>436</v>
      </c>
      <c r="B437" s="1">
        <v>45687</v>
      </c>
      <c r="C437" t="s">
        <v>1079</v>
      </c>
      <c r="D437" t="s">
        <v>267</v>
      </c>
      <c r="E437">
        <v>4</v>
      </c>
      <c r="F437">
        <v>8433</v>
      </c>
      <c r="G437">
        <f>TbReceitas[[#This Row],[quantidade]]*TbReceitas[[#This Row],[preco_unitario]]</f>
        <v>33732</v>
      </c>
      <c r="H437" t="str">
        <f>TEXT(TbReceitas[[#This Row],[data_transacao]], "aaaa-mm")</f>
        <v>2025-01</v>
      </c>
    </row>
    <row r="438" spans="1:8">
      <c r="A438">
        <v>437</v>
      </c>
      <c r="B438" s="1">
        <v>45708</v>
      </c>
      <c r="C438" t="s">
        <v>1080</v>
      </c>
      <c r="D438" t="s">
        <v>104</v>
      </c>
      <c r="E438">
        <v>3</v>
      </c>
      <c r="F438">
        <v>11181</v>
      </c>
      <c r="G438">
        <f>TbReceitas[[#This Row],[quantidade]]*TbReceitas[[#This Row],[preco_unitario]]</f>
        <v>33543</v>
      </c>
      <c r="H438" t="str">
        <f>TEXT(TbReceitas[[#This Row],[data_transacao]], "aaaa-mm")</f>
        <v>2025-02</v>
      </c>
    </row>
    <row r="439" spans="1:8">
      <c r="A439">
        <v>438</v>
      </c>
      <c r="B439" s="1">
        <v>45927</v>
      </c>
      <c r="C439" t="s">
        <v>1005</v>
      </c>
      <c r="D439" t="s">
        <v>607</v>
      </c>
      <c r="E439">
        <v>2</v>
      </c>
      <c r="F439">
        <v>22971</v>
      </c>
      <c r="G439">
        <f>TbReceitas[[#This Row],[quantidade]]*TbReceitas[[#This Row],[preco_unitario]]</f>
        <v>45942</v>
      </c>
      <c r="H439" t="str">
        <f>TEXT(TbReceitas[[#This Row],[data_transacao]], "aaaa-mm")</f>
        <v>2025-09</v>
      </c>
    </row>
    <row r="440" spans="1:8">
      <c r="A440">
        <v>439</v>
      </c>
      <c r="B440" s="1">
        <v>45838</v>
      </c>
      <c r="C440" t="s">
        <v>1081</v>
      </c>
      <c r="D440" t="s">
        <v>274</v>
      </c>
      <c r="E440">
        <v>5</v>
      </c>
      <c r="F440">
        <v>1178</v>
      </c>
      <c r="G440">
        <f>TbReceitas[[#This Row],[quantidade]]*TbReceitas[[#This Row],[preco_unitario]]</f>
        <v>5890</v>
      </c>
      <c r="H440" t="str">
        <f>TEXT(TbReceitas[[#This Row],[data_transacao]], "aaaa-mm")</f>
        <v>2025-06</v>
      </c>
    </row>
    <row r="441" spans="1:8">
      <c r="A441">
        <v>440</v>
      </c>
      <c r="B441" s="1">
        <v>45757</v>
      </c>
      <c r="C441" t="s">
        <v>954</v>
      </c>
      <c r="D441" t="s">
        <v>400</v>
      </c>
      <c r="E441">
        <v>2</v>
      </c>
      <c r="F441">
        <v>1186</v>
      </c>
      <c r="G441">
        <f>TbReceitas[[#This Row],[quantidade]]*TbReceitas[[#This Row],[preco_unitario]]</f>
        <v>2372</v>
      </c>
      <c r="H441" t="str">
        <f>TEXT(TbReceitas[[#This Row],[data_transacao]], "aaaa-mm")</f>
        <v>2025-04</v>
      </c>
    </row>
    <row r="442" spans="1:8">
      <c r="A442">
        <v>441</v>
      </c>
      <c r="B442" s="1">
        <v>46095</v>
      </c>
      <c r="C442" t="s">
        <v>844</v>
      </c>
      <c r="D442" t="s">
        <v>542</v>
      </c>
      <c r="E442">
        <v>2</v>
      </c>
      <c r="F442">
        <v>1697</v>
      </c>
      <c r="G442">
        <f>TbReceitas[[#This Row],[quantidade]]*TbReceitas[[#This Row],[preco_unitario]]</f>
        <v>3394</v>
      </c>
      <c r="H442" t="str">
        <f>TEXT(TbReceitas[[#This Row],[data_transacao]], "aaaa-mm")</f>
        <v>2026-03</v>
      </c>
    </row>
    <row r="443" spans="1:8">
      <c r="A443">
        <v>442</v>
      </c>
      <c r="B443" s="1">
        <v>46187</v>
      </c>
      <c r="C443" t="s">
        <v>1046</v>
      </c>
      <c r="D443" t="s">
        <v>610</v>
      </c>
      <c r="E443">
        <v>3</v>
      </c>
      <c r="F443">
        <v>2549</v>
      </c>
      <c r="G443">
        <f>TbReceitas[[#This Row],[quantidade]]*TbReceitas[[#This Row],[preco_unitario]]</f>
        <v>7647</v>
      </c>
      <c r="H443" t="str">
        <f>TEXT(TbReceitas[[#This Row],[data_transacao]], "aaaa-mm")</f>
        <v>2026-06</v>
      </c>
    </row>
    <row r="444" spans="1:8">
      <c r="A444">
        <v>443</v>
      </c>
      <c r="B444" s="1">
        <v>46089</v>
      </c>
      <c r="C444" t="s">
        <v>1082</v>
      </c>
      <c r="D444" t="s">
        <v>449</v>
      </c>
      <c r="E444">
        <v>3</v>
      </c>
      <c r="F444">
        <v>2492</v>
      </c>
      <c r="G444">
        <f>TbReceitas[[#This Row],[quantidade]]*TbReceitas[[#This Row],[preco_unitario]]</f>
        <v>7476</v>
      </c>
      <c r="H444" t="str">
        <f>TEXT(TbReceitas[[#This Row],[data_transacao]], "aaaa-mm")</f>
        <v>2026-03</v>
      </c>
    </row>
    <row r="445" spans="1:8">
      <c r="A445">
        <v>444</v>
      </c>
      <c r="B445" s="1">
        <v>46046</v>
      </c>
      <c r="C445" t="s">
        <v>1083</v>
      </c>
      <c r="D445" t="s">
        <v>43</v>
      </c>
      <c r="E445">
        <v>4</v>
      </c>
      <c r="F445">
        <v>24604</v>
      </c>
      <c r="G445">
        <f>TbReceitas[[#This Row],[quantidade]]*TbReceitas[[#This Row],[preco_unitario]]</f>
        <v>98416</v>
      </c>
      <c r="H445" t="str">
        <f>TEXT(TbReceitas[[#This Row],[data_transacao]], "aaaa-mm")</f>
        <v>2026-01</v>
      </c>
    </row>
    <row r="446" spans="1:8">
      <c r="A446">
        <v>445</v>
      </c>
      <c r="B446" s="1">
        <v>45556</v>
      </c>
      <c r="C446" t="s">
        <v>1084</v>
      </c>
      <c r="D446" t="s">
        <v>298</v>
      </c>
      <c r="E446">
        <v>3</v>
      </c>
      <c r="F446">
        <v>9609</v>
      </c>
      <c r="G446">
        <f>TbReceitas[[#This Row],[quantidade]]*TbReceitas[[#This Row],[preco_unitario]]</f>
        <v>28827</v>
      </c>
      <c r="H446" t="str">
        <f>TEXT(TbReceitas[[#This Row],[data_transacao]], "aaaa-mm")</f>
        <v>2024-09</v>
      </c>
    </row>
    <row r="447" spans="1:8">
      <c r="A447">
        <v>446</v>
      </c>
      <c r="B447" s="1">
        <v>45783</v>
      </c>
      <c r="C447" t="s">
        <v>1085</v>
      </c>
      <c r="D447" t="s">
        <v>214</v>
      </c>
      <c r="E447">
        <v>4</v>
      </c>
      <c r="F447">
        <v>11351</v>
      </c>
      <c r="G447">
        <f>TbReceitas[[#This Row],[quantidade]]*TbReceitas[[#This Row],[preco_unitario]]</f>
        <v>45404</v>
      </c>
      <c r="H447" t="str">
        <f>TEXT(TbReceitas[[#This Row],[data_transacao]], "aaaa-mm")</f>
        <v>2025-05</v>
      </c>
    </row>
    <row r="448" spans="1:8">
      <c r="A448">
        <v>447</v>
      </c>
      <c r="B448" s="1">
        <v>45790</v>
      </c>
      <c r="C448" t="s">
        <v>1086</v>
      </c>
      <c r="D448" t="s">
        <v>195</v>
      </c>
      <c r="E448">
        <v>3</v>
      </c>
      <c r="F448">
        <v>16179</v>
      </c>
      <c r="G448">
        <f>TbReceitas[[#This Row],[quantidade]]*TbReceitas[[#This Row],[preco_unitario]]</f>
        <v>48537</v>
      </c>
      <c r="H448" t="str">
        <f>TEXT(TbReceitas[[#This Row],[data_transacao]], "aaaa-mm")</f>
        <v>2025-05</v>
      </c>
    </row>
    <row r="449" spans="1:8">
      <c r="A449">
        <v>448</v>
      </c>
      <c r="B449" s="1">
        <v>46104</v>
      </c>
      <c r="C449" t="s">
        <v>1087</v>
      </c>
      <c r="D449" t="s">
        <v>491</v>
      </c>
      <c r="E449">
        <v>4</v>
      </c>
      <c r="F449">
        <v>16893</v>
      </c>
      <c r="G449">
        <f>TbReceitas[[#This Row],[quantidade]]*TbReceitas[[#This Row],[preco_unitario]]</f>
        <v>67572</v>
      </c>
      <c r="H449" t="str">
        <f>TEXT(TbReceitas[[#This Row],[data_transacao]], "aaaa-mm")</f>
        <v>2026-03</v>
      </c>
    </row>
    <row r="450" spans="1:8">
      <c r="A450">
        <v>449</v>
      </c>
      <c r="B450" s="1">
        <v>46098</v>
      </c>
      <c r="C450" t="s">
        <v>1088</v>
      </c>
      <c r="D450" t="s">
        <v>567</v>
      </c>
      <c r="E450">
        <v>2</v>
      </c>
      <c r="F450">
        <v>15916</v>
      </c>
      <c r="G450">
        <f>TbReceitas[[#This Row],[quantidade]]*TbReceitas[[#This Row],[preco_unitario]]</f>
        <v>31832</v>
      </c>
      <c r="H450" t="str">
        <f>TEXT(TbReceitas[[#This Row],[data_transacao]], "aaaa-mm")</f>
        <v>2026-03</v>
      </c>
    </row>
    <row r="451" spans="1:8">
      <c r="A451">
        <v>450</v>
      </c>
      <c r="B451" s="1">
        <v>46148</v>
      </c>
      <c r="C451" t="s">
        <v>1089</v>
      </c>
      <c r="D451" t="s">
        <v>54</v>
      </c>
      <c r="E451">
        <v>2</v>
      </c>
      <c r="F451">
        <v>17325</v>
      </c>
      <c r="G451">
        <f>TbReceitas[[#This Row],[quantidade]]*TbReceitas[[#This Row],[preco_unitario]]</f>
        <v>34650</v>
      </c>
      <c r="H451" t="str">
        <f>TEXT(TbReceitas[[#This Row],[data_transacao]], "aaaa-mm")</f>
        <v>2026-05</v>
      </c>
    </row>
    <row r="452" spans="1:8">
      <c r="A452">
        <v>451</v>
      </c>
      <c r="B452" s="1">
        <v>46058</v>
      </c>
      <c r="C452" t="s">
        <v>1090</v>
      </c>
      <c r="D452" t="s">
        <v>56</v>
      </c>
      <c r="E452">
        <v>3</v>
      </c>
      <c r="F452">
        <v>6886</v>
      </c>
      <c r="G452">
        <f>TbReceitas[[#This Row],[quantidade]]*TbReceitas[[#This Row],[preco_unitario]]</f>
        <v>20658</v>
      </c>
      <c r="H452" t="str">
        <f>TEXT(TbReceitas[[#This Row],[data_transacao]], "aaaa-mm")</f>
        <v>2026-02</v>
      </c>
    </row>
    <row r="453" spans="1:8">
      <c r="A453">
        <v>452</v>
      </c>
      <c r="B453" s="1">
        <v>45590</v>
      </c>
      <c r="C453" t="s">
        <v>1091</v>
      </c>
      <c r="D453" t="s">
        <v>313</v>
      </c>
      <c r="E453">
        <v>5</v>
      </c>
      <c r="F453">
        <v>24233</v>
      </c>
      <c r="G453">
        <f>TbReceitas[[#This Row],[quantidade]]*TbReceitas[[#This Row],[preco_unitario]]</f>
        <v>121165</v>
      </c>
      <c r="H453" t="str">
        <f>TEXT(TbReceitas[[#This Row],[data_transacao]], "aaaa-mm")</f>
        <v>2024-10</v>
      </c>
    </row>
    <row r="454" spans="1:8">
      <c r="A454">
        <v>453</v>
      </c>
      <c r="B454" s="1">
        <v>46174</v>
      </c>
      <c r="C454" t="s">
        <v>1092</v>
      </c>
      <c r="D454" t="s">
        <v>609</v>
      </c>
      <c r="E454">
        <v>2</v>
      </c>
      <c r="F454">
        <v>6953</v>
      </c>
      <c r="G454">
        <f>TbReceitas[[#This Row],[quantidade]]*TbReceitas[[#This Row],[preco_unitario]]</f>
        <v>13906</v>
      </c>
      <c r="H454" t="str">
        <f>TEXT(TbReceitas[[#This Row],[data_transacao]], "aaaa-mm")</f>
        <v>2026-06</v>
      </c>
    </row>
    <row r="455" spans="1:8">
      <c r="A455">
        <v>454</v>
      </c>
      <c r="B455" s="1">
        <v>46276</v>
      </c>
      <c r="C455" t="s">
        <v>1093</v>
      </c>
      <c r="D455" t="s">
        <v>312</v>
      </c>
      <c r="E455">
        <v>2</v>
      </c>
      <c r="F455">
        <v>24217</v>
      </c>
      <c r="G455">
        <f>TbReceitas[[#This Row],[quantidade]]*TbReceitas[[#This Row],[preco_unitario]]</f>
        <v>48434</v>
      </c>
      <c r="H455" t="str">
        <f>TEXT(TbReceitas[[#This Row],[data_transacao]], "aaaa-mm")</f>
        <v>2026-09</v>
      </c>
    </row>
    <row r="456" spans="1:8">
      <c r="A456">
        <v>455</v>
      </c>
      <c r="B456" s="1">
        <v>45724</v>
      </c>
      <c r="C456" t="s">
        <v>1094</v>
      </c>
      <c r="D456" t="s">
        <v>409</v>
      </c>
      <c r="E456">
        <v>1</v>
      </c>
      <c r="F456">
        <v>6002</v>
      </c>
      <c r="G456">
        <f>TbReceitas[[#This Row],[quantidade]]*TbReceitas[[#This Row],[preco_unitario]]</f>
        <v>6002</v>
      </c>
      <c r="H456" t="str">
        <f>TEXT(TbReceitas[[#This Row],[data_transacao]], "aaaa-mm")</f>
        <v>2025-03</v>
      </c>
    </row>
    <row r="457" spans="1:8">
      <c r="A457">
        <v>456</v>
      </c>
      <c r="B457" s="1">
        <v>45994</v>
      </c>
      <c r="C457" t="s">
        <v>1095</v>
      </c>
      <c r="D457" t="s">
        <v>576</v>
      </c>
      <c r="E457">
        <v>1</v>
      </c>
      <c r="F457">
        <v>13142</v>
      </c>
      <c r="G457">
        <f>TbReceitas[[#This Row],[quantidade]]*TbReceitas[[#This Row],[preco_unitario]]</f>
        <v>13142</v>
      </c>
      <c r="H457" t="str">
        <f>TEXT(TbReceitas[[#This Row],[data_transacao]], "aaaa-mm")</f>
        <v>2025-12</v>
      </c>
    </row>
    <row r="458" spans="1:8">
      <c r="A458">
        <v>457</v>
      </c>
      <c r="B458" s="1">
        <v>46252</v>
      </c>
      <c r="C458" t="s">
        <v>1096</v>
      </c>
      <c r="D458" t="s">
        <v>531</v>
      </c>
      <c r="E458">
        <v>2</v>
      </c>
      <c r="F458">
        <v>5033</v>
      </c>
      <c r="G458">
        <f>TbReceitas[[#This Row],[quantidade]]*TbReceitas[[#This Row],[preco_unitario]]</f>
        <v>10066</v>
      </c>
      <c r="H458" t="str">
        <f>TEXT(TbReceitas[[#This Row],[data_transacao]], "aaaa-mm")</f>
        <v>2026-08</v>
      </c>
    </row>
    <row r="459" spans="1:8">
      <c r="A459">
        <v>458</v>
      </c>
      <c r="B459" s="1">
        <v>46260</v>
      </c>
      <c r="C459" t="s">
        <v>1097</v>
      </c>
      <c r="D459" t="s">
        <v>664</v>
      </c>
      <c r="E459">
        <v>3</v>
      </c>
      <c r="F459">
        <v>11808</v>
      </c>
      <c r="G459">
        <f>TbReceitas[[#This Row],[quantidade]]*TbReceitas[[#This Row],[preco_unitario]]</f>
        <v>35424</v>
      </c>
      <c r="H459" t="str">
        <f>TEXT(TbReceitas[[#This Row],[data_transacao]], "aaaa-mm")</f>
        <v>2026-08</v>
      </c>
    </row>
    <row r="460" spans="1:8">
      <c r="A460">
        <v>459</v>
      </c>
      <c r="B460" s="1">
        <v>45634</v>
      </c>
      <c r="C460" t="s">
        <v>1098</v>
      </c>
      <c r="D460" t="s">
        <v>571</v>
      </c>
      <c r="E460">
        <v>4</v>
      </c>
      <c r="F460">
        <v>7293</v>
      </c>
      <c r="G460">
        <f>TbReceitas[[#This Row],[quantidade]]*TbReceitas[[#This Row],[preco_unitario]]</f>
        <v>29172</v>
      </c>
      <c r="H460" t="str">
        <f>TEXT(TbReceitas[[#This Row],[data_transacao]], "aaaa-mm")</f>
        <v>2024-12</v>
      </c>
    </row>
    <row r="461" spans="1:8">
      <c r="A461">
        <v>460</v>
      </c>
      <c r="B461" s="1">
        <v>45913</v>
      </c>
      <c r="C461" t="s">
        <v>1099</v>
      </c>
      <c r="D461" t="s">
        <v>259</v>
      </c>
      <c r="E461">
        <v>1</v>
      </c>
      <c r="F461">
        <v>2751</v>
      </c>
      <c r="G461">
        <f>TbReceitas[[#This Row],[quantidade]]*TbReceitas[[#This Row],[preco_unitario]]</f>
        <v>2751</v>
      </c>
      <c r="H461" t="str">
        <f>TEXT(TbReceitas[[#This Row],[data_transacao]], "aaaa-mm")</f>
        <v>2025-09</v>
      </c>
    </row>
    <row r="462" spans="1:8">
      <c r="A462">
        <v>461</v>
      </c>
      <c r="B462" s="1">
        <v>45895</v>
      </c>
      <c r="C462" t="s">
        <v>767</v>
      </c>
      <c r="D462" t="s">
        <v>672</v>
      </c>
      <c r="E462">
        <v>3</v>
      </c>
      <c r="F462">
        <v>21051</v>
      </c>
      <c r="G462">
        <f>TbReceitas[[#This Row],[quantidade]]*TbReceitas[[#This Row],[preco_unitario]]</f>
        <v>63153</v>
      </c>
      <c r="H462" t="str">
        <f>TEXT(TbReceitas[[#This Row],[data_transacao]], "aaaa-mm")</f>
        <v>2025-08</v>
      </c>
    </row>
    <row r="463" spans="1:8">
      <c r="A463">
        <v>462</v>
      </c>
      <c r="B463" s="1">
        <v>45919</v>
      </c>
      <c r="C463" t="s">
        <v>918</v>
      </c>
      <c r="D463" t="s">
        <v>592</v>
      </c>
      <c r="E463">
        <v>1</v>
      </c>
      <c r="F463">
        <v>11471</v>
      </c>
      <c r="G463">
        <f>TbReceitas[[#This Row],[quantidade]]*TbReceitas[[#This Row],[preco_unitario]]</f>
        <v>11471</v>
      </c>
      <c r="H463" t="str">
        <f>TEXT(TbReceitas[[#This Row],[data_transacao]], "aaaa-mm")</f>
        <v>2025-09</v>
      </c>
    </row>
    <row r="464" spans="1:8">
      <c r="A464">
        <v>463</v>
      </c>
      <c r="B464" s="1">
        <v>46090</v>
      </c>
      <c r="C464" t="s">
        <v>1100</v>
      </c>
      <c r="D464" t="s">
        <v>508</v>
      </c>
      <c r="E464">
        <v>5</v>
      </c>
      <c r="F464">
        <v>12755</v>
      </c>
      <c r="G464">
        <f>TbReceitas[[#This Row],[quantidade]]*TbReceitas[[#This Row],[preco_unitario]]</f>
        <v>63775</v>
      </c>
      <c r="H464" t="str">
        <f>TEXT(TbReceitas[[#This Row],[data_transacao]], "aaaa-mm")</f>
        <v>2026-03</v>
      </c>
    </row>
    <row r="465" spans="1:8">
      <c r="A465">
        <v>464</v>
      </c>
      <c r="B465" s="1">
        <v>46091</v>
      </c>
      <c r="C465" t="s">
        <v>991</v>
      </c>
      <c r="D465" t="s">
        <v>465</v>
      </c>
      <c r="E465">
        <v>5</v>
      </c>
      <c r="F465">
        <v>6944</v>
      </c>
      <c r="G465">
        <f>TbReceitas[[#This Row],[quantidade]]*TbReceitas[[#This Row],[preco_unitario]]</f>
        <v>34720</v>
      </c>
      <c r="H465" t="str">
        <f>TEXT(TbReceitas[[#This Row],[data_transacao]], "aaaa-mm")</f>
        <v>2026-03</v>
      </c>
    </row>
    <row r="466" spans="1:8">
      <c r="A466">
        <v>465</v>
      </c>
      <c r="B466" s="1">
        <v>46166</v>
      </c>
      <c r="C466" t="s">
        <v>763</v>
      </c>
      <c r="D466" t="s">
        <v>53</v>
      </c>
      <c r="E466">
        <v>5</v>
      </c>
      <c r="F466">
        <v>8689</v>
      </c>
      <c r="G466">
        <f>TbReceitas[[#This Row],[quantidade]]*TbReceitas[[#This Row],[preco_unitario]]</f>
        <v>43445</v>
      </c>
      <c r="H466" t="str">
        <f>TEXT(TbReceitas[[#This Row],[data_transacao]], "aaaa-mm")</f>
        <v>2026-05</v>
      </c>
    </row>
    <row r="467" spans="1:8">
      <c r="A467">
        <v>466</v>
      </c>
      <c r="B467" s="1">
        <v>45799</v>
      </c>
      <c r="C467" t="s">
        <v>1101</v>
      </c>
      <c r="D467" t="s">
        <v>404</v>
      </c>
      <c r="E467">
        <v>4</v>
      </c>
      <c r="F467">
        <v>23298</v>
      </c>
      <c r="G467">
        <f>TbReceitas[[#This Row],[quantidade]]*TbReceitas[[#This Row],[preco_unitario]]</f>
        <v>93192</v>
      </c>
      <c r="H467" t="str">
        <f>TEXT(TbReceitas[[#This Row],[data_transacao]], "aaaa-mm")</f>
        <v>2025-05</v>
      </c>
    </row>
    <row r="468" spans="1:8">
      <c r="A468">
        <v>467</v>
      </c>
      <c r="B468" s="1">
        <v>45894</v>
      </c>
      <c r="C468" t="s">
        <v>1102</v>
      </c>
      <c r="D468" t="s">
        <v>122</v>
      </c>
      <c r="E468">
        <v>5</v>
      </c>
      <c r="F468">
        <v>2704</v>
      </c>
      <c r="G468">
        <f>TbReceitas[[#This Row],[quantidade]]*TbReceitas[[#This Row],[preco_unitario]]</f>
        <v>13520</v>
      </c>
      <c r="H468" t="str">
        <f>TEXT(TbReceitas[[#This Row],[data_transacao]], "aaaa-mm")</f>
        <v>2025-08</v>
      </c>
    </row>
    <row r="469" spans="1:8">
      <c r="A469">
        <v>468</v>
      </c>
      <c r="B469" s="1">
        <v>45888</v>
      </c>
      <c r="C469" t="s">
        <v>962</v>
      </c>
      <c r="D469" t="s">
        <v>634</v>
      </c>
      <c r="E469">
        <v>2</v>
      </c>
      <c r="F469">
        <v>21686</v>
      </c>
      <c r="G469">
        <f>TbReceitas[[#This Row],[quantidade]]*TbReceitas[[#This Row],[preco_unitario]]</f>
        <v>43372</v>
      </c>
      <c r="H469" t="str">
        <f>TEXT(TbReceitas[[#This Row],[data_transacao]], "aaaa-mm")</f>
        <v>2025-08</v>
      </c>
    </row>
    <row r="470" spans="1:8">
      <c r="A470">
        <v>469</v>
      </c>
      <c r="B470" s="1">
        <v>46046</v>
      </c>
      <c r="C470" t="s">
        <v>1103</v>
      </c>
      <c r="D470" t="s">
        <v>259</v>
      </c>
      <c r="E470">
        <v>5</v>
      </c>
      <c r="F470">
        <v>2751</v>
      </c>
      <c r="G470">
        <f>TbReceitas[[#This Row],[quantidade]]*TbReceitas[[#This Row],[preco_unitario]]</f>
        <v>13755</v>
      </c>
      <c r="H470" t="str">
        <f>TEXT(TbReceitas[[#This Row],[data_transacao]], "aaaa-mm")</f>
        <v>2026-01</v>
      </c>
    </row>
    <row r="471" spans="1:8">
      <c r="A471">
        <v>470</v>
      </c>
      <c r="B471" s="1">
        <v>45971</v>
      </c>
      <c r="C471" t="s">
        <v>1104</v>
      </c>
      <c r="D471" t="s">
        <v>343</v>
      </c>
      <c r="E471">
        <v>1</v>
      </c>
      <c r="F471">
        <v>4997</v>
      </c>
      <c r="G471">
        <f>TbReceitas[[#This Row],[quantidade]]*TbReceitas[[#This Row],[preco_unitario]]</f>
        <v>4997</v>
      </c>
      <c r="H471" t="str">
        <f>TEXT(TbReceitas[[#This Row],[data_transacao]], "aaaa-mm")</f>
        <v>2025-11</v>
      </c>
    </row>
    <row r="472" spans="1:8">
      <c r="A472">
        <v>471</v>
      </c>
      <c r="B472" s="1">
        <v>45708</v>
      </c>
      <c r="C472" t="s">
        <v>919</v>
      </c>
      <c r="D472" t="s">
        <v>211</v>
      </c>
      <c r="E472">
        <v>2</v>
      </c>
      <c r="F472">
        <v>20547</v>
      </c>
      <c r="G472">
        <f>TbReceitas[[#This Row],[quantidade]]*TbReceitas[[#This Row],[preco_unitario]]</f>
        <v>41094</v>
      </c>
      <c r="H472" t="str">
        <f>TEXT(TbReceitas[[#This Row],[data_transacao]], "aaaa-mm")</f>
        <v>2025-02</v>
      </c>
    </row>
    <row r="473" spans="1:8">
      <c r="A473">
        <v>472</v>
      </c>
      <c r="B473" s="1">
        <v>46162</v>
      </c>
      <c r="C473" t="s">
        <v>1105</v>
      </c>
      <c r="D473" t="s">
        <v>352</v>
      </c>
      <c r="E473">
        <v>4</v>
      </c>
      <c r="F473">
        <v>9748</v>
      </c>
      <c r="G473">
        <f>TbReceitas[[#This Row],[quantidade]]*TbReceitas[[#This Row],[preco_unitario]]</f>
        <v>38992</v>
      </c>
      <c r="H473" t="str">
        <f>TEXT(TbReceitas[[#This Row],[data_transacao]], "aaaa-mm")</f>
        <v>2026-05</v>
      </c>
    </row>
    <row r="474" spans="1:8">
      <c r="A474">
        <v>473</v>
      </c>
      <c r="B474" s="1">
        <v>45889</v>
      </c>
      <c r="C474" t="s">
        <v>1106</v>
      </c>
      <c r="D474" t="s">
        <v>317</v>
      </c>
      <c r="E474">
        <v>5</v>
      </c>
      <c r="F474">
        <v>18047</v>
      </c>
      <c r="G474">
        <f>TbReceitas[[#This Row],[quantidade]]*TbReceitas[[#This Row],[preco_unitario]]</f>
        <v>90235</v>
      </c>
      <c r="H474" t="str">
        <f>TEXT(TbReceitas[[#This Row],[data_transacao]], "aaaa-mm")</f>
        <v>2025-08</v>
      </c>
    </row>
    <row r="475" spans="1:8">
      <c r="A475">
        <v>474</v>
      </c>
      <c r="B475" s="1">
        <v>45666</v>
      </c>
      <c r="C475" t="s">
        <v>808</v>
      </c>
      <c r="D475" t="s">
        <v>587</v>
      </c>
      <c r="E475">
        <v>5</v>
      </c>
      <c r="F475">
        <v>2411</v>
      </c>
      <c r="G475">
        <f>TbReceitas[[#This Row],[quantidade]]*TbReceitas[[#This Row],[preco_unitario]]</f>
        <v>12055</v>
      </c>
      <c r="H475" t="str">
        <f>TEXT(TbReceitas[[#This Row],[data_transacao]], "aaaa-mm")</f>
        <v>2025-01</v>
      </c>
    </row>
    <row r="476" spans="1:8">
      <c r="A476">
        <v>475</v>
      </c>
      <c r="B476" s="1">
        <v>45740</v>
      </c>
      <c r="C476" t="s">
        <v>1107</v>
      </c>
      <c r="D476" t="s">
        <v>94</v>
      </c>
      <c r="E476">
        <v>4</v>
      </c>
      <c r="F476">
        <v>11961</v>
      </c>
      <c r="G476">
        <f>TbReceitas[[#This Row],[quantidade]]*TbReceitas[[#This Row],[preco_unitario]]</f>
        <v>47844</v>
      </c>
      <c r="H476" t="str">
        <f>TEXT(TbReceitas[[#This Row],[data_transacao]], "aaaa-mm")</f>
        <v>2025-03</v>
      </c>
    </row>
    <row r="477" spans="1:8">
      <c r="A477">
        <v>476</v>
      </c>
      <c r="B477" s="1">
        <v>45652</v>
      </c>
      <c r="C477" t="s">
        <v>803</v>
      </c>
      <c r="D477" t="s">
        <v>92</v>
      </c>
      <c r="E477">
        <v>5</v>
      </c>
      <c r="F477">
        <v>10021</v>
      </c>
      <c r="G477">
        <f>TbReceitas[[#This Row],[quantidade]]*TbReceitas[[#This Row],[preco_unitario]]</f>
        <v>50105</v>
      </c>
      <c r="H477" t="str">
        <f>TEXT(TbReceitas[[#This Row],[data_transacao]], "aaaa-mm")</f>
        <v>2024-12</v>
      </c>
    </row>
    <row r="478" spans="1:8">
      <c r="A478">
        <v>477</v>
      </c>
      <c r="B478" s="1">
        <v>46080</v>
      </c>
      <c r="C478" t="s">
        <v>880</v>
      </c>
      <c r="D478" t="s">
        <v>640</v>
      </c>
      <c r="E478">
        <v>3</v>
      </c>
      <c r="F478">
        <v>9499</v>
      </c>
      <c r="G478">
        <f>TbReceitas[[#This Row],[quantidade]]*TbReceitas[[#This Row],[preco_unitario]]</f>
        <v>28497</v>
      </c>
      <c r="H478" t="str">
        <f>TEXT(TbReceitas[[#This Row],[data_transacao]], "aaaa-mm")</f>
        <v>2026-02</v>
      </c>
    </row>
    <row r="479" spans="1:8">
      <c r="A479">
        <v>478</v>
      </c>
      <c r="B479" s="1">
        <v>45589</v>
      </c>
      <c r="C479" t="s">
        <v>894</v>
      </c>
      <c r="D479" t="s">
        <v>508</v>
      </c>
      <c r="E479">
        <v>4</v>
      </c>
      <c r="F479">
        <v>12755</v>
      </c>
      <c r="G479">
        <f>TbReceitas[[#This Row],[quantidade]]*TbReceitas[[#This Row],[preco_unitario]]</f>
        <v>51020</v>
      </c>
      <c r="H479" t="str">
        <f>TEXT(TbReceitas[[#This Row],[data_transacao]], "aaaa-mm")</f>
        <v>2024-10</v>
      </c>
    </row>
    <row r="480" spans="1:8">
      <c r="A480">
        <v>479</v>
      </c>
      <c r="B480" s="1">
        <v>45602</v>
      </c>
      <c r="C480" t="s">
        <v>810</v>
      </c>
      <c r="D480" t="s">
        <v>414</v>
      </c>
      <c r="E480">
        <v>3</v>
      </c>
      <c r="F480">
        <v>18008</v>
      </c>
      <c r="G480">
        <f>TbReceitas[[#This Row],[quantidade]]*TbReceitas[[#This Row],[preco_unitario]]</f>
        <v>54024</v>
      </c>
      <c r="H480" t="str">
        <f>TEXT(TbReceitas[[#This Row],[data_transacao]], "aaaa-mm")</f>
        <v>2024-11</v>
      </c>
    </row>
    <row r="481" spans="1:8">
      <c r="A481">
        <v>480</v>
      </c>
      <c r="B481" s="1">
        <v>46261</v>
      </c>
      <c r="C481" t="s">
        <v>1078</v>
      </c>
      <c r="D481" t="s">
        <v>516</v>
      </c>
      <c r="E481">
        <v>2</v>
      </c>
      <c r="F481">
        <v>4039</v>
      </c>
      <c r="G481">
        <f>TbReceitas[[#This Row],[quantidade]]*TbReceitas[[#This Row],[preco_unitario]]</f>
        <v>8078</v>
      </c>
      <c r="H481" t="str">
        <f>TEXT(TbReceitas[[#This Row],[data_transacao]], "aaaa-mm")</f>
        <v>2026-08</v>
      </c>
    </row>
    <row r="482" spans="1:8">
      <c r="A482">
        <v>481</v>
      </c>
      <c r="B482" s="1">
        <v>46160</v>
      </c>
      <c r="C482" t="s">
        <v>1108</v>
      </c>
      <c r="D482" t="s">
        <v>1109</v>
      </c>
      <c r="E482">
        <v>1</v>
      </c>
      <c r="F482">
        <v>18792</v>
      </c>
      <c r="G482">
        <f>TbReceitas[[#This Row],[quantidade]]*TbReceitas[[#This Row],[preco_unitario]]</f>
        <v>18792</v>
      </c>
      <c r="H482" t="str">
        <f>TEXT(TbReceitas[[#This Row],[data_transacao]], "aaaa-mm")</f>
        <v>2026-05</v>
      </c>
    </row>
    <row r="483" spans="1:8">
      <c r="A483">
        <v>482</v>
      </c>
      <c r="B483" s="1">
        <v>46170</v>
      </c>
      <c r="C483" t="s">
        <v>1110</v>
      </c>
      <c r="D483" t="s">
        <v>653</v>
      </c>
      <c r="E483">
        <v>3</v>
      </c>
      <c r="F483">
        <v>24964</v>
      </c>
      <c r="G483">
        <f>TbReceitas[[#This Row],[quantidade]]*TbReceitas[[#This Row],[preco_unitario]]</f>
        <v>74892</v>
      </c>
      <c r="H483" t="str">
        <f>TEXT(TbReceitas[[#This Row],[data_transacao]], "aaaa-mm")</f>
        <v>2026-05</v>
      </c>
    </row>
    <row r="484" spans="1:8">
      <c r="A484">
        <v>483</v>
      </c>
      <c r="B484" s="1">
        <v>46111</v>
      </c>
      <c r="C484" t="s">
        <v>1111</v>
      </c>
      <c r="D484" t="s">
        <v>406</v>
      </c>
      <c r="E484">
        <v>1</v>
      </c>
      <c r="F484">
        <v>22347</v>
      </c>
      <c r="G484">
        <f>TbReceitas[[#This Row],[quantidade]]*TbReceitas[[#This Row],[preco_unitario]]</f>
        <v>22347</v>
      </c>
      <c r="H484" t="str">
        <f>TEXT(TbReceitas[[#This Row],[data_transacao]], "aaaa-mm")</f>
        <v>2026-03</v>
      </c>
    </row>
    <row r="485" spans="1:8">
      <c r="A485">
        <v>484</v>
      </c>
      <c r="B485" s="1">
        <v>45940</v>
      </c>
      <c r="C485" t="s">
        <v>868</v>
      </c>
      <c r="D485" t="s">
        <v>678</v>
      </c>
      <c r="E485">
        <v>5</v>
      </c>
      <c r="F485">
        <v>15865</v>
      </c>
      <c r="G485">
        <f>TbReceitas[[#This Row],[quantidade]]*TbReceitas[[#This Row],[preco_unitario]]</f>
        <v>79325</v>
      </c>
      <c r="H485" t="str">
        <f>TEXT(TbReceitas[[#This Row],[data_transacao]], "aaaa-mm")</f>
        <v>2025-10</v>
      </c>
    </row>
    <row r="486" spans="1:8">
      <c r="A486">
        <v>485</v>
      </c>
      <c r="B486" s="1">
        <v>45784</v>
      </c>
      <c r="C486" t="s">
        <v>1112</v>
      </c>
      <c r="D486" t="s">
        <v>340</v>
      </c>
      <c r="E486">
        <v>4</v>
      </c>
      <c r="F486">
        <v>13813</v>
      </c>
      <c r="G486">
        <f>TbReceitas[[#This Row],[quantidade]]*TbReceitas[[#This Row],[preco_unitario]]</f>
        <v>55252</v>
      </c>
      <c r="H486" t="str">
        <f>TEXT(TbReceitas[[#This Row],[data_transacao]], "aaaa-mm")</f>
        <v>2025-05</v>
      </c>
    </row>
    <row r="487" spans="1:8">
      <c r="A487">
        <v>486</v>
      </c>
      <c r="B487" s="1">
        <v>46194</v>
      </c>
      <c r="C487" t="s">
        <v>717</v>
      </c>
      <c r="D487" t="s">
        <v>679</v>
      </c>
      <c r="E487">
        <v>5</v>
      </c>
      <c r="F487">
        <v>327</v>
      </c>
      <c r="G487">
        <f>TbReceitas[[#This Row],[quantidade]]*TbReceitas[[#This Row],[preco_unitario]]</f>
        <v>1635</v>
      </c>
      <c r="H487" t="str">
        <f>TEXT(TbReceitas[[#This Row],[data_transacao]], "aaaa-mm")</f>
        <v>2026-06</v>
      </c>
    </row>
    <row r="488" spans="1:8">
      <c r="A488">
        <v>487</v>
      </c>
      <c r="B488" s="1">
        <v>46150</v>
      </c>
      <c r="C488" t="s">
        <v>1113</v>
      </c>
      <c r="D488" t="s">
        <v>464</v>
      </c>
      <c r="E488">
        <v>2</v>
      </c>
      <c r="F488">
        <v>10835</v>
      </c>
      <c r="G488">
        <f>TbReceitas[[#This Row],[quantidade]]*TbReceitas[[#This Row],[preco_unitario]]</f>
        <v>21670</v>
      </c>
      <c r="H488" t="str">
        <f>TEXT(TbReceitas[[#This Row],[data_transacao]], "aaaa-mm")</f>
        <v>2026-05</v>
      </c>
    </row>
    <row r="489" spans="1:8">
      <c r="A489">
        <v>488</v>
      </c>
      <c r="B489" s="1">
        <v>45589</v>
      </c>
      <c r="C489" t="s">
        <v>1114</v>
      </c>
      <c r="D489" t="s">
        <v>446</v>
      </c>
      <c r="E489">
        <v>3</v>
      </c>
      <c r="F489">
        <v>21448</v>
      </c>
      <c r="G489">
        <f>TbReceitas[[#This Row],[quantidade]]*TbReceitas[[#This Row],[preco_unitario]]</f>
        <v>64344</v>
      </c>
      <c r="H489" t="str">
        <f>TEXT(TbReceitas[[#This Row],[data_transacao]], "aaaa-mm")</f>
        <v>2024-10</v>
      </c>
    </row>
    <row r="490" spans="1:8">
      <c r="A490">
        <v>489</v>
      </c>
      <c r="B490" s="1">
        <v>46026</v>
      </c>
      <c r="C490" t="s">
        <v>1115</v>
      </c>
      <c r="D490" t="s">
        <v>263</v>
      </c>
      <c r="E490">
        <v>5</v>
      </c>
      <c r="F490">
        <v>18249</v>
      </c>
      <c r="G490">
        <f>TbReceitas[[#This Row],[quantidade]]*TbReceitas[[#This Row],[preco_unitario]]</f>
        <v>91245</v>
      </c>
      <c r="H490" t="str">
        <f>TEXT(TbReceitas[[#This Row],[data_transacao]], "aaaa-mm")</f>
        <v>2026-01</v>
      </c>
    </row>
    <row r="491" spans="1:8">
      <c r="A491">
        <v>490</v>
      </c>
      <c r="B491" s="1">
        <v>45681</v>
      </c>
      <c r="C491" t="s">
        <v>1116</v>
      </c>
      <c r="D491" t="s">
        <v>533</v>
      </c>
      <c r="E491">
        <v>1</v>
      </c>
      <c r="F491">
        <v>7628</v>
      </c>
      <c r="G491">
        <f>TbReceitas[[#This Row],[quantidade]]*TbReceitas[[#This Row],[preco_unitario]]</f>
        <v>7628</v>
      </c>
      <c r="H491" t="str">
        <f>TEXT(TbReceitas[[#This Row],[data_transacao]], "aaaa-mm")</f>
        <v>2025-01</v>
      </c>
    </row>
    <row r="492" spans="1:8">
      <c r="A492">
        <v>491</v>
      </c>
      <c r="B492" s="1">
        <v>45904</v>
      </c>
      <c r="C492" t="s">
        <v>1106</v>
      </c>
      <c r="D492" t="s">
        <v>411</v>
      </c>
      <c r="E492">
        <v>1</v>
      </c>
      <c r="F492">
        <v>1601</v>
      </c>
      <c r="G492">
        <f>TbReceitas[[#This Row],[quantidade]]*TbReceitas[[#This Row],[preco_unitario]]</f>
        <v>1601</v>
      </c>
      <c r="H492" t="str">
        <f>TEXT(TbReceitas[[#This Row],[data_transacao]], "aaaa-mm")</f>
        <v>2025-09</v>
      </c>
    </row>
    <row r="493" spans="1:8">
      <c r="A493">
        <v>492</v>
      </c>
      <c r="B493" s="1">
        <v>46153</v>
      </c>
      <c r="C493" t="s">
        <v>1117</v>
      </c>
      <c r="D493" t="s">
        <v>175</v>
      </c>
      <c r="E493">
        <v>3</v>
      </c>
      <c r="F493">
        <v>1098</v>
      </c>
      <c r="G493">
        <f>TbReceitas[[#This Row],[quantidade]]*TbReceitas[[#This Row],[preco_unitario]]</f>
        <v>3294</v>
      </c>
      <c r="H493" t="str">
        <f>TEXT(TbReceitas[[#This Row],[data_transacao]], "aaaa-mm")</f>
        <v>2026-05</v>
      </c>
    </row>
    <row r="494" spans="1:8">
      <c r="A494">
        <v>493</v>
      </c>
      <c r="B494" s="1">
        <v>46223</v>
      </c>
      <c r="C494" t="s">
        <v>1089</v>
      </c>
      <c r="D494" t="s">
        <v>576</v>
      </c>
      <c r="E494">
        <v>2</v>
      </c>
      <c r="F494">
        <v>13142</v>
      </c>
      <c r="G494">
        <f>TbReceitas[[#This Row],[quantidade]]*TbReceitas[[#This Row],[preco_unitario]]</f>
        <v>26284</v>
      </c>
      <c r="H494" t="str">
        <f>TEXT(TbReceitas[[#This Row],[data_transacao]], "aaaa-mm")</f>
        <v>2026-07</v>
      </c>
    </row>
    <row r="495" spans="1:8">
      <c r="A495">
        <v>494</v>
      </c>
      <c r="B495" s="1">
        <v>46249</v>
      </c>
      <c r="C495" t="s">
        <v>824</v>
      </c>
      <c r="D495" t="s">
        <v>596</v>
      </c>
      <c r="E495">
        <v>3</v>
      </c>
      <c r="F495">
        <v>11069</v>
      </c>
      <c r="G495">
        <f>TbReceitas[[#This Row],[quantidade]]*TbReceitas[[#This Row],[preco_unitario]]</f>
        <v>33207</v>
      </c>
      <c r="H495" t="str">
        <f>TEXT(TbReceitas[[#This Row],[data_transacao]], "aaaa-mm")</f>
        <v>2026-08</v>
      </c>
    </row>
    <row r="496" spans="1:8">
      <c r="A496">
        <v>495</v>
      </c>
      <c r="B496" s="1">
        <v>46142</v>
      </c>
      <c r="C496" t="s">
        <v>1118</v>
      </c>
      <c r="D496" t="s">
        <v>194</v>
      </c>
      <c r="E496">
        <v>3</v>
      </c>
      <c r="F496">
        <v>20829</v>
      </c>
      <c r="G496">
        <f>TbReceitas[[#This Row],[quantidade]]*TbReceitas[[#This Row],[preco_unitario]]</f>
        <v>62487</v>
      </c>
      <c r="H496" t="str">
        <f>TEXT(TbReceitas[[#This Row],[data_transacao]], "aaaa-mm")</f>
        <v>2026-04</v>
      </c>
    </row>
    <row r="497" spans="1:8">
      <c r="A497">
        <v>496</v>
      </c>
      <c r="B497" s="1">
        <v>45884</v>
      </c>
      <c r="C497" t="s">
        <v>1119</v>
      </c>
      <c r="D497" t="s">
        <v>106</v>
      </c>
      <c r="E497">
        <v>1</v>
      </c>
      <c r="F497">
        <v>4671</v>
      </c>
      <c r="G497">
        <f>TbReceitas[[#This Row],[quantidade]]*TbReceitas[[#This Row],[preco_unitario]]</f>
        <v>4671</v>
      </c>
      <c r="H497" t="str">
        <f>TEXT(TbReceitas[[#This Row],[data_transacao]], "aaaa-mm")</f>
        <v>2025-08</v>
      </c>
    </row>
    <row r="498" spans="1:8">
      <c r="A498">
        <v>497</v>
      </c>
      <c r="B498" s="1">
        <v>46102</v>
      </c>
      <c r="C498" t="s">
        <v>1120</v>
      </c>
      <c r="D498" t="s">
        <v>661</v>
      </c>
      <c r="E498">
        <v>4</v>
      </c>
      <c r="F498">
        <v>4718</v>
      </c>
      <c r="G498">
        <f>TbReceitas[[#This Row],[quantidade]]*TbReceitas[[#This Row],[preco_unitario]]</f>
        <v>18872</v>
      </c>
      <c r="H498" t="str">
        <f>TEXT(TbReceitas[[#This Row],[data_transacao]], "aaaa-mm")</f>
        <v>2026-03</v>
      </c>
    </row>
    <row r="499" spans="1:8">
      <c r="A499">
        <v>498</v>
      </c>
      <c r="B499" s="1">
        <v>46089</v>
      </c>
      <c r="C499" t="s">
        <v>988</v>
      </c>
      <c r="D499" t="s">
        <v>534</v>
      </c>
      <c r="E499">
        <v>4</v>
      </c>
      <c r="F499">
        <v>1886</v>
      </c>
      <c r="G499">
        <f>TbReceitas[[#This Row],[quantidade]]*TbReceitas[[#This Row],[preco_unitario]]</f>
        <v>7544</v>
      </c>
      <c r="H499" t="str">
        <f>TEXT(TbReceitas[[#This Row],[data_transacao]], "aaaa-mm")</f>
        <v>2026-03</v>
      </c>
    </row>
    <row r="500" spans="1:8">
      <c r="A500">
        <v>499</v>
      </c>
      <c r="B500" s="1">
        <v>45562</v>
      </c>
      <c r="C500" t="s">
        <v>1121</v>
      </c>
      <c r="D500" t="s">
        <v>318</v>
      </c>
      <c r="E500">
        <v>3</v>
      </c>
      <c r="F500">
        <v>17558</v>
      </c>
      <c r="G500">
        <f>TbReceitas[[#This Row],[quantidade]]*TbReceitas[[#This Row],[preco_unitario]]</f>
        <v>52674</v>
      </c>
      <c r="H500" t="str">
        <f>TEXT(TbReceitas[[#This Row],[data_transacao]], "aaaa-mm")</f>
        <v>2024-09</v>
      </c>
    </row>
    <row r="501" spans="1:8">
      <c r="A501">
        <v>500</v>
      </c>
      <c r="B501" s="1">
        <v>45970</v>
      </c>
      <c r="C501" t="s">
        <v>891</v>
      </c>
      <c r="D501" t="s">
        <v>550</v>
      </c>
      <c r="E501">
        <v>1</v>
      </c>
      <c r="F501">
        <v>24965</v>
      </c>
      <c r="G501">
        <f>TbReceitas[[#This Row],[quantidade]]*TbReceitas[[#This Row],[preco_unitario]]</f>
        <v>24965</v>
      </c>
      <c r="H501" t="str">
        <f>TEXT(TbReceitas[[#This Row],[data_transacao]], "aaaa-mm")</f>
        <v>2025-11</v>
      </c>
    </row>
    <row r="502" spans="1:8">
      <c r="A502">
        <v>501</v>
      </c>
      <c r="B502" s="1">
        <v>46150</v>
      </c>
      <c r="C502" t="s">
        <v>1122</v>
      </c>
      <c r="D502" t="s">
        <v>136</v>
      </c>
      <c r="E502">
        <v>5</v>
      </c>
      <c r="F502">
        <v>134</v>
      </c>
      <c r="G502">
        <f>TbReceitas[[#This Row],[quantidade]]*TbReceitas[[#This Row],[preco_unitario]]</f>
        <v>670</v>
      </c>
      <c r="H502" t="str">
        <f>TEXT(TbReceitas[[#This Row],[data_transacao]], "aaaa-mm")</f>
        <v>2026-05</v>
      </c>
    </row>
    <row r="503" spans="1:8">
      <c r="A503">
        <v>502</v>
      </c>
      <c r="B503" s="1">
        <v>45854</v>
      </c>
      <c r="C503" t="s">
        <v>1043</v>
      </c>
      <c r="D503" t="s">
        <v>582</v>
      </c>
      <c r="E503">
        <v>5</v>
      </c>
      <c r="F503">
        <v>24131</v>
      </c>
      <c r="G503">
        <f>TbReceitas[[#This Row],[quantidade]]*TbReceitas[[#This Row],[preco_unitario]]</f>
        <v>120655</v>
      </c>
      <c r="H503" t="str">
        <f>TEXT(TbReceitas[[#This Row],[data_transacao]], "aaaa-mm")</f>
        <v>2025-07</v>
      </c>
    </row>
    <row r="504" spans="1:8">
      <c r="A504">
        <v>503</v>
      </c>
      <c r="B504" s="1">
        <v>46075</v>
      </c>
      <c r="C504" t="s">
        <v>1123</v>
      </c>
      <c r="D504" t="s">
        <v>207</v>
      </c>
      <c r="E504">
        <v>4</v>
      </c>
      <c r="F504">
        <v>17156</v>
      </c>
      <c r="G504">
        <f>TbReceitas[[#This Row],[quantidade]]*TbReceitas[[#This Row],[preco_unitario]]</f>
        <v>68624</v>
      </c>
      <c r="H504" t="str">
        <f>TEXT(TbReceitas[[#This Row],[data_transacao]], "aaaa-mm")</f>
        <v>2026-02</v>
      </c>
    </row>
    <row r="505" spans="1:8">
      <c r="A505">
        <v>504</v>
      </c>
      <c r="B505" s="1">
        <v>46243</v>
      </c>
      <c r="C505" t="s">
        <v>1124</v>
      </c>
      <c r="D505" t="s">
        <v>278</v>
      </c>
      <c r="E505">
        <v>1</v>
      </c>
      <c r="F505">
        <v>17591</v>
      </c>
      <c r="G505">
        <f>TbReceitas[[#This Row],[quantidade]]*TbReceitas[[#This Row],[preco_unitario]]</f>
        <v>17591</v>
      </c>
      <c r="H505" t="str">
        <f>TEXT(TbReceitas[[#This Row],[data_transacao]], "aaaa-mm")</f>
        <v>2026-08</v>
      </c>
    </row>
    <row r="506" spans="1:8">
      <c r="A506">
        <v>505</v>
      </c>
      <c r="B506" s="1">
        <v>45591</v>
      </c>
      <c r="C506" t="s">
        <v>1125</v>
      </c>
      <c r="D506" t="s">
        <v>39</v>
      </c>
      <c r="E506">
        <v>4</v>
      </c>
      <c r="F506">
        <v>12748</v>
      </c>
      <c r="G506">
        <f>TbReceitas[[#This Row],[quantidade]]*TbReceitas[[#This Row],[preco_unitario]]</f>
        <v>50992</v>
      </c>
      <c r="H506" t="str">
        <f>TEXT(TbReceitas[[#This Row],[data_transacao]], "aaaa-mm")</f>
        <v>2024-10</v>
      </c>
    </row>
    <row r="507" spans="1:8">
      <c r="A507">
        <v>506</v>
      </c>
      <c r="B507" s="1">
        <v>45926</v>
      </c>
      <c r="C507" t="s">
        <v>1126</v>
      </c>
      <c r="D507" t="s">
        <v>375</v>
      </c>
      <c r="E507">
        <v>3</v>
      </c>
      <c r="F507">
        <v>3952</v>
      </c>
      <c r="G507">
        <f>TbReceitas[[#This Row],[quantidade]]*TbReceitas[[#This Row],[preco_unitario]]</f>
        <v>11856</v>
      </c>
      <c r="H507" t="str">
        <f>TEXT(TbReceitas[[#This Row],[data_transacao]], "aaaa-mm")</f>
        <v>2025-09</v>
      </c>
    </row>
    <row r="508" spans="1:8">
      <c r="A508">
        <v>507</v>
      </c>
      <c r="B508" s="1">
        <v>46262</v>
      </c>
      <c r="C508" t="s">
        <v>1074</v>
      </c>
      <c r="D508" t="s">
        <v>321</v>
      </c>
      <c r="E508">
        <v>5</v>
      </c>
      <c r="F508">
        <v>8412</v>
      </c>
      <c r="G508">
        <f>TbReceitas[[#This Row],[quantidade]]*TbReceitas[[#This Row],[preco_unitario]]</f>
        <v>42060</v>
      </c>
      <c r="H508" t="str">
        <f>TEXT(TbReceitas[[#This Row],[data_transacao]], "aaaa-mm")</f>
        <v>2026-08</v>
      </c>
    </row>
    <row r="509" spans="1:8">
      <c r="A509">
        <v>508</v>
      </c>
      <c r="B509" s="1">
        <v>46065</v>
      </c>
      <c r="C509" t="s">
        <v>1127</v>
      </c>
      <c r="D509" t="s">
        <v>626</v>
      </c>
      <c r="E509">
        <v>2</v>
      </c>
      <c r="F509">
        <v>17147</v>
      </c>
      <c r="G509">
        <f>TbReceitas[[#This Row],[quantidade]]*TbReceitas[[#This Row],[preco_unitario]]</f>
        <v>34294</v>
      </c>
      <c r="H509" t="str">
        <f>TEXT(TbReceitas[[#This Row],[data_transacao]], "aaaa-mm")</f>
        <v>2026-02</v>
      </c>
    </row>
    <row r="510" spans="1:8">
      <c r="A510">
        <v>509</v>
      </c>
      <c r="B510" s="1">
        <v>45924</v>
      </c>
      <c r="C510" t="s">
        <v>1128</v>
      </c>
      <c r="D510" t="s">
        <v>639</v>
      </c>
      <c r="E510">
        <v>1</v>
      </c>
      <c r="F510">
        <v>4224</v>
      </c>
      <c r="G510">
        <f>TbReceitas[[#This Row],[quantidade]]*TbReceitas[[#This Row],[preco_unitario]]</f>
        <v>4224</v>
      </c>
      <c r="H510" t="str">
        <f>TEXT(TbReceitas[[#This Row],[data_transacao]], "aaaa-mm")</f>
        <v>2025-09</v>
      </c>
    </row>
    <row r="511" spans="1:8">
      <c r="A511">
        <v>510</v>
      </c>
      <c r="B511" s="1">
        <v>45788</v>
      </c>
      <c r="C511" t="s">
        <v>998</v>
      </c>
      <c r="D511" t="s">
        <v>304</v>
      </c>
      <c r="E511">
        <v>3</v>
      </c>
      <c r="F511">
        <v>1828</v>
      </c>
      <c r="G511">
        <f>TbReceitas[[#This Row],[quantidade]]*TbReceitas[[#This Row],[preco_unitario]]</f>
        <v>5484</v>
      </c>
      <c r="H511" t="str">
        <f>TEXT(TbReceitas[[#This Row],[data_transacao]], "aaaa-mm")</f>
        <v>2025-05</v>
      </c>
    </row>
    <row r="512" spans="1:8">
      <c r="A512">
        <v>511</v>
      </c>
      <c r="B512" s="1">
        <v>46019</v>
      </c>
      <c r="C512" t="s">
        <v>1129</v>
      </c>
      <c r="D512" t="s">
        <v>278</v>
      </c>
      <c r="E512">
        <v>1</v>
      </c>
      <c r="F512">
        <v>17591</v>
      </c>
      <c r="G512">
        <f>TbReceitas[[#This Row],[quantidade]]*TbReceitas[[#This Row],[preco_unitario]]</f>
        <v>17591</v>
      </c>
      <c r="H512" t="str">
        <f>TEXT(TbReceitas[[#This Row],[data_transacao]], "aaaa-mm")</f>
        <v>2025-12</v>
      </c>
    </row>
    <row r="513" spans="1:8">
      <c r="A513">
        <v>512</v>
      </c>
      <c r="B513" s="1">
        <v>46123</v>
      </c>
      <c r="C513" t="s">
        <v>1130</v>
      </c>
      <c r="D513" t="s">
        <v>345</v>
      </c>
      <c r="E513">
        <v>3</v>
      </c>
      <c r="F513">
        <v>2298</v>
      </c>
      <c r="G513">
        <f>TbReceitas[[#This Row],[quantidade]]*TbReceitas[[#This Row],[preco_unitario]]</f>
        <v>6894</v>
      </c>
      <c r="H513" t="str">
        <f>TEXT(TbReceitas[[#This Row],[data_transacao]], "aaaa-mm")</f>
        <v>2026-04</v>
      </c>
    </row>
    <row r="514" spans="1:8">
      <c r="A514">
        <v>513</v>
      </c>
      <c r="B514" s="1">
        <v>45968</v>
      </c>
      <c r="C514" t="s">
        <v>711</v>
      </c>
      <c r="D514" t="s">
        <v>626</v>
      </c>
      <c r="E514">
        <v>2</v>
      </c>
      <c r="F514">
        <v>17147</v>
      </c>
      <c r="G514">
        <f>TbReceitas[[#This Row],[quantidade]]*TbReceitas[[#This Row],[preco_unitario]]</f>
        <v>34294</v>
      </c>
      <c r="H514" t="str">
        <f>TEXT(TbReceitas[[#This Row],[data_transacao]], "aaaa-mm")</f>
        <v>2025-11</v>
      </c>
    </row>
    <row r="515" spans="1:8">
      <c r="A515">
        <v>514</v>
      </c>
      <c r="B515" s="1">
        <v>46200</v>
      </c>
      <c r="C515" t="s">
        <v>1131</v>
      </c>
      <c r="D515" t="s">
        <v>67</v>
      </c>
      <c r="E515">
        <v>4</v>
      </c>
      <c r="F515">
        <v>13019</v>
      </c>
      <c r="G515">
        <f>TbReceitas[[#This Row],[quantidade]]*TbReceitas[[#This Row],[preco_unitario]]</f>
        <v>52076</v>
      </c>
      <c r="H515" t="str">
        <f>TEXT(TbReceitas[[#This Row],[data_transacao]], "aaaa-mm")</f>
        <v>2026-06</v>
      </c>
    </row>
    <row r="516" spans="1:8">
      <c r="A516">
        <v>515</v>
      </c>
      <c r="B516" s="1">
        <v>46150</v>
      </c>
      <c r="C516" t="s">
        <v>1132</v>
      </c>
      <c r="D516" t="s">
        <v>571</v>
      </c>
      <c r="E516">
        <v>2</v>
      </c>
      <c r="F516">
        <v>7293</v>
      </c>
      <c r="G516">
        <f>TbReceitas[[#This Row],[quantidade]]*TbReceitas[[#This Row],[preco_unitario]]</f>
        <v>14586</v>
      </c>
      <c r="H516" t="str">
        <f>TEXT(TbReceitas[[#This Row],[data_transacao]], "aaaa-mm")</f>
        <v>2026-05</v>
      </c>
    </row>
    <row r="517" spans="1:8">
      <c r="A517">
        <v>516</v>
      </c>
      <c r="B517" s="1">
        <v>46019</v>
      </c>
      <c r="C517" t="s">
        <v>1133</v>
      </c>
      <c r="D517" t="s">
        <v>509</v>
      </c>
      <c r="E517">
        <v>4</v>
      </c>
      <c r="F517">
        <v>2421</v>
      </c>
      <c r="G517">
        <f>TbReceitas[[#This Row],[quantidade]]*TbReceitas[[#This Row],[preco_unitario]]</f>
        <v>9684</v>
      </c>
      <c r="H517" t="str">
        <f>TEXT(TbReceitas[[#This Row],[data_transacao]], "aaaa-mm")</f>
        <v>2025-12</v>
      </c>
    </row>
    <row r="518" spans="1:8">
      <c r="A518">
        <v>517</v>
      </c>
      <c r="B518" s="1">
        <v>46269</v>
      </c>
      <c r="C518" t="s">
        <v>1134</v>
      </c>
      <c r="D518" t="s">
        <v>632</v>
      </c>
      <c r="E518">
        <v>4</v>
      </c>
      <c r="F518">
        <v>6667</v>
      </c>
      <c r="G518">
        <f>TbReceitas[[#This Row],[quantidade]]*TbReceitas[[#This Row],[preco_unitario]]</f>
        <v>26668</v>
      </c>
      <c r="H518" t="str">
        <f>TEXT(TbReceitas[[#This Row],[data_transacao]], "aaaa-mm")</f>
        <v>2026-09</v>
      </c>
    </row>
    <row r="519" spans="1:8">
      <c r="A519">
        <v>518</v>
      </c>
      <c r="B519" s="1">
        <v>46142</v>
      </c>
      <c r="C519" t="s">
        <v>776</v>
      </c>
      <c r="D519" t="s">
        <v>512</v>
      </c>
      <c r="E519">
        <v>4</v>
      </c>
      <c r="F519">
        <v>14881</v>
      </c>
      <c r="G519">
        <f>TbReceitas[[#This Row],[quantidade]]*TbReceitas[[#This Row],[preco_unitario]]</f>
        <v>59524</v>
      </c>
      <c r="H519" t="str">
        <f>TEXT(TbReceitas[[#This Row],[data_transacao]], "aaaa-mm")</f>
        <v>2026-04</v>
      </c>
    </row>
    <row r="520" spans="1:8">
      <c r="A520">
        <v>519</v>
      </c>
      <c r="B520" s="1">
        <v>46106</v>
      </c>
      <c r="C520" t="s">
        <v>1135</v>
      </c>
      <c r="D520" t="s">
        <v>225</v>
      </c>
      <c r="E520">
        <v>4</v>
      </c>
      <c r="F520">
        <v>17354</v>
      </c>
      <c r="G520">
        <f>TbReceitas[[#This Row],[quantidade]]*TbReceitas[[#This Row],[preco_unitario]]</f>
        <v>69416</v>
      </c>
      <c r="H520" t="str">
        <f>TEXT(TbReceitas[[#This Row],[data_transacao]], "aaaa-mm")</f>
        <v>2026-03</v>
      </c>
    </row>
    <row r="521" spans="1:8">
      <c r="A521">
        <v>520</v>
      </c>
      <c r="B521" s="1">
        <v>45691</v>
      </c>
      <c r="C521" t="s">
        <v>942</v>
      </c>
      <c r="D521" t="s">
        <v>285</v>
      </c>
      <c r="E521">
        <v>4</v>
      </c>
      <c r="F521">
        <v>23725</v>
      </c>
      <c r="G521">
        <f>TbReceitas[[#This Row],[quantidade]]*TbReceitas[[#This Row],[preco_unitario]]</f>
        <v>94900</v>
      </c>
      <c r="H521" t="str">
        <f>TEXT(TbReceitas[[#This Row],[data_transacao]], "aaaa-mm")</f>
        <v>2025-02</v>
      </c>
    </row>
    <row r="522" spans="1:8">
      <c r="A522">
        <v>521</v>
      </c>
      <c r="B522" s="1">
        <v>45562</v>
      </c>
      <c r="C522" t="s">
        <v>1136</v>
      </c>
      <c r="D522" t="s">
        <v>26</v>
      </c>
      <c r="E522">
        <v>5</v>
      </c>
      <c r="F522">
        <v>936</v>
      </c>
      <c r="G522">
        <f>TbReceitas[[#This Row],[quantidade]]*TbReceitas[[#This Row],[preco_unitario]]</f>
        <v>4680</v>
      </c>
      <c r="H522" t="str">
        <f>TEXT(TbReceitas[[#This Row],[data_transacao]], "aaaa-mm")</f>
        <v>2024-09</v>
      </c>
    </row>
    <row r="523" spans="1:8">
      <c r="A523">
        <v>522</v>
      </c>
      <c r="B523" s="1">
        <v>45572</v>
      </c>
      <c r="C523" t="s">
        <v>1137</v>
      </c>
      <c r="D523" t="s">
        <v>503</v>
      </c>
      <c r="E523">
        <v>2</v>
      </c>
      <c r="F523">
        <v>6899</v>
      </c>
      <c r="G523">
        <f>TbReceitas[[#This Row],[quantidade]]*TbReceitas[[#This Row],[preco_unitario]]</f>
        <v>13798</v>
      </c>
      <c r="H523" t="str">
        <f>TEXT(TbReceitas[[#This Row],[data_transacao]], "aaaa-mm")</f>
        <v>2024-10</v>
      </c>
    </row>
    <row r="524" spans="1:8">
      <c r="A524">
        <v>523</v>
      </c>
      <c r="B524" s="1">
        <v>46261</v>
      </c>
      <c r="C524" t="s">
        <v>1019</v>
      </c>
      <c r="D524" t="s">
        <v>168</v>
      </c>
      <c r="E524">
        <v>1</v>
      </c>
      <c r="F524">
        <v>3678</v>
      </c>
      <c r="G524">
        <f>TbReceitas[[#This Row],[quantidade]]*TbReceitas[[#This Row],[preco_unitario]]</f>
        <v>3678</v>
      </c>
      <c r="H524" t="str">
        <f>TEXT(TbReceitas[[#This Row],[data_transacao]], "aaaa-mm")</f>
        <v>2026-08</v>
      </c>
    </row>
    <row r="525" spans="1:8">
      <c r="A525">
        <v>524</v>
      </c>
      <c r="B525" s="1">
        <v>45888</v>
      </c>
      <c r="C525" t="s">
        <v>885</v>
      </c>
      <c r="D525" t="s">
        <v>619</v>
      </c>
      <c r="E525">
        <v>1</v>
      </c>
      <c r="F525">
        <v>8101</v>
      </c>
      <c r="G525">
        <f>TbReceitas[[#This Row],[quantidade]]*TbReceitas[[#This Row],[preco_unitario]]</f>
        <v>8101</v>
      </c>
      <c r="H525" t="str">
        <f>TEXT(TbReceitas[[#This Row],[data_transacao]], "aaaa-mm")</f>
        <v>2025-08</v>
      </c>
    </row>
    <row r="526" spans="1:8">
      <c r="A526">
        <v>525</v>
      </c>
      <c r="B526" s="1">
        <v>45629</v>
      </c>
      <c r="C526" t="s">
        <v>1138</v>
      </c>
      <c r="D526" t="s">
        <v>304</v>
      </c>
      <c r="E526">
        <v>2</v>
      </c>
      <c r="F526">
        <v>1828</v>
      </c>
      <c r="G526">
        <f>TbReceitas[[#This Row],[quantidade]]*TbReceitas[[#This Row],[preco_unitario]]</f>
        <v>3656</v>
      </c>
      <c r="H526" t="str">
        <f>TEXT(TbReceitas[[#This Row],[data_transacao]], "aaaa-mm")</f>
        <v>2024-12</v>
      </c>
    </row>
    <row r="527" spans="1:8">
      <c r="A527">
        <v>526</v>
      </c>
      <c r="B527" s="1">
        <v>46112</v>
      </c>
      <c r="C527" t="s">
        <v>1139</v>
      </c>
      <c r="D527" t="s">
        <v>142</v>
      </c>
      <c r="E527">
        <v>3</v>
      </c>
      <c r="F527">
        <v>3871</v>
      </c>
      <c r="G527">
        <f>TbReceitas[[#This Row],[quantidade]]*TbReceitas[[#This Row],[preco_unitario]]</f>
        <v>11613</v>
      </c>
      <c r="H527" t="str">
        <f>TEXT(TbReceitas[[#This Row],[data_transacao]], "aaaa-mm")</f>
        <v>2026-03</v>
      </c>
    </row>
    <row r="528" spans="1:8">
      <c r="A528">
        <v>527</v>
      </c>
      <c r="B528" s="1">
        <v>46233</v>
      </c>
      <c r="C528" t="s">
        <v>747</v>
      </c>
      <c r="D528" t="s">
        <v>491</v>
      </c>
      <c r="E528">
        <v>1</v>
      </c>
      <c r="F528">
        <v>16893</v>
      </c>
      <c r="G528">
        <f>TbReceitas[[#This Row],[quantidade]]*TbReceitas[[#This Row],[preco_unitario]]</f>
        <v>16893</v>
      </c>
      <c r="H528" t="str">
        <f>TEXT(TbReceitas[[#This Row],[data_transacao]], "aaaa-mm")</f>
        <v>2026-07</v>
      </c>
    </row>
    <row r="529" spans="1:8">
      <c r="A529">
        <v>528</v>
      </c>
      <c r="B529" s="1">
        <v>45710</v>
      </c>
      <c r="C529" t="s">
        <v>1140</v>
      </c>
      <c r="D529" t="s">
        <v>98</v>
      </c>
      <c r="E529">
        <v>4</v>
      </c>
      <c r="F529">
        <v>10903</v>
      </c>
      <c r="G529">
        <f>TbReceitas[[#This Row],[quantidade]]*TbReceitas[[#This Row],[preco_unitario]]</f>
        <v>43612</v>
      </c>
      <c r="H529" t="str">
        <f>TEXT(TbReceitas[[#This Row],[data_transacao]], "aaaa-mm")</f>
        <v>2025-02</v>
      </c>
    </row>
    <row r="530" spans="1:8">
      <c r="A530">
        <v>529</v>
      </c>
      <c r="B530" s="1">
        <v>45711</v>
      </c>
      <c r="C530" t="s">
        <v>1141</v>
      </c>
      <c r="D530" t="s">
        <v>113</v>
      </c>
      <c r="E530">
        <v>5</v>
      </c>
      <c r="F530">
        <v>814</v>
      </c>
      <c r="G530">
        <f>TbReceitas[[#This Row],[quantidade]]*TbReceitas[[#This Row],[preco_unitario]]</f>
        <v>4070</v>
      </c>
      <c r="H530" t="str">
        <f>TEXT(TbReceitas[[#This Row],[data_transacao]], "aaaa-mm")</f>
        <v>2025-02</v>
      </c>
    </row>
    <row r="531" spans="1:8">
      <c r="A531">
        <v>530</v>
      </c>
      <c r="B531" s="1">
        <v>46122</v>
      </c>
      <c r="C531" t="s">
        <v>1142</v>
      </c>
      <c r="D531" t="s">
        <v>121</v>
      </c>
      <c r="E531">
        <v>1</v>
      </c>
      <c r="F531">
        <v>9685</v>
      </c>
      <c r="G531">
        <f>TbReceitas[[#This Row],[quantidade]]*TbReceitas[[#This Row],[preco_unitario]]</f>
        <v>9685</v>
      </c>
      <c r="H531" t="str">
        <f>TEXT(TbReceitas[[#This Row],[data_transacao]], "aaaa-mm")</f>
        <v>2026-04</v>
      </c>
    </row>
    <row r="532" spans="1:8">
      <c r="A532">
        <v>531</v>
      </c>
      <c r="B532" s="1">
        <v>46023</v>
      </c>
      <c r="C532" t="s">
        <v>1070</v>
      </c>
      <c r="D532" t="s">
        <v>15</v>
      </c>
      <c r="E532">
        <v>2</v>
      </c>
      <c r="F532">
        <v>15605</v>
      </c>
      <c r="G532">
        <f>TbReceitas[[#This Row],[quantidade]]*TbReceitas[[#This Row],[preco_unitario]]</f>
        <v>31210</v>
      </c>
      <c r="H532" t="str">
        <f>TEXT(TbReceitas[[#This Row],[data_transacao]], "aaaa-mm")</f>
        <v>2026-01</v>
      </c>
    </row>
    <row r="533" spans="1:8">
      <c r="A533">
        <v>532</v>
      </c>
      <c r="B533" s="1">
        <v>45716</v>
      </c>
      <c r="C533" t="s">
        <v>1143</v>
      </c>
      <c r="D533" t="s">
        <v>253</v>
      </c>
      <c r="E533">
        <v>2</v>
      </c>
      <c r="F533">
        <v>20646</v>
      </c>
      <c r="G533">
        <f>TbReceitas[[#This Row],[quantidade]]*TbReceitas[[#This Row],[preco_unitario]]</f>
        <v>41292</v>
      </c>
      <c r="H533" t="str">
        <f>TEXT(TbReceitas[[#This Row],[data_transacao]], "aaaa-mm")</f>
        <v>2025-02</v>
      </c>
    </row>
    <row r="534" spans="1:8">
      <c r="A534">
        <v>533</v>
      </c>
      <c r="B534" s="1">
        <v>45605</v>
      </c>
      <c r="C534" t="s">
        <v>1144</v>
      </c>
      <c r="D534" t="s">
        <v>542</v>
      </c>
      <c r="E534">
        <v>1</v>
      </c>
      <c r="F534">
        <v>1697</v>
      </c>
      <c r="G534">
        <f>TbReceitas[[#This Row],[quantidade]]*TbReceitas[[#This Row],[preco_unitario]]</f>
        <v>1697</v>
      </c>
      <c r="H534" t="str">
        <f>TEXT(TbReceitas[[#This Row],[data_transacao]], "aaaa-mm")</f>
        <v>2024-11</v>
      </c>
    </row>
    <row r="535" spans="1:8">
      <c r="A535">
        <v>534</v>
      </c>
      <c r="B535" s="1">
        <v>45802</v>
      </c>
      <c r="C535" t="s">
        <v>1145</v>
      </c>
      <c r="D535" t="s">
        <v>191</v>
      </c>
      <c r="E535">
        <v>4</v>
      </c>
      <c r="F535">
        <v>18422</v>
      </c>
      <c r="G535">
        <f>TbReceitas[[#This Row],[quantidade]]*TbReceitas[[#This Row],[preco_unitario]]</f>
        <v>73688</v>
      </c>
      <c r="H535" t="str">
        <f>TEXT(TbReceitas[[#This Row],[data_transacao]], "aaaa-mm")</f>
        <v>2025-05</v>
      </c>
    </row>
    <row r="536" spans="1:8">
      <c r="A536">
        <v>535</v>
      </c>
      <c r="B536" s="1">
        <v>45732</v>
      </c>
      <c r="C536" t="s">
        <v>894</v>
      </c>
      <c r="D536" t="s">
        <v>699</v>
      </c>
      <c r="E536">
        <v>2</v>
      </c>
      <c r="F536">
        <v>12969</v>
      </c>
      <c r="G536">
        <f>TbReceitas[[#This Row],[quantidade]]*TbReceitas[[#This Row],[preco_unitario]]</f>
        <v>25938</v>
      </c>
      <c r="H536" t="str">
        <f>TEXT(TbReceitas[[#This Row],[data_transacao]], "aaaa-mm")</f>
        <v>2025-03</v>
      </c>
    </row>
    <row r="537" spans="1:8">
      <c r="A537">
        <v>536</v>
      </c>
      <c r="B537" s="1">
        <v>45553</v>
      </c>
      <c r="C537" t="s">
        <v>1146</v>
      </c>
      <c r="D537" t="s">
        <v>33</v>
      </c>
      <c r="E537">
        <v>1</v>
      </c>
      <c r="F537">
        <v>20998</v>
      </c>
      <c r="G537">
        <f>TbReceitas[[#This Row],[quantidade]]*TbReceitas[[#This Row],[preco_unitario]]</f>
        <v>20998</v>
      </c>
      <c r="H537" t="str">
        <f>TEXT(TbReceitas[[#This Row],[data_transacao]], "aaaa-mm")</f>
        <v>2024-09</v>
      </c>
    </row>
    <row r="538" spans="1:8">
      <c r="A538">
        <v>537</v>
      </c>
      <c r="B538" s="1">
        <v>46083</v>
      </c>
      <c r="C538" t="s">
        <v>1147</v>
      </c>
      <c r="D538" t="s">
        <v>554</v>
      </c>
      <c r="E538">
        <v>5</v>
      </c>
      <c r="F538">
        <v>23347</v>
      </c>
      <c r="G538">
        <f>TbReceitas[[#This Row],[quantidade]]*TbReceitas[[#This Row],[preco_unitario]]</f>
        <v>116735</v>
      </c>
      <c r="H538" t="str">
        <f>TEXT(TbReceitas[[#This Row],[data_transacao]], "aaaa-mm")</f>
        <v>2026-03</v>
      </c>
    </row>
    <row r="539" spans="1:8">
      <c r="A539">
        <v>538</v>
      </c>
      <c r="B539" s="1">
        <v>45969</v>
      </c>
      <c r="C539" t="s">
        <v>968</v>
      </c>
      <c r="D539" t="s">
        <v>650</v>
      </c>
      <c r="E539">
        <v>1</v>
      </c>
      <c r="F539">
        <v>15259</v>
      </c>
      <c r="G539">
        <f>TbReceitas[[#This Row],[quantidade]]*TbReceitas[[#This Row],[preco_unitario]]</f>
        <v>15259</v>
      </c>
      <c r="H539" t="str">
        <f>TEXT(TbReceitas[[#This Row],[data_transacao]], "aaaa-mm")</f>
        <v>2025-11</v>
      </c>
    </row>
    <row r="540" spans="1:8">
      <c r="A540">
        <v>539</v>
      </c>
      <c r="B540" s="1">
        <v>46246</v>
      </c>
      <c r="C540" t="s">
        <v>1134</v>
      </c>
      <c r="D540" t="s">
        <v>26</v>
      </c>
      <c r="E540">
        <v>1</v>
      </c>
      <c r="F540">
        <v>936</v>
      </c>
      <c r="G540">
        <f>TbReceitas[[#This Row],[quantidade]]*TbReceitas[[#This Row],[preco_unitario]]</f>
        <v>936</v>
      </c>
      <c r="H540" t="str">
        <f>TEXT(TbReceitas[[#This Row],[data_transacao]], "aaaa-mm")</f>
        <v>2026-08</v>
      </c>
    </row>
    <row r="541" spans="1:8">
      <c r="A541">
        <v>540</v>
      </c>
      <c r="B541" s="1">
        <v>46019</v>
      </c>
      <c r="C541" t="s">
        <v>1148</v>
      </c>
      <c r="D541" t="s">
        <v>628</v>
      </c>
      <c r="E541">
        <v>3</v>
      </c>
      <c r="F541">
        <v>4049</v>
      </c>
      <c r="G541">
        <f>TbReceitas[[#This Row],[quantidade]]*TbReceitas[[#This Row],[preco_unitario]]</f>
        <v>12147</v>
      </c>
      <c r="H541" t="str">
        <f>TEXT(TbReceitas[[#This Row],[data_transacao]], "aaaa-mm")</f>
        <v>2025-12</v>
      </c>
    </row>
    <row r="542" spans="1:8">
      <c r="A542">
        <v>541</v>
      </c>
      <c r="B542" s="1">
        <v>46132</v>
      </c>
      <c r="C542" t="s">
        <v>724</v>
      </c>
      <c r="D542" t="s">
        <v>151</v>
      </c>
      <c r="E542">
        <v>3</v>
      </c>
      <c r="F542">
        <v>19706</v>
      </c>
      <c r="G542">
        <f>TbReceitas[[#This Row],[quantidade]]*TbReceitas[[#This Row],[preco_unitario]]</f>
        <v>59118</v>
      </c>
      <c r="H542" t="str">
        <f>TEXT(TbReceitas[[#This Row],[data_transacao]], "aaaa-mm")</f>
        <v>2026-04</v>
      </c>
    </row>
    <row r="543" spans="1:8">
      <c r="A543">
        <v>542</v>
      </c>
      <c r="B543" s="1">
        <v>46225</v>
      </c>
      <c r="C543" t="s">
        <v>891</v>
      </c>
      <c r="D543" t="s">
        <v>364</v>
      </c>
      <c r="E543">
        <v>1</v>
      </c>
      <c r="F543">
        <v>176</v>
      </c>
      <c r="G543">
        <f>TbReceitas[[#This Row],[quantidade]]*TbReceitas[[#This Row],[preco_unitario]]</f>
        <v>176</v>
      </c>
      <c r="H543" t="str">
        <f>TEXT(TbReceitas[[#This Row],[data_transacao]], "aaaa-mm")</f>
        <v>2026-07</v>
      </c>
    </row>
    <row r="544" spans="1:8">
      <c r="A544">
        <v>543</v>
      </c>
      <c r="B544" s="1">
        <v>46253</v>
      </c>
      <c r="C544" t="s">
        <v>1149</v>
      </c>
      <c r="D544" t="s">
        <v>35</v>
      </c>
      <c r="E544">
        <v>4</v>
      </c>
      <c r="F544">
        <v>132</v>
      </c>
      <c r="G544">
        <f>TbReceitas[[#This Row],[quantidade]]*TbReceitas[[#This Row],[preco_unitario]]</f>
        <v>528</v>
      </c>
      <c r="H544" t="str">
        <f>TEXT(TbReceitas[[#This Row],[data_transacao]], "aaaa-mm")</f>
        <v>2026-08</v>
      </c>
    </row>
    <row r="545" spans="1:8">
      <c r="A545">
        <v>544</v>
      </c>
      <c r="B545" s="1">
        <v>46042</v>
      </c>
      <c r="C545" t="s">
        <v>760</v>
      </c>
      <c r="D545" t="s">
        <v>682</v>
      </c>
      <c r="E545">
        <v>1</v>
      </c>
      <c r="F545">
        <v>23494</v>
      </c>
      <c r="G545">
        <f>TbReceitas[[#This Row],[quantidade]]*TbReceitas[[#This Row],[preco_unitario]]</f>
        <v>23494</v>
      </c>
      <c r="H545" t="str">
        <f>TEXT(TbReceitas[[#This Row],[data_transacao]], "aaaa-mm")</f>
        <v>2026-01</v>
      </c>
    </row>
    <row r="546" spans="1:8">
      <c r="A546">
        <v>545</v>
      </c>
      <c r="B546" s="1">
        <v>46137</v>
      </c>
      <c r="C546" t="s">
        <v>1150</v>
      </c>
      <c r="D546" t="s">
        <v>213</v>
      </c>
      <c r="E546">
        <v>2</v>
      </c>
      <c r="F546">
        <v>22847</v>
      </c>
      <c r="G546">
        <f>TbReceitas[[#This Row],[quantidade]]*TbReceitas[[#This Row],[preco_unitario]]</f>
        <v>45694</v>
      </c>
      <c r="H546" t="str">
        <f>TEXT(TbReceitas[[#This Row],[data_transacao]], "aaaa-mm")</f>
        <v>2026-04</v>
      </c>
    </row>
    <row r="547" spans="1:8">
      <c r="A547">
        <v>546</v>
      </c>
      <c r="B547" s="1">
        <v>45978</v>
      </c>
      <c r="C547" t="s">
        <v>1151</v>
      </c>
      <c r="D547" t="s">
        <v>360</v>
      </c>
      <c r="E547">
        <v>4</v>
      </c>
      <c r="F547">
        <v>8663</v>
      </c>
      <c r="G547">
        <f>TbReceitas[[#This Row],[quantidade]]*TbReceitas[[#This Row],[preco_unitario]]</f>
        <v>34652</v>
      </c>
      <c r="H547" t="str">
        <f>TEXT(TbReceitas[[#This Row],[data_transacao]], "aaaa-mm")</f>
        <v>2025-11</v>
      </c>
    </row>
    <row r="548" spans="1:8">
      <c r="A548">
        <v>547</v>
      </c>
      <c r="B548" s="1">
        <v>46013</v>
      </c>
      <c r="C548" t="s">
        <v>709</v>
      </c>
      <c r="D548" t="s">
        <v>352</v>
      </c>
      <c r="E548">
        <v>1</v>
      </c>
      <c r="F548">
        <v>9748</v>
      </c>
      <c r="G548">
        <f>TbReceitas[[#This Row],[quantidade]]*TbReceitas[[#This Row],[preco_unitario]]</f>
        <v>9748</v>
      </c>
      <c r="H548" t="str">
        <f>TEXT(TbReceitas[[#This Row],[data_transacao]], "aaaa-mm")</f>
        <v>2025-12</v>
      </c>
    </row>
    <row r="549" spans="1:8">
      <c r="A549">
        <v>548</v>
      </c>
      <c r="B549" s="1">
        <v>46237</v>
      </c>
      <c r="C549" t="s">
        <v>855</v>
      </c>
      <c r="D549" t="s">
        <v>121</v>
      </c>
      <c r="E549">
        <v>2</v>
      </c>
      <c r="F549">
        <v>9685</v>
      </c>
      <c r="G549">
        <f>TbReceitas[[#This Row],[quantidade]]*TbReceitas[[#This Row],[preco_unitario]]</f>
        <v>19370</v>
      </c>
      <c r="H549" t="str">
        <f>TEXT(TbReceitas[[#This Row],[data_transacao]], "aaaa-mm")</f>
        <v>2026-08</v>
      </c>
    </row>
    <row r="550" spans="1:8">
      <c r="A550">
        <v>549</v>
      </c>
      <c r="B550" s="1">
        <v>46023</v>
      </c>
      <c r="C550" t="s">
        <v>1152</v>
      </c>
      <c r="D550" t="s">
        <v>128</v>
      </c>
      <c r="E550">
        <v>3</v>
      </c>
      <c r="F550">
        <v>16257</v>
      </c>
      <c r="G550">
        <f>TbReceitas[[#This Row],[quantidade]]*TbReceitas[[#This Row],[preco_unitario]]</f>
        <v>48771</v>
      </c>
      <c r="H550" t="str">
        <f>TEXT(TbReceitas[[#This Row],[data_transacao]], "aaaa-mm")</f>
        <v>2026-01</v>
      </c>
    </row>
    <row r="551" spans="1:8">
      <c r="A551">
        <v>550</v>
      </c>
      <c r="B551" s="1">
        <v>46206</v>
      </c>
      <c r="C551" t="s">
        <v>894</v>
      </c>
      <c r="D551" t="s">
        <v>581</v>
      </c>
      <c r="E551">
        <v>5</v>
      </c>
      <c r="F551">
        <v>2067</v>
      </c>
      <c r="G551">
        <f>TbReceitas[[#This Row],[quantidade]]*TbReceitas[[#This Row],[preco_unitario]]</f>
        <v>10335</v>
      </c>
      <c r="H551" t="str">
        <f>TEXT(TbReceitas[[#This Row],[data_transacao]], "aaaa-mm")</f>
        <v>2026-07</v>
      </c>
    </row>
    <row r="552" spans="1:8">
      <c r="A552">
        <v>551</v>
      </c>
      <c r="B552" s="1">
        <v>45892</v>
      </c>
      <c r="C552" t="s">
        <v>1065</v>
      </c>
      <c r="D552" t="s">
        <v>533</v>
      </c>
      <c r="E552">
        <v>3</v>
      </c>
      <c r="F552">
        <v>7628</v>
      </c>
      <c r="G552">
        <f>TbReceitas[[#This Row],[quantidade]]*TbReceitas[[#This Row],[preco_unitario]]</f>
        <v>22884</v>
      </c>
      <c r="H552" t="str">
        <f>TEXT(TbReceitas[[#This Row],[data_transacao]], "aaaa-mm")</f>
        <v>2025-08</v>
      </c>
    </row>
    <row r="553" spans="1:8">
      <c r="A553">
        <v>552</v>
      </c>
      <c r="B553" s="1">
        <v>46237</v>
      </c>
      <c r="C553" t="s">
        <v>1153</v>
      </c>
      <c r="D553" t="s">
        <v>156</v>
      </c>
      <c r="E553">
        <v>3</v>
      </c>
      <c r="F553">
        <v>20451</v>
      </c>
      <c r="G553">
        <f>TbReceitas[[#This Row],[quantidade]]*TbReceitas[[#This Row],[preco_unitario]]</f>
        <v>61353</v>
      </c>
      <c r="H553" t="str">
        <f>TEXT(TbReceitas[[#This Row],[data_transacao]], "aaaa-mm")</f>
        <v>2026-08</v>
      </c>
    </row>
    <row r="554" spans="1:8">
      <c r="A554">
        <v>553</v>
      </c>
      <c r="B554" s="1">
        <v>45579</v>
      </c>
      <c r="C554" t="s">
        <v>861</v>
      </c>
      <c r="D554" t="s">
        <v>167</v>
      </c>
      <c r="E554">
        <v>5</v>
      </c>
      <c r="F554">
        <v>13706</v>
      </c>
      <c r="G554">
        <f>TbReceitas[[#This Row],[quantidade]]*TbReceitas[[#This Row],[preco_unitario]]</f>
        <v>68530</v>
      </c>
      <c r="H554" t="str">
        <f>TEXT(TbReceitas[[#This Row],[data_transacao]], "aaaa-mm")</f>
        <v>2024-10</v>
      </c>
    </row>
    <row r="555" spans="1:8">
      <c r="A555">
        <v>554</v>
      </c>
      <c r="B555" s="1">
        <v>45954</v>
      </c>
      <c r="C555" t="s">
        <v>1154</v>
      </c>
      <c r="D555" t="s">
        <v>275</v>
      </c>
      <c r="E555">
        <v>5</v>
      </c>
      <c r="F555">
        <v>1708</v>
      </c>
      <c r="G555">
        <f>TbReceitas[[#This Row],[quantidade]]*TbReceitas[[#This Row],[preco_unitario]]</f>
        <v>8540</v>
      </c>
      <c r="H555" t="str">
        <f>TEXT(TbReceitas[[#This Row],[data_transacao]], "aaaa-mm")</f>
        <v>2025-10</v>
      </c>
    </row>
    <row r="556" spans="1:8">
      <c r="A556">
        <v>555</v>
      </c>
      <c r="B556" s="1">
        <v>46163</v>
      </c>
      <c r="C556" t="s">
        <v>988</v>
      </c>
      <c r="D556" t="s">
        <v>394</v>
      </c>
      <c r="E556">
        <v>1</v>
      </c>
      <c r="F556">
        <v>10708</v>
      </c>
      <c r="G556">
        <f>TbReceitas[[#This Row],[quantidade]]*TbReceitas[[#This Row],[preco_unitario]]</f>
        <v>10708</v>
      </c>
      <c r="H556" t="str">
        <f>TEXT(TbReceitas[[#This Row],[data_transacao]], "aaaa-mm")</f>
        <v>2026-05</v>
      </c>
    </row>
    <row r="557" spans="1:8">
      <c r="A557">
        <v>556</v>
      </c>
      <c r="B557" s="1">
        <v>45790</v>
      </c>
      <c r="C557" t="s">
        <v>1155</v>
      </c>
      <c r="D557" t="s">
        <v>10</v>
      </c>
      <c r="E557">
        <v>2</v>
      </c>
      <c r="F557">
        <v>9876</v>
      </c>
      <c r="G557">
        <f>TbReceitas[[#This Row],[quantidade]]*TbReceitas[[#This Row],[preco_unitario]]</f>
        <v>19752</v>
      </c>
      <c r="H557" t="str">
        <f>TEXT(TbReceitas[[#This Row],[data_transacao]], "aaaa-mm")</f>
        <v>2025-05</v>
      </c>
    </row>
    <row r="558" spans="1:8">
      <c r="A558">
        <v>557</v>
      </c>
      <c r="B558" s="1">
        <v>46002</v>
      </c>
      <c r="C558" t="s">
        <v>844</v>
      </c>
      <c r="D558" t="s">
        <v>42</v>
      </c>
      <c r="E558">
        <v>5</v>
      </c>
      <c r="F558">
        <v>23918</v>
      </c>
      <c r="G558">
        <f>TbReceitas[[#This Row],[quantidade]]*TbReceitas[[#This Row],[preco_unitario]]</f>
        <v>119590</v>
      </c>
      <c r="H558" t="str">
        <f>TEXT(TbReceitas[[#This Row],[data_transacao]], "aaaa-mm")</f>
        <v>2025-12</v>
      </c>
    </row>
    <row r="559" spans="1:8">
      <c r="A559">
        <v>558</v>
      </c>
      <c r="B559" s="1">
        <v>45636</v>
      </c>
      <c r="C559" t="s">
        <v>881</v>
      </c>
      <c r="D559" t="s">
        <v>22</v>
      </c>
      <c r="E559">
        <v>3</v>
      </c>
      <c r="F559">
        <v>15801</v>
      </c>
      <c r="G559">
        <f>TbReceitas[[#This Row],[quantidade]]*TbReceitas[[#This Row],[preco_unitario]]</f>
        <v>47403</v>
      </c>
      <c r="H559" t="str">
        <f>TEXT(TbReceitas[[#This Row],[data_transacao]], "aaaa-mm")</f>
        <v>2024-12</v>
      </c>
    </row>
    <row r="560" spans="1:8">
      <c r="A560">
        <v>559</v>
      </c>
      <c r="B560" s="1">
        <v>45571</v>
      </c>
      <c r="C560" t="s">
        <v>1156</v>
      </c>
      <c r="D560" t="s">
        <v>300</v>
      </c>
      <c r="E560">
        <v>2</v>
      </c>
      <c r="F560">
        <v>734</v>
      </c>
      <c r="G560">
        <f>TbReceitas[[#This Row],[quantidade]]*TbReceitas[[#This Row],[preco_unitario]]</f>
        <v>1468</v>
      </c>
      <c r="H560" t="str">
        <f>TEXT(TbReceitas[[#This Row],[data_transacao]], "aaaa-mm")</f>
        <v>2024-10</v>
      </c>
    </row>
    <row r="561" spans="1:8">
      <c r="A561">
        <v>560</v>
      </c>
      <c r="B561" s="1">
        <v>45583</v>
      </c>
      <c r="C561" t="s">
        <v>1157</v>
      </c>
      <c r="D561" t="s">
        <v>325</v>
      </c>
      <c r="E561">
        <v>5</v>
      </c>
      <c r="F561">
        <v>15415</v>
      </c>
      <c r="G561">
        <f>TbReceitas[[#This Row],[quantidade]]*TbReceitas[[#This Row],[preco_unitario]]</f>
        <v>77075</v>
      </c>
      <c r="H561" t="str">
        <f>TEXT(TbReceitas[[#This Row],[data_transacao]], "aaaa-mm")</f>
        <v>2024-10</v>
      </c>
    </row>
    <row r="562" spans="1:8">
      <c r="A562">
        <v>561</v>
      </c>
      <c r="B562" s="1">
        <v>46249</v>
      </c>
      <c r="C562" t="s">
        <v>1108</v>
      </c>
      <c r="D562" t="s">
        <v>337</v>
      </c>
      <c r="E562">
        <v>2</v>
      </c>
      <c r="F562">
        <v>8484</v>
      </c>
      <c r="G562">
        <f>TbReceitas[[#This Row],[quantidade]]*TbReceitas[[#This Row],[preco_unitario]]</f>
        <v>16968</v>
      </c>
      <c r="H562" t="str">
        <f>TEXT(TbReceitas[[#This Row],[data_transacao]], "aaaa-mm")</f>
        <v>2026-08</v>
      </c>
    </row>
    <row r="563" spans="1:8">
      <c r="A563">
        <v>562</v>
      </c>
      <c r="B563" s="1">
        <v>46203</v>
      </c>
      <c r="C563" t="s">
        <v>1158</v>
      </c>
      <c r="D563" t="s">
        <v>537</v>
      </c>
      <c r="E563">
        <v>4</v>
      </c>
      <c r="F563">
        <v>1116</v>
      </c>
      <c r="G563">
        <f>TbReceitas[[#This Row],[quantidade]]*TbReceitas[[#This Row],[preco_unitario]]</f>
        <v>4464</v>
      </c>
      <c r="H563" t="str">
        <f>TEXT(TbReceitas[[#This Row],[data_transacao]], "aaaa-mm")</f>
        <v>2026-06</v>
      </c>
    </row>
    <row r="564" spans="1:8">
      <c r="A564">
        <v>563</v>
      </c>
      <c r="B564" s="1">
        <v>46102</v>
      </c>
      <c r="C564" t="s">
        <v>1159</v>
      </c>
      <c r="D564" t="s">
        <v>296</v>
      </c>
      <c r="E564">
        <v>1</v>
      </c>
      <c r="F564">
        <v>10483</v>
      </c>
      <c r="G564">
        <f>TbReceitas[[#This Row],[quantidade]]*TbReceitas[[#This Row],[preco_unitario]]</f>
        <v>10483</v>
      </c>
      <c r="H564" t="str">
        <f>TEXT(TbReceitas[[#This Row],[data_transacao]], "aaaa-mm")</f>
        <v>2026-03</v>
      </c>
    </row>
    <row r="565" spans="1:8">
      <c r="A565">
        <v>564</v>
      </c>
      <c r="B565" s="1">
        <v>46226</v>
      </c>
      <c r="C565" t="s">
        <v>910</v>
      </c>
      <c r="D565" t="s">
        <v>274</v>
      </c>
      <c r="E565">
        <v>1</v>
      </c>
      <c r="F565">
        <v>1178</v>
      </c>
      <c r="G565">
        <f>TbReceitas[[#This Row],[quantidade]]*TbReceitas[[#This Row],[preco_unitario]]</f>
        <v>1178</v>
      </c>
      <c r="H565" t="str">
        <f>TEXT(TbReceitas[[#This Row],[data_transacao]], "aaaa-mm")</f>
        <v>2026-07</v>
      </c>
    </row>
    <row r="566" spans="1:8">
      <c r="A566">
        <v>565</v>
      </c>
      <c r="B566" s="1">
        <v>46204</v>
      </c>
      <c r="C566" t="s">
        <v>887</v>
      </c>
      <c r="D566" t="s">
        <v>194</v>
      </c>
      <c r="E566">
        <v>4</v>
      </c>
      <c r="F566">
        <v>20829</v>
      </c>
      <c r="G566">
        <f>TbReceitas[[#This Row],[quantidade]]*TbReceitas[[#This Row],[preco_unitario]]</f>
        <v>83316</v>
      </c>
      <c r="H566" t="str">
        <f>TEXT(TbReceitas[[#This Row],[data_transacao]], "aaaa-mm")</f>
        <v>2026-07</v>
      </c>
    </row>
    <row r="567" spans="1:8">
      <c r="A567">
        <v>566</v>
      </c>
      <c r="B567" s="1">
        <v>45616</v>
      </c>
      <c r="C567" t="s">
        <v>1160</v>
      </c>
      <c r="D567" t="s">
        <v>699</v>
      </c>
      <c r="E567">
        <v>5</v>
      </c>
      <c r="F567">
        <v>12969</v>
      </c>
      <c r="G567">
        <f>TbReceitas[[#This Row],[quantidade]]*TbReceitas[[#This Row],[preco_unitario]]</f>
        <v>64845</v>
      </c>
      <c r="H567" t="str">
        <f>TEXT(TbReceitas[[#This Row],[data_transacao]], "aaaa-mm")</f>
        <v>2024-11</v>
      </c>
    </row>
    <row r="568" spans="1:8">
      <c r="A568">
        <v>567</v>
      </c>
      <c r="B568" s="1">
        <v>45940</v>
      </c>
      <c r="C568" t="s">
        <v>1161</v>
      </c>
      <c r="D568" t="s">
        <v>98</v>
      </c>
      <c r="E568">
        <v>4</v>
      </c>
      <c r="F568">
        <v>10903</v>
      </c>
      <c r="G568">
        <f>TbReceitas[[#This Row],[quantidade]]*TbReceitas[[#This Row],[preco_unitario]]</f>
        <v>43612</v>
      </c>
      <c r="H568" t="str">
        <f>TEXT(TbReceitas[[#This Row],[data_transacao]], "aaaa-mm")</f>
        <v>2025-10</v>
      </c>
    </row>
    <row r="569" spans="1:8">
      <c r="A569">
        <v>568</v>
      </c>
      <c r="B569" s="1">
        <v>46231</v>
      </c>
      <c r="C569" t="s">
        <v>1162</v>
      </c>
      <c r="D569" t="s">
        <v>599</v>
      </c>
      <c r="E569">
        <v>5</v>
      </c>
      <c r="F569">
        <v>45</v>
      </c>
      <c r="G569">
        <f>TbReceitas[[#This Row],[quantidade]]*TbReceitas[[#This Row],[preco_unitario]]</f>
        <v>225</v>
      </c>
      <c r="H569" t="str">
        <f>TEXT(TbReceitas[[#This Row],[data_transacao]], "aaaa-mm")</f>
        <v>2026-07</v>
      </c>
    </row>
    <row r="570" spans="1:8">
      <c r="A570">
        <v>569</v>
      </c>
      <c r="B570" s="1">
        <v>45675</v>
      </c>
      <c r="C570" t="s">
        <v>1163</v>
      </c>
      <c r="D570" t="s">
        <v>160</v>
      </c>
      <c r="E570">
        <v>5</v>
      </c>
      <c r="F570">
        <v>22066</v>
      </c>
      <c r="G570">
        <f>TbReceitas[[#This Row],[quantidade]]*TbReceitas[[#This Row],[preco_unitario]]</f>
        <v>110330</v>
      </c>
      <c r="H570" t="str">
        <f>TEXT(TbReceitas[[#This Row],[data_transacao]], "aaaa-mm")</f>
        <v>2025-01</v>
      </c>
    </row>
    <row r="571" spans="1:8">
      <c r="A571">
        <v>570</v>
      </c>
      <c r="B571" s="1">
        <v>45586</v>
      </c>
      <c r="C571" t="s">
        <v>1164</v>
      </c>
      <c r="D571" t="s">
        <v>591</v>
      </c>
      <c r="E571">
        <v>2</v>
      </c>
      <c r="F571">
        <v>1718</v>
      </c>
      <c r="G571">
        <f>TbReceitas[[#This Row],[quantidade]]*TbReceitas[[#This Row],[preco_unitario]]</f>
        <v>3436</v>
      </c>
      <c r="H571" t="str">
        <f>TEXT(TbReceitas[[#This Row],[data_transacao]], "aaaa-mm")</f>
        <v>2024-10</v>
      </c>
    </row>
    <row r="572" spans="1:8">
      <c r="A572">
        <v>571</v>
      </c>
      <c r="B572" s="1">
        <v>46065</v>
      </c>
      <c r="C572" t="s">
        <v>1165</v>
      </c>
      <c r="D572" t="s">
        <v>308</v>
      </c>
      <c r="E572">
        <v>1</v>
      </c>
      <c r="F572">
        <v>3639</v>
      </c>
      <c r="G572">
        <f>TbReceitas[[#This Row],[quantidade]]*TbReceitas[[#This Row],[preco_unitario]]</f>
        <v>3639</v>
      </c>
      <c r="H572" t="str">
        <f>TEXT(TbReceitas[[#This Row],[data_transacao]], "aaaa-mm")</f>
        <v>2026-02</v>
      </c>
    </row>
    <row r="573" spans="1:8">
      <c r="A573">
        <v>572</v>
      </c>
      <c r="B573" s="1">
        <v>46077</v>
      </c>
      <c r="C573" t="s">
        <v>1043</v>
      </c>
      <c r="D573" t="s">
        <v>422</v>
      </c>
      <c r="E573">
        <v>5</v>
      </c>
      <c r="F573">
        <v>4061</v>
      </c>
      <c r="G573">
        <f>TbReceitas[[#This Row],[quantidade]]*TbReceitas[[#This Row],[preco_unitario]]</f>
        <v>20305</v>
      </c>
      <c r="H573" t="str">
        <f>TEXT(TbReceitas[[#This Row],[data_transacao]], "aaaa-mm")</f>
        <v>2026-02</v>
      </c>
    </row>
    <row r="574" spans="1:8">
      <c r="A574">
        <v>573</v>
      </c>
      <c r="B574" s="1">
        <v>45652</v>
      </c>
      <c r="C574" t="s">
        <v>1166</v>
      </c>
      <c r="D574" t="s">
        <v>399</v>
      </c>
      <c r="E574">
        <v>2</v>
      </c>
      <c r="F574">
        <v>2413</v>
      </c>
      <c r="G574">
        <f>TbReceitas[[#This Row],[quantidade]]*TbReceitas[[#This Row],[preco_unitario]]</f>
        <v>4826</v>
      </c>
      <c r="H574" t="str">
        <f>TEXT(TbReceitas[[#This Row],[data_transacao]], "aaaa-mm")</f>
        <v>2024-12</v>
      </c>
    </row>
    <row r="575" spans="1:8">
      <c r="A575">
        <v>574</v>
      </c>
      <c r="B575" s="1">
        <v>45789</v>
      </c>
      <c r="C575" t="s">
        <v>1167</v>
      </c>
      <c r="D575" t="s">
        <v>648</v>
      </c>
      <c r="E575">
        <v>5</v>
      </c>
      <c r="F575">
        <v>23819</v>
      </c>
      <c r="G575">
        <f>TbReceitas[[#This Row],[quantidade]]*TbReceitas[[#This Row],[preco_unitario]]</f>
        <v>119095</v>
      </c>
      <c r="H575" t="str">
        <f>TEXT(TbReceitas[[#This Row],[data_transacao]], "aaaa-mm")</f>
        <v>2025-05</v>
      </c>
    </row>
    <row r="576" spans="1:8">
      <c r="A576">
        <v>575</v>
      </c>
      <c r="B576" s="1">
        <v>45883</v>
      </c>
      <c r="C576" t="s">
        <v>1168</v>
      </c>
      <c r="D576" t="s">
        <v>420</v>
      </c>
      <c r="E576">
        <v>3</v>
      </c>
      <c r="F576">
        <v>24341</v>
      </c>
      <c r="G576">
        <f>TbReceitas[[#This Row],[quantidade]]*TbReceitas[[#This Row],[preco_unitario]]</f>
        <v>73023</v>
      </c>
      <c r="H576" t="str">
        <f>TEXT(TbReceitas[[#This Row],[data_transacao]], "aaaa-mm")</f>
        <v>2025-08</v>
      </c>
    </row>
    <row r="577" spans="1:8">
      <c r="A577">
        <v>576</v>
      </c>
      <c r="B577" s="1">
        <v>46240</v>
      </c>
      <c r="C577" t="s">
        <v>1169</v>
      </c>
      <c r="D577" t="s">
        <v>79</v>
      </c>
      <c r="E577">
        <v>3</v>
      </c>
      <c r="F577">
        <v>7278</v>
      </c>
      <c r="G577">
        <f>TbReceitas[[#This Row],[quantidade]]*TbReceitas[[#This Row],[preco_unitario]]</f>
        <v>21834</v>
      </c>
      <c r="H577" t="str">
        <f>TEXT(TbReceitas[[#This Row],[data_transacao]], "aaaa-mm")</f>
        <v>2026-08</v>
      </c>
    </row>
    <row r="578" spans="1:8">
      <c r="A578">
        <v>577</v>
      </c>
      <c r="B578" s="1">
        <v>46247</v>
      </c>
      <c r="C578" t="s">
        <v>1170</v>
      </c>
      <c r="D578" t="s">
        <v>669</v>
      </c>
      <c r="E578">
        <v>5</v>
      </c>
      <c r="F578">
        <v>2838</v>
      </c>
      <c r="G578">
        <f>TbReceitas[[#This Row],[quantidade]]*TbReceitas[[#This Row],[preco_unitario]]</f>
        <v>14190</v>
      </c>
      <c r="H578" t="str">
        <f>TEXT(TbReceitas[[#This Row],[data_transacao]], "aaaa-mm")</f>
        <v>2026-08</v>
      </c>
    </row>
    <row r="579" spans="1:8">
      <c r="A579">
        <v>578</v>
      </c>
      <c r="B579" s="1">
        <v>45648</v>
      </c>
      <c r="C579" t="s">
        <v>1045</v>
      </c>
      <c r="D579" t="s">
        <v>115</v>
      </c>
      <c r="E579">
        <v>4</v>
      </c>
      <c r="F579">
        <v>10588</v>
      </c>
      <c r="G579">
        <f>TbReceitas[[#This Row],[quantidade]]*TbReceitas[[#This Row],[preco_unitario]]</f>
        <v>42352</v>
      </c>
      <c r="H579" t="str">
        <f>TEXT(TbReceitas[[#This Row],[data_transacao]], "aaaa-mm")</f>
        <v>2024-12</v>
      </c>
    </row>
    <row r="580" spans="1:8">
      <c r="A580">
        <v>579</v>
      </c>
      <c r="B580" s="1">
        <v>46140</v>
      </c>
      <c r="C580" t="s">
        <v>1171</v>
      </c>
      <c r="D580" t="s">
        <v>212</v>
      </c>
      <c r="E580">
        <v>3</v>
      </c>
      <c r="F580">
        <v>6603</v>
      </c>
      <c r="G580">
        <f>TbReceitas[[#This Row],[quantidade]]*TbReceitas[[#This Row],[preco_unitario]]</f>
        <v>19809</v>
      </c>
      <c r="H580" t="str">
        <f>TEXT(TbReceitas[[#This Row],[data_transacao]], "aaaa-mm")</f>
        <v>2026-04</v>
      </c>
    </row>
    <row r="581" spans="1:8">
      <c r="A581">
        <v>580</v>
      </c>
      <c r="B581" s="1">
        <v>45721</v>
      </c>
      <c r="C581" t="s">
        <v>1172</v>
      </c>
      <c r="D581" t="s">
        <v>157</v>
      </c>
      <c r="E581">
        <v>4</v>
      </c>
      <c r="F581">
        <v>11672</v>
      </c>
      <c r="G581">
        <f>TbReceitas[[#This Row],[quantidade]]*TbReceitas[[#This Row],[preco_unitario]]</f>
        <v>46688</v>
      </c>
      <c r="H581" t="str">
        <f>TEXT(TbReceitas[[#This Row],[data_transacao]], "aaaa-mm")</f>
        <v>2025-03</v>
      </c>
    </row>
    <row r="582" spans="1:8">
      <c r="A582">
        <v>581</v>
      </c>
      <c r="B582" s="1">
        <v>45691</v>
      </c>
      <c r="C582" t="s">
        <v>774</v>
      </c>
      <c r="D582" t="s">
        <v>308</v>
      </c>
      <c r="E582">
        <v>5</v>
      </c>
      <c r="F582">
        <v>3639</v>
      </c>
      <c r="G582">
        <f>TbReceitas[[#This Row],[quantidade]]*TbReceitas[[#This Row],[preco_unitario]]</f>
        <v>18195</v>
      </c>
      <c r="H582" t="str">
        <f>TEXT(TbReceitas[[#This Row],[data_transacao]], "aaaa-mm")</f>
        <v>2025-02</v>
      </c>
    </row>
    <row r="583" spans="1:8">
      <c r="A583">
        <v>582</v>
      </c>
      <c r="B583" s="1">
        <v>46171</v>
      </c>
      <c r="C583" t="s">
        <v>1114</v>
      </c>
      <c r="D583" t="s">
        <v>288</v>
      </c>
      <c r="E583">
        <v>3</v>
      </c>
      <c r="F583">
        <v>1219</v>
      </c>
      <c r="G583">
        <f>TbReceitas[[#This Row],[quantidade]]*TbReceitas[[#This Row],[preco_unitario]]</f>
        <v>3657</v>
      </c>
      <c r="H583" t="str">
        <f>TEXT(TbReceitas[[#This Row],[data_transacao]], "aaaa-mm")</f>
        <v>2026-05</v>
      </c>
    </row>
    <row r="584" spans="1:8">
      <c r="A584">
        <v>583</v>
      </c>
      <c r="B584" s="1">
        <v>45934</v>
      </c>
      <c r="C584" t="s">
        <v>1173</v>
      </c>
      <c r="D584" t="s">
        <v>459</v>
      </c>
      <c r="E584">
        <v>2</v>
      </c>
      <c r="F584">
        <v>23355</v>
      </c>
      <c r="G584">
        <f>TbReceitas[[#This Row],[quantidade]]*TbReceitas[[#This Row],[preco_unitario]]</f>
        <v>46710</v>
      </c>
      <c r="H584" t="str">
        <f>TEXT(TbReceitas[[#This Row],[data_transacao]], "aaaa-mm")</f>
        <v>2025-10</v>
      </c>
    </row>
    <row r="585" spans="1:8">
      <c r="A585">
        <v>584</v>
      </c>
      <c r="B585" s="1">
        <v>45969</v>
      </c>
      <c r="C585" t="s">
        <v>1174</v>
      </c>
      <c r="D585" t="s">
        <v>382</v>
      </c>
      <c r="E585">
        <v>1</v>
      </c>
      <c r="F585">
        <v>4188</v>
      </c>
      <c r="G585">
        <f>TbReceitas[[#This Row],[quantidade]]*TbReceitas[[#This Row],[preco_unitario]]</f>
        <v>4188</v>
      </c>
      <c r="H585" t="str">
        <f>TEXT(TbReceitas[[#This Row],[data_transacao]], "aaaa-mm")</f>
        <v>2025-11</v>
      </c>
    </row>
    <row r="586" spans="1:8">
      <c r="A586">
        <v>585</v>
      </c>
      <c r="B586" s="1">
        <v>46199</v>
      </c>
      <c r="C586" t="s">
        <v>1175</v>
      </c>
      <c r="D586" t="s">
        <v>385</v>
      </c>
      <c r="E586">
        <v>1</v>
      </c>
      <c r="F586">
        <v>10607</v>
      </c>
      <c r="G586">
        <f>TbReceitas[[#This Row],[quantidade]]*TbReceitas[[#This Row],[preco_unitario]]</f>
        <v>10607</v>
      </c>
      <c r="H586" t="str">
        <f>TEXT(TbReceitas[[#This Row],[data_transacao]], "aaaa-mm")</f>
        <v>2026-06</v>
      </c>
    </row>
    <row r="587" spans="1:8">
      <c r="A587">
        <v>586</v>
      </c>
      <c r="B587" s="1">
        <v>45590</v>
      </c>
      <c r="C587" t="s">
        <v>1176</v>
      </c>
      <c r="D587" t="s">
        <v>459</v>
      </c>
      <c r="E587">
        <v>3</v>
      </c>
      <c r="F587">
        <v>23355</v>
      </c>
      <c r="G587">
        <f>TbReceitas[[#This Row],[quantidade]]*TbReceitas[[#This Row],[preco_unitario]]</f>
        <v>70065</v>
      </c>
      <c r="H587" t="str">
        <f>TEXT(TbReceitas[[#This Row],[data_transacao]], "aaaa-mm")</f>
        <v>2024-10</v>
      </c>
    </row>
    <row r="588" spans="1:8">
      <c r="A588">
        <v>587</v>
      </c>
      <c r="B588" s="1">
        <v>45881</v>
      </c>
      <c r="C588" t="s">
        <v>1177</v>
      </c>
      <c r="D588" t="s">
        <v>312</v>
      </c>
      <c r="E588">
        <v>1</v>
      </c>
      <c r="F588">
        <v>24217</v>
      </c>
      <c r="G588">
        <f>TbReceitas[[#This Row],[quantidade]]*TbReceitas[[#This Row],[preco_unitario]]</f>
        <v>24217</v>
      </c>
      <c r="H588" t="str">
        <f>TEXT(TbReceitas[[#This Row],[data_transacao]], "aaaa-mm")</f>
        <v>2025-08</v>
      </c>
    </row>
    <row r="589" spans="1:8">
      <c r="A589">
        <v>588</v>
      </c>
      <c r="B589" s="1">
        <v>45806</v>
      </c>
      <c r="C589" t="s">
        <v>1178</v>
      </c>
      <c r="D589" t="s">
        <v>184</v>
      </c>
      <c r="E589">
        <v>3</v>
      </c>
      <c r="F589">
        <v>18728</v>
      </c>
      <c r="G589">
        <f>TbReceitas[[#This Row],[quantidade]]*TbReceitas[[#This Row],[preco_unitario]]</f>
        <v>56184</v>
      </c>
      <c r="H589" t="str">
        <f>TEXT(TbReceitas[[#This Row],[data_transacao]], "aaaa-mm")</f>
        <v>2025-05</v>
      </c>
    </row>
    <row r="590" spans="1:8">
      <c r="A590">
        <v>589</v>
      </c>
      <c r="B590" s="1">
        <v>46071</v>
      </c>
      <c r="C590" t="s">
        <v>1179</v>
      </c>
      <c r="D590" t="s">
        <v>91</v>
      </c>
      <c r="E590">
        <v>5</v>
      </c>
      <c r="F590">
        <v>16905</v>
      </c>
      <c r="G590">
        <f>TbReceitas[[#This Row],[quantidade]]*TbReceitas[[#This Row],[preco_unitario]]</f>
        <v>84525</v>
      </c>
      <c r="H590" t="str">
        <f>TEXT(TbReceitas[[#This Row],[data_transacao]], "aaaa-mm")</f>
        <v>2026-02</v>
      </c>
    </row>
    <row r="591" spans="1:8">
      <c r="A591">
        <v>590</v>
      </c>
      <c r="B591" s="1">
        <v>45600</v>
      </c>
      <c r="C591" t="s">
        <v>1180</v>
      </c>
      <c r="D591" t="s">
        <v>98</v>
      </c>
      <c r="E591">
        <v>2</v>
      </c>
      <c r="F591">
        <v>10903</v>
      </c>
      <c r="G591">
        <f>TbReceitas[[#This Row],[quantidade]]*TbReceitas[[#This Row],[preco_unitario]]</f>
        <v>21806</v>
      </c>
      <c r="H591" t="str">
        <f>TEXT(TbReceitas[[#This Row],[data_transacao]], "aaaa-mm")</f>
        <v>2024-11</v>
      </c>
    </row>
    <row r="592" spans="1:8">
      <c r="A592">
        <v>591</v>
      </c>
      <c r="B592" s="1">
        <v>46235</v>
      </c>
      <c r="C592" t="s">
        <v>843</v>
      </c>
      <c r="D592" t="s">
        <v>343</v>
      </c>
      <c r="E592">
        <v>4</v>
      </c>
      <c r="F592">
        <v>4997</v>
      </c>
      <c r="G592">
        <f>TbReceitas[[#This Row],[quantidade]]*TbReceitas[[#This Row],[preco_unitario]]</f>
        <v>19988</v>
      </c>
      <c r="H592" t="str">
        <f>TEXT(TbReceitas[[#This Row],[data_transacao]], "aaaa-mm")</f>
        <v>2026-08</v>
      </c>
    </row>
    <row r="593" spans="1:8">
      <c r="A593">
        <v>592</v>
      </c>
      <c r="B593" s="1">
        <v>46166</v>
      </c>
      <c r="C593" t="s">
        <v>1181</v>
      </c>
      <c r="D593" t="s">
        <v>448</v>
      </c>
      <c r="E593">
        <v>2</v>
      </c>
      <c r="F593">
        <v>20644</v>
      </c>
      <c r="G593">
        <f>TbReceitas[[#This Row],[quantidade]]*TbReceitas[[#This Row],[preco_unitario]]</f>
        <v>41288</v>
      </c>
      <c r="H593" t="str">
        <f>TEXT(TbReceitas[[#This Row],[data_transacao]], "aaaa-mm")</f>
        <v>2026-05</v>
      </c>
    </row>
    <row r="594" spans="1:8">
      <c r="A594">
        <v>593</v>
      </c>
      <c r="B594" s="1">
        <v>45799</v>
      </c>
      <c r="C594" t="s">
        <v>1182</v>
      </c>
      <c r="D594" t="s">
        <v>607</v>
      </c>
      <c r="E594">
        <v>1</v>
      </c>
      <c r="F594">
        <v>22971</v>
      </c>
      <c r="G594">
        <f>TbReceitas[[#This Row],[quantidade]]*TbReceitas[[#This Row],[preco_unitario]]</f>
        <v>22971</v>
      </c>
      <c r="H594" t="str">
        <f>TEXT(TbReceitas[[#This Row],[data_transacao]], "aaaa-mm")</f>
        <v>2025-05</v>
      </c>
    </row>
    <row r="595" spans="1:8">
      <c r="A595">
        <v>594</v>
      </c>
      <c r="B595" s="1">
        <v>45815</v>
      </c>
      <c r="C595" t="s">
        <v>1183</v>
      </c>
      <c r="D595" t="s">
        <v>29</v>
      </c>
      <c r="E595">
        <v>2</v>
      </c>
      <c r="F595">
        <v>24528</v>
      </c>
      <c r="G595">
        <f>TbReceitas[[#This Row],[quantidade]]*TbReceitas[[#This Row],[preco_unitario]]</f>
        <v>49056</v>
      </c>
      <c r="H595" t="str">
        <f>TEXT(TbReceitas[[#This Row],[data_transacao]], "aaaa-mm")</f>
        <v>2025-06</v>
      </c>
    </row>
    <row r="596" spans="1:8">
      <c r="A596">
        <v>595</v>
      </c>
      <c r="B596" s="1">
        <v>46128</v>
      </c>
      <c r="C596" t="s">
        <v>911</v>
      </c>
      <c r="D596" t="s">
        <v>31</v>
      </c>
      <c r="E596">
        <v>1</v>
      </c>
      <c r="F596">
        <v>3134</v>
      </c>
      <c r="G596">
        <f>TbReceitas[[#This Row],[quantidade]]*TbReceitas[[#This Row],[preco_unitario]]</f>
        <v>3134</v>
      </c>
      <c r="H596" t="str">
        <f>TEXT(TbReceitas[[#This Row],[data_transacao]], "aaaa-mm")</f>
        <v>2026-04</v>
      </c>
    </row>
    <row r="597" spans="1:8">
      <c r="A597">
        <v>596</v>
      </c>
      <c r="B597" s="1">
        <v>45914</v>
      </c>
      <c r="C597" t="s">
        <v>1184</v>
      </c>
      <c r="D597" t="s">
        <v>222</v>
      </c>
      <c r="E597">
        <v>1</v>
      </c>
      <c r="F597">
        <v>21814</v>
      </c>
      <c r="G597">
        <f>TbReceitas[[#This Row],[quantidade]]*TbReceitas[[#This Row],[preco_unitario]]</f>
        <v>21814</v>
      </c>
      <c r="H597" t="str">
        <f>TEXT(TbReceitas[[#This Row],[data_transacao]], "aaaa-mm")</f>
        <v>2025-09</v>
      </c>
    </row>
    <row r="598" spans="1:8">
      <c r="A598">
        <v>597</v>
      </c>
      <c r="B598" s="1">
        <v>45795</v>
      </c>
      <c r="C598" t="s">
        <v>1185</v>
      </c>
      <c r="D598" t="s">
        <v>11</v>
      </c>
      <c r="E598">
        <v>3</v>
      </c>
      <c r="F598">
        <v>21599</v>
      </c>
      <c r="G598">
        <f>TbReceitas[[#This Row],[quantidade]]*TbReceitas[[#This Row],[preco_unitario]]</f>
        <v>64797</v>
      </c>
      <c r="H598" t="str">
        <f>TEXT(TbReceitas[[#This Row],[data_transacao]], "aaaa-mm")</f>
        <v>2025-05</v>
      </c>
    </row>
    <row r="599" spans="1:8">
      <c r="A599">
        <v>598</v>
      </c>
      <c r="B599" s="1">
        <v>46007</v>
      </c>
      <c r="C599" t="s">
        <v>942</v>
      </c>
      <c r="D599" t="s">
        <v>533</v>
      </c>
      <c r="E599">
        <v>1</v>
      </c>
      <c r="F599">
        <v>7628</v>
      </c>
      <c r="G599">
        <f>TbReceitas[[#This Row],[quantidade]]*TbReceitas[[#This Row],[preco_unitario]]</f>
        <v>7628</v>
      </c>
      <c r="H599" t="str">
        <f>TEXT(TbReceitas[[#This Row],[data_transacao]], "aaaa-mm")</f>
        <v>2025-12</v>
      </c>
    </row>
    <row r="600" spans="1:8">
      <c r="A600">
        <v>599</v>
      </c>
      <c r="B600" s="1">
        <v>46151</v>
      </c>
      <c r="C600" t="s">
        <v>1186</v>
      </c>
      <c r="D600" t="s">
        <v>533</v>
      </c>
      <c r="E600">
        <v>5</v>
      </c>
      <c r="F600">
        <v>7628</v>
      </c>
      <c r="G600">
        <f>TbReceitas[[#This Row],[quantidade]]*TbReceitas[[#This Row],[preco_unitario]]</f>
        <v>38140</v>
      </c>
      <c r="H600" t="str">
        <f>TEXT(TbReceitas[[#This Row],[data_transacao]], "aaaa-mm")</f>
        <v>2026-05</v>
      </c>
    </row>
    <row r="601" spans="1:8">
      <c r="A601">
        <v>600</v>
      </c>
      <c r="B601" s="1">
        <v>45629</v>
      </c>
      <c r="C601" t="s">
        <v>1050</v>
      </c>
      <c r="D601" t="s">
        <v>363</v>
      </c>
      <c r="E601">
        <v>5</v>
      </c>
      <c r="F601">
        <v>452</v>
      </c>
      <c r="G601">
        <f>TbReceitas[[#This Row],[quantidade]]*TbReceitas[[#This Row],[preco_unitario]]</f>
        <v>2260</v>
      </c>
      <c r="H601" t="str">
        <f>TEXT(TbReceitas[[#This Row],[data_transacao]], "aaaa-mm")</f>
        <v>2024-12</v>
      </c>
    </row>
    <row r="602" spans="1:8">
      <c r="A602">
        <v>601</v>
      </c>
      <c r="B602" s="1">
        <v>45988</v>
      </c>
      <c r="C602" t="s">
        <v>1187</v>
      </c>
      <c r="D602" t="s">
        <v>447</v>
      </c>
      <c r="E602">
        <v>4</v>
      </c>
      <c r="F602">
        <v>24885</v>
      </c>
      <c r="G602">
        <f>TbReceitas[[#This Row],[quantidade]]*TbReceitas[[#This Row],[preco_unitario]]</f>
        <v>99540</v>
      </c>
      <c r="H602" t="str">
        <f>TEXT(TbReceitas[[#This Row],[data_transacao]], "aaaa-mm")</f>
        <v>2025-11</v>
      </c>
    </row>
    <row r="603" spans="1:8">
      <c r="A603">
        <v>602</v>
      </c>
      <c r="B603" s="1">
        <v>45799</v>
      </c>
      <c r="C603" t="s">
        <v>1188</v>
      </c>
      <c r="D603" t="s">
        <v>308</v>
      </c>
      <c r="E603">
        <v>4</v>
      </c>
      <c r="F603">
        <v>3639</v>
      </c>
      <c r="G603">
        <f>TbReceitas[[#This Row],[quantidade]]*TbReceitas[[#This Row],[preco_unitario]]</f>
        <v>14556</v>
      </c>
      <c r="H603" t="str">
        <f>TEXT(TbReceitas[[#This Row],[data_transacao]], "aaaa-mm")</f>
        <v>2025-05</v>
      </c>
    </row>
    <row r="604" spans="1:8">
      <c r="A604">
        <v>603</v>
      </c>
      <c r="B604" s="1">
        <v>45717</v>
      </c>
      <c r="C604" t="s">
        <v>1155</v>
      </c>
      <c r="D604" t="s">
        <v>211</v>
      </c>
      <c r="E604">
        <v>4</v>
      </c>
      <c r="F604">
        <v>20547</v>
      </c>
      <c r="G604">
        <f>TbReceitas[[#This Row],[quantidade]]*TbReceitas[[#This Row],[preco_unitario]]</f>
        <v>82188</v>
      </c>
      <c r="H604" t="str">
        <f>TEXT(TbReceitas[[#This Row],[data_transacao]], "aaaa-mm")</f>
        <v>2025-03</v>
      </c>
    </row>
    <row r="605" spans="1:8">
      <c r="A605">
        <v>604</v>
      </c>
      <c r="B605" s="1">
        <v>45711</v>
      </c>
      <c r="C605" t="s">
        <v>1189</v>
      </c>
      <c r="D605" t="s">
        <v>318</v>
      </c>
      <c r="E605">
        <v>4</v>
      </c>
      <c r="F605">
        <v>17558</v>
      </c>
      <c r="G605">
        <f>TbReceitas[[#This Row],[quantidade]]*TbReceitas[[#This Row],[preco_unitario]]</f>
        <v>70232</v>
      </c>
      <c r="H605" t="str">
        <f>TEXT(TbReceitas[[#This Row],[data_transacao]], "aaaa-mm")</f>
        <v>2025-02</v>
      </c>
    </row>
    <row r="606" spans="1:8">
      <c r="A606">
        <v>605</v>
      </c>
      <c r="B606" s="1">
        <v>45713</v>
      </c>
      <c r="C606" t="s">
        <v>1190</v>
      </c>
      <c r="D606" t="s">
        <v>493</v>
      </c>
      <c r="E606">
        <v>4</v>
      </c>
      <c r="F606">
        <v>13377</v>
      </c>
      <c r="G606">
        <f>TbReceitas[[#This Row],[quantidade]]*TbReceitas[[#This Row],[preco_unitario]]</f>
        <v>53508</v>
      </c>
      <c r="H606" t="str">
        <f>TEXT(TbReceitas[[#This Row],[data_transacao]], "aaaa-mm")</f>
        <v>2025-02</v>
      </c>
    </row>
    <row r="607" spans="1:8">
      <c r="A607">
        <v>606</v>
      </c>
      <c r="B607" s="1">
        <v>46197</v>
      </c>
      <c r="C607" t="s">
        <v>1029</v>
      </c>
      <c r="D607" t="s">
        <v>51</v>
      </c>
      <c r="E607">
        <v>5</v>
      </c>
      <c r="F607">
        <v>8334</v>
      </c>
      <c r="G607">
        <f>TbReceitas[[#This Row],[quantidade]]*TbReceitas[[#This Row],[preco_unitario]]</f>
        <v>41670</v>
      </c>
      <c r="H607" t="str">
        <f>TEXT(TbReceitas[[#This Row],[data_transacao]], "aaaa-mm")</f>
        <v>2026-06</v>
      </c>
    </row>
    <row r="608" spans="1:8">
      <c r="A608">
        <v>607</v>
      </c>
      <c r="B608" s="1">
        <v>45736</v>
      </c>
      <c r="C608" t="s">
        <v>1191</v>
      </c>
      <c r="D608" t="s">
        <v>202</v>
      </c>
      <c r="E608">
        <v>5</v>
      </c>
      <c r="F608">
        <v>8469</v>
      </c>
      <c r="G608">
        <f>TbReceitas[[#This Row],[quantidade]]*TbReceitas[[#This Row],[preco_unitario]]</f>
        <v>42345</v>
      </c>
      <c r="H608" t="str">
        <f>TEXT(TbReceitas[[#This Row],[data_transacao]], "aaaa-mm")</f>
        <v>2025-03</v>
      </c>
    </row>
    <row r="609" spans="1:8">
      <c r="A609">
        <v>608</v>
      </c>
      <c r="B609" s="1">
        <v>45851</v>
      </c>
      <c r="C609" t="s">
        <v>970</v>
      </c>
      <c r="D609" t="s">
        <v>268</v>
      </c>
      <c r="E609">
        <v>5</v>
      </c>
      <c r="F609">
        <v>6493</v>
      </c>
      <c r="G609">
        <f>TbReceitas[[#This Row],[quantidade]]*TbReceitas[[#This Row],[preco_unitario]]</f>
        <v>32465</v>
      </c>
      <c r="H609" t="str">
        <f>TEXT(TbReceitas[[#This Row],[data_transacao]], "aaaa-mm")</f>
        <v>2025-07</v>
      </c>
    </row>
    <row r="610" spans="1:8">
      <c r="A610">
        <v>609</v>
      </c>
      <c r="B610" s="1">
        <v>45604</v>
      </c>
      <c r="C610" t="s">
        <v>1192</v>
      </c>
      <c r="D610" t="s">
        <v>120</v>
      </c>
      <c r="E610">
        <v>4</v>
      </c>
      <c r="F610">
        <v>13463</v>
      </c>
      <c r="G610">
        <f>TbReceitas[[#This Row],[quantidade]]*TbReceitas[[#This Row],[preco_unitario]]</f>
        <v>53852</v>
      </c>
      <c r="H610" t="str">
        <f>TEXT(TbReceitas[[#This Row],[data_transacao]], "aaaa-mm")</f>
        <v>2024-11</v>
      </c>
    </row>
    <row r="611" spans="1:8">
      <c r="A611">
        <v>610</v>
      </c>
      <c r="B611" s="1">
        <v>46166</v>
      </c>
      <c r="C611" t="s">
        <v>1193</v>
      </c>
      <c r="D611" t="s">
        <v>99</v>
      </c>
      <c r="E611">
        <v>1</v>
      </c>
      <c r="F611">
        <v>19038</v>
      </c>
      <c r="G611">
        <f>TbReceitas[[#This Row],[quantidade]]*TbReceitas[[#This Row],[preco_unitario]]</f>
        <v>19038</v>
      </c>
      <c r="H611" t="str">
        <f>TEXT(TbReceitas[[#This Row],[data_transacao]], "aaaa-mm")</f>
        <v>2026-05</v>
      </c>
    </row>
    <row r="612" spans="1:8">
      <c r="A612">
        <v>611</v>
      </c>
      <c r="B612" s="1">
        <v>46125</v>
      </c>
      <c r="C612" t="s">
        <v>1194</v>
      </c>
      <c r="D612" t="s">
        <v>583</v>
      </c>
      <c r="E612">
        <v>2</v>
      </c>
      <c r="F612">
        <v>11009</v>
      </c>
      <c r="G612">
        <f>TbReceitas[[#This Row],[quantidade]]*TbReceitas[[#This Row],[preco_unitario]]</f>
        <v>22018</v>
      </c>
      <c r="H612" t="str">
        <f>TEXT(TbReceitas[[#This Row],[data_transacao]], "aaaa-mm")</f>
        <v>2026-04</v>
      </c>
    </row>
    <row r="613" spans="1:8">
      <c r="A613">
        <v>612</v>
      </c>
      <c r="B613" s="1">
        <v>45830</v>
      </c>
      <c r="C613" t="s">
        <v>1195</v>
      </c>
      <c r="D613" t="s">
        <v>238</v>
      </c>
      <c r="E613">
        <v>4</v>
      </c>
      <c r="F613">
        <v>17869</v>
      </c>
      <c r="G613">
        <f>TbReceitas[[#This Row],[quantidade]]*TbReceitas[[#This Row],[preco_unitario]]</f>
        <v>71476</v>
      </c>
      <c r="H613" t="str">
        <f>TEXT(TbReceitas[[#This Row],[data_transacao]], "aaaa-mm")</f>
        <v>2025-06</v>
      </c>
    </row>
    <row r="614" spans="1:8">
      <c r="A614">
        <v>613</v>
      </c>
      <c r="B614" s="1">
        <v>45918</v>
      </c>
      <c r="C614" t="s">
        <v>1196</v>
      </c>
      <c r="D614" t="s">
        <v>326</v>
      </c>
      <c r="E614">
        <v>5</v>
      </c>
      <c r="F614">
        <v>20049</v>
      </c>
      <c r="G614">
        <f>TbReceitas[[#This Row],[quantidade]]*TbReceitas[[#This Row],[preco_unitario]]</f>
        <v>100245</v>
      </c>
      <c r="H614" t="str">
        <f>TEXT(TbReceitas[[#This Row],[data_transacao]], "aaaa-mm")</f>
        <v>2025-09</v>
      </c>
    </row>
    <row r="615" spans="1:8">
      <c r="A615">
        <v>614</v>
      </c>
      <c r="B615" s="1">
        <v>45784</v>
      </c>
      <c r="C615" t="s">
        <v>994</v>
      </c>
      <c r="D615" t="s">
        <v>60</v>
      </c>
      <c r="E615">
        <v>4</v>
      </c>
      <c r="F615">
        <v>11989</v>
      </c>
      <c r="G615">
        <f>TbReceitas[[#This Row],[quantidade]]*TbReceitas[[#This Row],[preco_unitario]]</f>
        <v>47956</v>
      </c>
      <c r="H615" t="str">
        <f>TEXT(TbReceitas[[#This Row],[data_transacao]], "aaaa-mm")</f>
        <v>2025-05</v>
      </c>
    </row>
    <row r="616" spans="1:8">
      <c r="A616">
        <v>615</v>
      </c>
      <c r="B616" s="1">
        <v>45986</v>
      </c>
      <c r="C616" t="s">
        <v>1197</v>
      </c>
      <c r="D616" t="s">
        <v>92</v>
      </c>
      <c r="E616">
        <v>4</v>
      </c>
      <c r="F616">
        <v>10021</v>
      </c>
      <c r="G616">
        <f>TbReceitas[[#This Row],[quantidade]]*TbReceitas[[#This Row],[preco_unitario]]</f>
        <v>40084</v>
      </c>
      <c r="H616" t="str">
        <f>TEXT(TbReceitas[[#This Row],[data_transacao]], "aaaa-mm")</f>
        <v>2025-11</v>
      </c>
    </row>
    <row r="617" spans="1:8">
      <c r="A617">
        <v>616</v>
      </c>
      <c r="B617" s="1">
        <v>45928</v>
      </c>
      <c r="C617" t="s">
        <v>1049</v>
      </c>
      <c r="D617" t="s">
        <v>577</v>
      </c>
      <c r="E617">
        <v>5</v>
      </c>
      <c r="F617">
        <v>13816</v>
      </c>
      <c r="G617">
        <f>TbReceitas[[#This Row],[quantidade]]*TbReceitas[[#This Row],[preco_unitario]]</f>
        <v>69080</v>
      </c>
      <c r="H617" t="str">
        <f>TEXT(TbReceitas[[#This Row],[data_transacao]], "aaaa-mm")</f>
        <v>2025-09</v>
      </c>
    </row>
    <row r="618" spans="1:8">
      <c r="A618">
        <v>617</v>
      </c>
      <c r="B618" s="1">
        <v>46054</v>
      </c>
      <c r="C618" t="s">
        <v>1198</v>
      </c>
      <c r="D618" t="s">
        <v>127</v>
      </c>
      <c r="E618">
        <v>5</v>
      </c>
      <c r="F618">
        <v>648</v>
      </c>
      <c r="G618">
        <f>TbReceitas[[#This Row],[quantidade]]*TbReceitas[[#This Row],[preco_unitario]]</f>
        <v>3240</v>
      </c>
      <c r="H618" t="str">
        <f>TEXT(TbReceitas[[#This Row],[data_transacao]], "aaaa-mm")</f>
        <v>2026-02</v>
      </c>
    </row>
    <row r="619" spans="1:8">
      <c r="A619">
        <v>618</v>
      </c>
      <c r="B619" s="1">
        <v>46271</v>
      </c>
      <c r="C619" t="s">
        <v>1199</v>
      </c>
      <c r="D619" t="s">
        <v>589</v>
      </c>
      <c r="E619">
        <v>1</v>
      </c>
      <c r="F619">
        <v>6421</v>
      </c>
      <c r="G619">
        <f>TbReceitas[[#This Row],[quantidade]]*TbReceitas[[#This Row],[preco_unitario]]</f>
        <v>6421</v>
      </c>
      <c r="H619" t="str">
        <f>TEXT(TbReceitas[[#This Row],[data_transacao]], "aaaa-mm")</f>
        <v>2026-09</v>
      </c>
    </row>
    <row r="620" spans="1:8">
      <c r="A620">
        <v>619</v>
      </c>
      <c r="B620" s="1">
        <v>46057</v>
      </c>
      <c r="C620" t="s">
        <v>970</v>
      </c>
      <c r="D620" t="s">
        <v>566</v>
      </c>
      <c r="E620">
        <v>4</v>
      </c>
      <c r="F620">
        <v>23772</v>
      </c>
      <c r="G620">
        <f>TbReceitas[[#This Row],[quantidade]]*TbReceitas[[#This Row],[preco_unitario]]</f>
        <v>95088</v>
      </c>
      <c r="H620" t="str">
        <f>TEXT(TbReceitas[[#This Row],[data_transacao]], "aaaa-mm")</f>
        <v>2026-02</v>
      </c>
    </row>
    <row r="621" spans="1:8">
      <c r="A621">
        <v>620</v>
      </c>
      <c r="B621" s="1">
        <v>46189</v>
      </c>
      <c r="C621" t="s">
        <v>1200</v>
      </c>
      <c r="D621" t="s">
        <v>676</v>
      </c>
      <c r="E621">
        <v>3</v>
      </c>
      <c r="F621">
        <v>12038</v>
      </c>
      <c r="G621">
        <f>TbReceitas[[#This Row],[quantidade]]*TbReceitas[[#This Row],[preco_unitario]]</f>
        <v>36114</v>
      </c>
      <c r="H621" t="str">
        <f>TEXT(TbReceitas[[#This Row],[data_transacao]], "aaaa-mm")</f>
        <v>2026-06</v>
      </c>
    </row>
    <row r="622" spans="1:8">
      <c r="A622">
        <v>621</v>
      </c>
      <c r="B622" s="1">
        <v>45603</v>
      </c>
      <c r="C622" t="s">
        <v>1201</v>
      </c>
      <c r="D622" t="s">
        <v>561</v>
      </c>
      <c r="E622">
        <v>3</v>
      </c>
      <c r="F622">
        <v>878</v>
      </c>
      <c r="G622">
        <f>TbReceitas[[#This Row],[quantidade]]*TbReceitas[[#This Row],[preco_unitario]]</f>
        <v>2634</v>
      </c>
      <c r="H622" t="str">
        <f>TEXT(TbReceitas[[#This Row],[data_transacao]], "aaaa-mm")</f>
        <v>2024-11</v>
      </c>
    </row>
    <row r="623" spans="1:8">
      <c r="A623">
        <v>622</v>
      </c>
      <c r="B623" s="1">
        <v>45800</v>
      </c>
      <c r="C623" t="s">
        <v>1202</v>
      </c>
      <c r="D623" t="s">
        <v>272</v>
      </c>
      <c r="E623">
        <v>4</v>
      </c>
      <c r="F623">
        <v>2294</v>
      </c>
      <c r="G623">
        <f>TbReceitas[[#This Row],[quantidade]]*TbReceitas[[#This Row],[preco_unitario]]</f>
        <v>9176</v>
      </c>
      <c r="H623" t="str">
        <f>TEXT(TbReceitas[[#This Row],[data_transacao]], "aaaa-mm")</f>
        <v>2025-05</v>
      </c>
    </row>
    <row r="624" spans="1:8">
      <c r="A624">
        <v>623</v>
      </c>
      <c r="B624" s="1">
        <v>45567</v>
      </c>
      <c r="C624" t="s">
        <v>1113</v>
      </c>
      <c r="D624" t="s">
        <v>64</v>
      </c>
      <c r="E624">
        <v>1</v>
      </c>
      <c r="F624">
        <v>10452</v>
      </c>
      <c r="G624">
        <f>TbReceitas[[#This Row],[quantidade]]*TbReceitas[[#This Row],[preco_unitario]]</f>
        <v>10452</v>
      </c>
      <c r="H624" t="str">
        <f>TEXT(TbReceitas[[#This Row],[data_transacao]], "aaaa-mm")</f>
        <v>2024-10</v>
      </c>
    </row>
    <row r="625" spans="1:8">
      <c r="A625">
        <v>624</v>
      </c>
      <c r="B625" s="1">
        <v>45657</v>
      </c>
      <c r="C625" t="s">
        <v>1203</v>
      </c>
      <c r="D625" t="s">
        <v>339</v>
      </c>
      <c r="E625">
        <v>4</v>
      </c>
      <c r="F625">
        <v>5463</v>
      </c>
      <c r="G625">
        <f>TbReceitas[[#This Row],[quantidade]]*TbReceitas[[#This Row],[preco_unitario]]</f>
        <v>21852</v>
      </c>
      <c r="H625" t="str">
        <f>TEXT(TbReceitas[[#This Row],[data_transacao]], "aaaa-mm")</f>
        <v>2024-12</v>
      </c>
    </row>
    <row r="626" spans="1:8">
      <c r="A626">
        <v>625</v>
      </c>
      <c r="B626" s="1">
        <v>45673</v>
      </c>
      <c r="C626" t="s">
        <v>832</v>
      </c>
      <c r="D626" t="s">
        <v>90</v>
      </c>
      <c r="E626">
        <v>4</v>
      </c>
      <c r="F626">
        <v>20394</v>
      </c>
      <c r="G626">
        <f>TbReceitas[[#This Row],[quantidade]]*TbReceitas[[#This Row],[preco_unitario]]</f>
        <v>81576</v>
      </c>
      <c r="H626" t="str">
        <f>TEXT(TbReceitas[[#This Row],[data_transacao]], "aaaa-mm")</f>
        <v>2025-01</v>
      </c>
    </row>
    <row r="627" spans="1:8">
      <c r="A627">
        <v>626</v>
      </c>
      <c r="B627" s="1">
        <v>45963</v>
      </c>
      <c r="C627" t="s">
        <v>1204</v>
      </c>
      <c r="D627" t="s">
        <v>606</v>
      </c>
      <c r="E627">
        <v>4</v>
      </c>
      <c r="F627">
        <v>7402</v>
      </c>
      <c r="G627">
        <f>TbReceitas[[#This Row],[quantidade]]*TbReceitas[[#This Row],[preco_unitario]]</f>
        <v>29608</v>
      </c>
      <c r="H627" t="str">
        <f>TEXT(TbReceitas[[#This Row],[data_transacao]], "aaaa-mm")</f>
        <v>2025-11</v>
      </c>
    </row>
    <row r="628" spans="1:8">
      <c r="A628">
        <v>627</v>
      </c>
      <c r="B628" s="1">
        <v>46115</v>
      </c>
      <c r="C628" t="s">
        <v>1205</v>
      </c>
      <c r="D628" t="s">
        <v>188</v>
      </c>
      <c r="E628">
        <v>2</v>
      </c>
      <c r="F628">
        <v>13547</v>
      </c>
      <c r="G628">
        <f>TbReceitas[[#This Row],[quantidade]]*TbReceitas[[#This Row],[preco_unitario]]</f>
        <v>27094</v>
      </c>
      <c r="H628" t="str">
        <f>TEXT(TbReceitas[[#This Row],[data_transacao]], "aaaa-mm")</f>
        <v>2026-04</v>
      </c>
    </row>
    <row r="629" spans="1:8">
      <c r="A629">
        <v>628</v>
      </c>
      <c r="B629" s="1">
        <v>45647</v>
      </c>
      <c r="C629" t="s">
        <v>959</v>
      </c>
      <c r="D629" t="s">
        <v>572</v>
      </c>
      <c r="E629">
        <v>5</v>
      </c>
      <c r="F629">
        <v>18187</v>
      </c>
      <c r="G629">
        <f>TbReceitas[[#This Row],[quantidade]]*TbReceitas[[#This Row],[preco_unitario]]</f>
        <v>90935</v>
      </c>
      <c r="H629" t="str">
        <f>TEXT(TbReceitas[[#This Row],[data_transacao]], "aaaa-mm")</f>
        <v>2024-12</v>
      </c>
    </row>
    <row r="630" spans="1:8">
      <c r="A630">
        <v>629</v>
      </c>
      <c r="B630" s="1">
        <v>45698</v>
      </c>
      <c r="C630" t="s">
        <v>1206</v>
      </c>
      <c r="D630" t="s">
        <v>107</v>
      </c>
      <c r="E630">
        <v>5</v>
      </c>
      <c r="F630">
        <v>16331</v>
      </c>
      <c r="G630">
        <f>TbReceitas[[#This Row],[quantidade]]*TbReceitas[[#This Row],[preco_unitario]]</f>
        <v>81655</v>
      </c>
      <c r="H630" t="str">
        <f>TEXT(TbReceitas[[#This Row],[data_transacao]], "aaaa-mm")</f>
        <v>2025-02</v>
      </c>
    </row>
    <row r="631" spans="1:8">
      <c r="A631">
        <v>630</v>
      </c>
      <c r="B631" s="1">
        <v>45780</v>
      </c>
      <c r="C631" t="s">
        <v>1159</v>
      </c>
      <c r="D631" t="s">
        <v>163</v>
      </c>
      <c r="E631">
        <v>1</v>
      </c>
      <c r="F631">
        <v>562</v>
      </c>
      <c r="G631">
        <f>TbReceitas[[#This Row],[quantidade]]*TbReceitas[[#This Row],[preco_unitario]]</f>
        <v>562</v>
      </c>
      <c r="H631" t="str">
        <f>TEXT(TbReceitas[[#This Row],[data_transacao]], "aaaa-mm")</f>
        <v>2025-05</v>
      </c>
    </row>
    <row r="632" spans="1:8">
      <c r="A632">
        <v>631</v>
      </c>
      <c r="B632" s="1">
        <v>45554</v>
      </c>
      <c r="C632" t="s">
        <v>823</v>
      </c>
      <c r="D632" t="s">
        <v>299</v>
      </c>
      <c r="E632">
        <v>4</v>
      </c>
      <c r="F632">
        <v>2266</v>
      </c>
      <c r="G632">
        <f>TbReceitas[[#This Row],[quantidade]]*TbReceitas[[#This Row],[preco_unitario]]</f>
        <v>9064</v>
      </c>
      <c r="H632" t="str">
        <f>TEXT(TbReceitas[[#This Row],[data_transacao]], "aaaa-mm")</f>
        <v>2024-09</v>
      </c>
    </row>
    <row r="633" spans="1:8">
      <c r="A633">
        <v>632</v>
      </c>
      <c r="B633" s="1">
        <v>46062</v>
      </c>
      <c r="C633" t="s">
        <v>1207</v>
      </c>
      <c r="D633" t="s">
        <v>400</v>
      </c>
      <c r="E633">
        <v>4</v>
      </c>
      <c r="F633">
        <v>1186</v>
      </c>
      <c r="G633">
        <f>TbReceitas[[#This Row],[quantidade]]*TbReceitas[[#This Row],[preco_unitario]]</f>
        <v>4744</v>
      </c>
      <c r="H633" t="str">
        <f>TEXT(TbReceitas[[#This Row],[data_transacao]], "aaaa-mm")</f>
        <v>2026-02</v>
      </c>
    </row>
    <row r="634" spans="1:8">
      <c r="A634">
        <v>633</v>
      </c>
      <c r="B634" s="1">
        <v>45908</v>
      </c>
      <c r="C634" t="s">
        <v>1208</v>
      </c>
      <c r="D634" t="s">
        <v>533</v>
      </c>
      <c r="E634">
        <v>1</v>
      </c>
      <c r="F634">
        <v>7628</v>
      </c>
      <c r="G634">
        <f>TbReceitas[[#This Row],[quantidade]]*TbReceitas[[#This Row],[preco_unitario]]</f>
        <v>7628</v>
      </c>
      <c r="H634" t="str">
        <f>TEXT(TbReceitas[[#This Row],[data_transacao]], "aaaa-mm")</f>
        <v>2025-09</v>
      </c>
    </row>
    <row r="635" spans="1:8">
      <c r="A635">
        <v>634</v>
      </c>
      <c r="B635" s="1">
        <v>46216</v>
      </c>
      <c r="C635" t="s">
        <v>754</v>
      </c>
      <c r="D635" t="s">
        <v>163</v>
      </c>
      <c r="E635">
        <v>4</v>
      </c>
      <c r="F635">
        <v>562</v>
      </c>
      <c r="G635">
        <f>TbReceitas[[#This Row],[quantidade]]*TbReceitas[[#This Row],[preco_unitario]]</f>
        <v>2248</v>
      </c>
      <c r="H635" t="str">
        <f>TEXT(TbReceitas[[#This Row],[data_transacao]], "aaaa-mm")</f>
        <v>2026-07</v>
      </c>
    </row>
    <row r="636" spans="1:8">
      <c r="A636">
        <v>635</v>
      </c>
      <c r="B636" s="1">
        <v>46197</v>
      </c>
      <c r="C636" t="s">
        <v>1173</v>
      </c>
      <c r="D636" t="s">
        <v>120</v>
      </c>
      <c r="E636">
        <v>1</v>
      </c>
      <c r="F636">
        <v>13463</v>
      </c>
      <c r="G636">
        <f>TbReceitas[[#This Row],[quantidade]]*TbReceitas[[#This Row],[preco_unitario]]</f>
        <v>13463</v>
      </c>
      <c r="H636" t="str">
        <f>TEXT(TbReceitas[[#This Row],[data_transacao]], "aaaa-mm")</f>
        <v>2026-06</v>
      </c>
    </row>
    <row r="637" spans="1:8">
      <c r="A637">
        <v>636</v>
      </c>
      <c r="B637" s="1">
        <v>45840</v>
      </c>
      <c r="C637" t="s">
        <v>1209</v>
      </c>
      <c r="D637" t="s">
        <v>576</v>
      </c>
      <c r="E637">
        <v>3</v>
      </c>
      <c r="F637">
        <v>13142</v>
      </c>
      <c r="G637">
        <f>TbReceitas[[#This Row],[quantidade]]*TbReceitas[[#This Row],[preco_unitario]]</f>
        <v>39426</v>
      </c>
      <c r="H637" t="str">
        <f>TEXT(TbReceitas[[#This Row],[data_transacao]], "aaaa-mm")</f>
        <v>2025-07</v>
      </c>
    </row>
    <row r="638" spans="1:8">
      <c r="A638">
        <v>637</v>
      </c>
      <c r="B638" s="1">
        <v>46032</v>
      </c>
      <c r="C638" t="s">
        <v>1065</v>
      </c>
      <c r="D638" t="s">
        <v>270</v>
      </c>
      <c r="E638">
        <v>3</v>
      </c>
      <c r="F638">
        <v>24663</v>
      </c>
      <c r="G638">
        <f>TbReceitas[[#This Row],[quantidade]]*TbReceitas[[#This Row],[preco_unitario]]</f>
        <v>73989</v>
      </c>
      <c r="H638" t="str">
        <f>TEXT(TbReceitas[[#This Row],[data_transacao]], "aaaa-mm")</f>
        <v>2026-01</v>
      </c>
    </row>
    <row r="639" spans="1:8">
      <c r="A639">
        <v>638</v>
      </c>
      <c r="B639" s="1">
        <v>45789</v>
      </c>
      <c r="C639" t="s">
        <v>994</v>
      </c>
      <c r="D639" t="s">
        <v>106</v>
      </c>
      <c r="E639">
        <v>4</v>
      </c>
      <c r="F639">
        <v>4671</v>
      </c>
      <c r="G639">
        <f>TbReceitas[[#This Row],[quantidade]]*TbReceitas[[#This Row],[preco_unitario]]</f>
        <v>18684</v>
      </c>
      <c r="H639" t="str">
        <f>TEXT(TbReceitas[[#This Row],[data_transacao]], "aaaa-mm")</f>
        <v>2025-05</v>
      </c>
    </row>
    <row r="640" spans="1:8">
      <c r="A640">
        <v>639</v>
      </c>
      <c r="B640" s="1">
        <v>46099</v>
      </c>
      <c r="C640" t="s">
        <v>1210</v>
      </c>
      <c r="D640" t="s">
        <v>14</v>
      </c>
      <c r="E640">
        <v>1</v>
      </c>
      <c r="F640">
        <v>11529</v>
      </c>
      <c r="G640">
        <f>TbReceitas[[#This Row],[quantidade]]*TbReceitas[[#This Row],[preco_unitario]]</f>
        <v>11529</v>
      </c>
      <c r="H640" t="str">
        <f>TEXT(TbReceitas[[#This Row],[data_transacao]], "aaaa-mm")</f>
        <v>2026-03</v>
      </c>
    </row>
    <row r="641" spans="1:8">
      <c r="A641">
        <v>640</v>
      </c>
      <c r="B641" s="1">
        <v>46108</v>
      </c>
      <c r="C641" t="s">
        <v>1012</v>
      </c>
      <c r="D641" t="s">
        <v>664</v>
      </c>
      <c r="E641">
        <v>2</v>
      </c>
      <c r="F641">
        <v>11808</v>
      </c>
      <c r="G641">
        <f>TbReceitas[[#This Row],[quantidade]]*TbReceitas[[#This Row],[preco_unitario]]</f>
        <v>23616</v>
      </c>
      <c r="H641" t="str">
        <f>TEXT(TbReceitas[[#This Row],[data_transacao]], "aaaa-mm")</f>
        <v>2026-03</v>
      </c>
    </row>
    <row r="642" spans="1:8">
      <c r="A642">
        <v>641</v>
      </c>
      <c r="B642" s="1">
        <v>46156</v>
      </c>
      <c r="C642" t="s">
        <v>840</v>
      </c>
      <c r="D642" t="s">
        <v>414</v>
      </c>
      <c r="E642">
        <v>3</v>
      </c>
      <c r="F642">
        <v>18008</v>
      </c>
      <c r="G642">
        <f>TbReceitas[[#This Row],[quantidade]]*TbReceitas[[#This Row],[preco_unitario]]</f>
        <v>54024</v>
      </c>
      <c r="H642" t="str">
        <f>TEXT(TbReceitas[[#This Row],[data_transacao]], "aaaa-mm")</f>
        <v>2026-05</v>
      </c>
    </row>
    <row r="643" spans="1:8">
      <c r="A643">
        <v>642</v>
      </c>
      <c r="B643" s="1">
        <v>45727</v>
      </c>
      <c r="C643" t="s">
        <v>1211</v>
      </c>
      <c r="D643" t="s">
        <v>211</v>
      </c>
      <c r="E643">
        <v>1</v>
      </c>
      <c r="F643">
        <v>20547</v>
      </c>
      <c r="G643">
        <f>TbReceitas[[#This Row],[quantidade]]*TbReceitas[[#This Row],[preco_unitario]]</f>
        <v>20547</v>
      </c>
      <c r="H643" t="str">
        <f>TEXT(TbReceitas[[#This Row],[data_transacao]], "aaaa-mm")</f>
        <v>2025-03</v>
      </c>
    </row>
    <row r="644" spans="1:8">
      <c r="A644">
        <v>643</v>
      </c>
      <c r="B644" s="1">
        <v>46117</v>
      </c>
      <c r="C644" t="s">
        <v>1212</v>
      </c>
      <c r="D644" t="s">
        <v>122</v>
      </c>
      <c r="E644">
        <v>1</v>
      </c>
      <c r="F644">
        <v>2704</v>
      </c>
      <c r="G644">
        <f>TbReceitas[[#This Row],[quantidade]]*TbReceitas[[#This Row],[preco_unitario]]</f>
        <v>2704</v>
      </c>
      <c r="H644" t="str">
        <f>TEXT(TbReceitas[[#This Row],[data_transacao]], "aaaa-mm")</f>
        <v>2026-04</v>
      </c>
    </row>
    <row r="645" spans="1:8">
      <c r="A645">
        <v>644</v>
      </c>
      <c r="B645" s="1">
        <v>45575</v>
      </c>
      <c r="C645" t="s">
        <v>1213</v>
      </c>
      <c r="D645" t="s">
        <v>414</v>
      </c>
      <c r="E645">
        <v>2</v>
      </c>
      <c r="F645">
        <v>18008</v>
      </c>
      <c r="G645">
        <f>TbReceitas[[#This Row],[quantidade]]*TbReceitas[[#This Row],[preco_unitario]]</f>
        <v>36016</v>
      </c>
      <c r="H645" t="str">
        <f>TEXT(TbReceitas[[#This Row],[data_transacao]], "aaaa-mm")</f>
        <v>2024-10</v>
      </c>
    </row>
    <row r="646" spans="1:8">
      <c r="A646">
        <v>645</v>
      </c>
      <c r="B646" s="1">
        <v>46098</v>
      </c>
      <c r="C646" t="s">
        <v>1119</v>
      </c>
      <c r="D646" t="s">
        <v>380</v>
      </c>
      <c r="E646">
        <v>2</v>
      </c>
      <c r="F646">
        <v>18227</v>
      </c>
      <c r="G646">
        <f>TbReceitas[[#This Row],[quantidade]]*TbReceitas[[#This Row],[preco_unitario]]</f>
        <v>36454</v>
      </c>
      <c r="H646" t="str">
        <f>TEXT(TbReceitas[[#This Row],[data_transacao]], "aaaa-mm")</f>
        <v>2026-03</v>
      </c>
    </row>
    <row r="647" spans="1:8">
      <c r="A647">
        <v>646</v>
      </c>
      <c r="B647" s="1">
        <v>45785</v>
      </c>
      <c r="C647" t="s">
        <v>860</v>
      </c>
      <c r="D647" t="s">
        <v>1000</v>
      </c>
      <c r="E647">
        <v>4</v>
      </c>
      <c r="F647">
        <v>21329</v>
      </c>
      <c r="G647">
        <f>TbReceitas[[#This Row],[quantidade]]*TbReceitas[[#This Row],[preco_unitario]]</f>
        <v>85316</v>
      </c>
      <c r="H647" t="str">
        <f>TEXT(TbReceitas[[#This Row],[data_transacao]], "aaaa-mm")</f>
        <v>2025-05</v>
      </c>
    </row>
    <row r="648" spans="1:8">
      <c r="A648">
        <v>647</v>
      </c>
      <c r="B648" s="1">
        <v>45992</v>
      </c>
      <c r="C648" t="s">
        <v>1214</v>
      </c>
      <c r="D648" t="s">
        <v>433</v>
      </c>
      <c r="E648">
        <v>2</v>
      </c>
      <c r="F648">
        <v>3071</v>
      </c>
      <c r="G648">
        <f>TbReceitas[[#This Row],[quantidade]]*TbReceitas[[#This Row],[preco_unitario]]</f>
        <v>6142</v>
      </c>
      <c r="H648" t="str">
        <f>TEXT(TbReceitas[[#This Row],[data_transacao]], "aaaa-mm")</f>
        <v>2025-12</v>
      </c>
    </row>
    <row r="649" spans="1:8">
      <c r="A649">
        <v>648</v>
      </c>
      <c r="B649" s="1">
        <v>45591</v>
      </c>
      <c r="C649" t="s">
        <v>1100</v>
      </c>
      <c r="D649" t="s">
        <v>107</v>
      </c>
      <c r="E649">
        <v>1</v>
      </c>
      <c r="F649">
        <v>16331</v>
      </c>
      <c r="G649">
        <f>TbReceitas[[#This Row],[quantidade]]*TbReceitas[[#This Row],[preco_unitario]]</f>
        <v>16331</v>
      </c>
      <c r="H649" t="str">
        <f>TEXT(TbReceitas[[#This Row],[data_transacao]], "aaaa-mm")</f>
        <v>2024-10</v>
      </c>
    </row>
    <row r="650" spans="1:8">
      <c r="A650">
        <v>649</v>
      </c>
      <c r="B650" s="1">
        <v>46024</v>
      </c>
      <c r="C650" t="s">
        <v>1215</v>
      </c>
      <c r="D650" t="s">
        <v>281</v>
      </c>
      <c r="E650">
        <v>5</v>
      </c>
      <c r="F650">
        <v>16864</v>
      </c>
      <c r="G650">
        <f>TbReceitas[[#This Row],[quantidade]]*TbReceitas[[#This Row],[preco_unitario]]</f>
        <v>84320</v>
      </c>
      <c r="H650" t="str">
        <f>TEXT(TbReceitas[[#This Row],[data_transacao]], "aaaa-mm")</f>
        <v>2026-01</v>
      </c>
    </row>
    <row r="651" spans="1:8">
      <c r="A651">
        <v>650</v>
      </c>
      <c r="B651" s="1">
        <v>46060</v>
      </c>
      <c r="C651" t="s">
        <v>1191</v>
      </c>
      <c r="D651" t="s">
        <v>188</v>
      </c>
      <c r="E651">
        <v>1</v>
      </c>
      <c r="F651">
        <v>13547</v>
      </c>
      <c r="G651">
        <f>TbReceitas[[#This Row],[quantidade]]*TbReceitas[[#This Row],[preco_unitario]]</f>
        <v>13547</v>
      </c>
      <c r="H651" t="str">
        <f>TEXT(TbReceitas[[#This Row],[data_transacao]], "aaaa-mm")</f>
        <v>2026-02</v>
      </c>
    </row>
    <row r="652" spans="1:8">
      <c r="A652">
        <v>651</v>
      </c>
      <c r="B652" s="1">
        <v>45813</v>
      </c>
      <c r="C652" t="s">
        <v>1094</v>
      </c>
      <c r="D652" t="s">
        <v>426</v>
      </c>
      <c r="E652">
        <v>1</v>
      </c>
      <c r="F652">
        <v>155</v>
      </c>
      <c r="G652">
        <f>TbReceitas[[#This Row],[quantidade]]*TbReceitas[[#This Row],[preco_unitario]]</f>
        <v>155</v>
      </c>
      <c r="H652" t="str">
        <f>TEXT(TbReceitas[[#This Row],[data_transacao]], "aaaa-mm")</f>
        <v>2025-06</v>
      </c>
    </row>
    <row r="653" spans="1:8">
      <c r="A653">
        <v>652</v>
      </c>
      <c r="B653" s="1">
        <v>46016</v>
      </c>
      <c r="C653" t="s">
        <v>1001</v>
      </c>
      <c r="D653" t="s">
        <v>315</v>
      </c>
      <c r="E653">
        <v>1</v>
      </c>
      <c r="F653">
        <v>9033</v>
      </c>
      <c r="G653">
        <f>TbReceitas[[#This Row],[quantidade]]*TbReceitas[[#This Row],[preco_unitario]]</f>
        <v>9033</v>
      </c>
      <c r="H653" t="str">
        <f>TEXT(TbReceitas[[#This Row],[data_transacao]], "aaaa-mm")</f>
        <v>2025-12</v>
      </c>
    </row>
    <row r="654" spans="1:8">
      <c r="A654">
        <v>653</v>
      </c>
      <c r="B654" s="1">
        <v>46199</v>
      </c>
      <c r="C654" t="s">
        <v>1216</v>
      </c>
      <c r="D654" t="s">
        <v>276</v>
      </c>
      <c r="E654">
        <v>5</v>
      </c>
      <c r="F654">
        <v>13377</v>
      </c>
      <c r="G654">
        <f>TbReceitas[[#This Row],[quantidade]]*TbReceitas[[#This Row],[preco_unitario]]</f>
        <v>66885</v>
      </c>
      <c r="H654" t="str">
        <f>TEXT(TbReceitas[[#This Row],[data_transacao]], "aaaa-mm")</f>
        <v>2026-06</v>
      </c>
    </row>
    <row r="655" spans="1:8">
      <c r="A655">
        <v>654</v>
      </c>
      <c r="B655" s="1">
        <v>46057</v>
      </c>
      <c r="C655" t="s">
        <v>893</v>
      </c>
      <c r="D655" t="s">
        <v>161</v>
      </c>
      <c r="E655">
        <v>1</v>
      </c>
      <c r="F655">
        <v>7317</v>
      </c>
      <c r="G655">
        <f>TbReceitas[[#This Row],[quantidade]]*TbReceitas[[#This Row],[preco_unitario]]</f>
        <v>7317</v>
      </c>
      <c r="H655" t="str">
        <f>TEXT(TbReceitas[[#This Row],[data_transacao]], "aaaa-mm")</f>
        <v>2026-02</v>
      </c>
    </row>
    <row r="656" spans="1:8">
      <c r="A656">
        <v>655</v>
      </c>
      <c r="B656" s="1">
        <v>46262</v>
      </c>
      <c r="C656" t="s">
        <v>919</v>
      </c>
      <c r="D656" t="s">
        <v>127</v>
      </c>
      <c r="E656">
        <v>1</v>
      </c>
      <c r="F656">
        <v>648</v>
      </c>
      <c r="G656">
        <f>TbReceitas[[#This Row],[quantidade]]*TbReceitas[[#This Row],[preco_unitario]]</f>
        <v>648</v>
      </c>
      <c r="H656" t="str">
        <f>TEXT(TbReceitas[[#This Row],[data_transacao]], "aaaa-mm")</f>
        <v>2026-08</v>
      </c>
    </row>
    <row r="657" spans="1:8">
      <c r="A657">
        <v>656</v>
      </c>
      <c r="B657" s="1">
        <v>45791</v>
      </c>
      <c r="C657" t="s">
        <v>803</v>
      </c>
      <c r="D657" t="s">
        <v>427</v>
      </c>
      <c r="E657">
        <v>2</v>
      </c>
      <c r="F657">
        <v>9083</v>
      </c>
      <c r="G657">
        <f>TbReceitas[[#This Row],[quantidade]]*TbReceitas[[#This Row],[preco_unitario]]</f>
        <v>18166</v>
      </c>
      <c r="H657" t="str">
        <f>TEXT(TbReceitas[[#This Row],[data_transacao]], "aaaa-mm")</f>
        <v>2025-05</v>
      </c>
    </row>
    <row r="658" spans="1:8">
      <c r="A658">
        <v>657</v>
      </c>
      <c r="B658" s="1">
        <v>46072</v>
      </c>
      <c r="C658" t="s">
        <v>1004</v>
      </c>
      <c r="D658" t="s">
        <v>357</v>
      </c>
      <c r="E658">
        <v>4</v>
      </c>
      <c r="F658">
        <v>7516</v>
      </c>
      <c r="G658">
        <f>TbReceitas[[#This Row],[quantidade]]*TbReceitas[[#This Row],[preco_unitario]]</f>
        <v>30064</v>
      </c>
      <c r="H658" t="str">
        <f>TEXT(TbReceitas[[#This Row],[data_transacao]], "aaaa-mm")</f>
        <v>2026-02</v>
      </c>
    </row>
    <row r="659" spans="1:8">
      <c r="A659">
        <v>658</v>
      </c>
      <c r="B659" s="1">
        <v>46206</v>
      </c>
      <c r="C659" t="s">
        <v>751</v>
      </c>
      <c r="D659" t="s">
        <v>72</v>
      </c>
      <c r="E659">
        <v>2</v>
      </c>
      <c r="F659">
        <v>22215</v>
      </c>
      <c r="G659">
        <f>TbReceitas[[#This Row],[quantidade]]*TbReceitas[[#This Row],[preco_unitario]]</f>
        <v>44430</v>
      </c>
      <c r="H659" t="str">
        <f>TEXT(TbReceitas[[#This Row],[data_transacao]], "aaaa-mm")</f>
        <v>2026-07</v>
      </c>
    </row>
    <row r="660" spans="1:8">
      <c r="A660">
        <v>659</v>
      </c>
      <c r="B660" s="1">
        <v>45964</v>
      </c>
      <c r="C660" t="s">
        <v>1152</v>
      </c>
      <c r="D660" t="s">
        <v>168</v>
      </c>
      <c r="E660">
        <v>2</v>
      </c>
      <c r="F660">
        <v>3678</v>
      </c>
      <c r="G660">
        <f>TbReceitas[[#This Row],[quantidade]]*TbReceitas[[#This Row],[preco_unitario]]</f>
        <v>7356</v>
      </c>
      <c r="H660" t="str">
        <f>TEXT(TbReceitas[[#This Row],[data_transacao]], "aaaa-mm")</f>
        <v>2025-11</v>
      </c>
    </row>
    <row r="661" spans="1:8">
      <c r="A661">
        <v>660</v>
      </c>
      <c r="B661" s="1">
        <v>46059</v>
      </c>
      <c r="C661" t="s">
        <v>1217</v>
      </c>
      <c r="D661" t="s">
        <v>328</v>
      </c>
      <c r="E661">
        <v>2</v>
      </c>
      <c r="F661">
        <v>23333</v>
      </c>
      <c r="G661">
        <f>TbReceitas[[#This Row],[quantidade]]*TbReceitas[[#This Row],[preco_unitario]]</f>
        <v>46666</v>
      </c>
      <c r="H661" t="str">
        <f>TEXT(TbReceitas[[#This Row],[data_transacao]], "aaaa-mm")</f>
        <v>2026-02</v>
      </c>
    </row>
    <row r="662" spans="1:8">
      <c r="A662">
        <v>661</v>
      </c>
      <c r="B662" s="1">
        <v>45794</v>
      </c>
      <c r="C662" t="s">
        <v>883</v>
      </c>
      <c r="D662" t="s">
        <v>365</v>
      </c>
      <c r="E662">
        <v>2</v>
      </c>
      <c r="F662">
        <v>20402</v>
      </c>
      <c r="G662">
        <f>TbReceitas[[#This Row],[quantidade]]*TbReceitas[[#This Row],[preco_unitario]]</f>
        <v>40804</v>
      </c>
      <c r="H662" t="str">
        <f>TEXT(TbReceitas[[#This Row],[data_transacao]], "aaaa-mm")</f>
        <v>2025-05</v>
      </c>
    </row>
    <row r="663" spans="1:8">
      <c r="A663">
        <v>662</v>
      </c>
      <c r="B663" s="1">
        <v>46136</v>
      </c>
      <c r="C663" t="s">
        <v>1218</v>
      </c>
      <c r="D663" t="s">
        <v>326</v>
      </c>
      <c r="E663">
        <v>5</v>
      </c>
      <c r="F663">
        <v>20049</v>
      </c>
      <c r="G663">
        <f>TbReceitas[[#This Row],[quantidade]]*TbReceitas[[#This Row],[preco_unitario]]</f>
        <v>100245</v>
      </c>
      <c r="H663" t="str">
        <f>TEXT(TbReceitas[[#This Row],[data_transacao]], "aaaa-mm")</f>
        <v>2026-04</v>
      </c>
    </row>
    <row r="664" spans="1:8">
      <c r="A664">
        <v>663</v>
      </c>
      <c r="B664" s="1">
        <v>45711</v>
      </c>
      <c r="C664" t="s">
        <v>1164</v>
      </c>
      <c r="D664" t="s">
        <v>59</v>
      </c>
      <c r="E664">
        <v>5</v>
      </c>
      <c r="F664">
        <v>13531</v>
      </c>
      <c r="G664">
        <f>TbReceitas[[#This Row],[quantidade]]*TbReceitas[[#This Row],[preco_unitario]]</f>
        <v>67655</v>
      </c>
      <c r="H664" t="str">
        <f>TEXT(TbReceitas[[#This Row],[data_transacao]], "aaaa-mm")</f>
        <v>2025-02</v>
      </c>
    </row>
    <row r="665" spans="1:8">
      <c r="A665">
        <v>664</v>
      </c>
      <c r="B665" s="1">
        <v>45865</v>
      </c>
      <c r="C665" t="s">
        <v>964</v>
      </c>
      <c r="D665" t="s">
        <v>422</v>
      </c>
      <c r="E665">
        <v>2</v>
      </c>
      <c r="F665">
        <v>4061</v>
      </c>
      <c r="G665">
        <f>TbReceitas[[#This Row],[quantidade]]*TbReceitas[[#This Row],[preco_unitario]]</f>
        <v>8122</v>
      </c>
      <c r="H665" t="str">
        <f>TEXT(TbReceitas[[#This Row],[data_transacao]], "aaaa-mm")</f>
        <v>2025-07</v>
      </c>
    </row>
    <row r="666" spans="1:8">
      <c r="A666">
        <v>665</v>
      </c>
      <c r="B666" s="1">
        <v>46124</v>
      </c>
      <c r="C666" t="s">
        <v>1219</v>
      </c>
      <c r="D666" t="s">
        <v>1220</v>
      </c>
      <c r="E666">
        <v>4</v>
      </c>
      <c r="F666">
        <v>6695</v>
      </c>
      <c r="G666">
        <f>TbReceitas[[#This Row],[quantidade]]*TbReceitas[[#This Row],[preco_unitario]]</f>
        <v>26780</v>
      </c>
      <c r="H666" t="str">
        <f>TEXT(TbReceitas[[#This Row],[data_transacao]], "aaaa-mm")</f>
        <v>2026-04</v>
      </c>
    </row>
    <row r="667" spans="1:8">
      <c r="A667">
        <v>666</v>
      </c>
      <c r="B667" s="1">
        <v>45555</v>
      </c>
      <c r="C667" t="s">
        <v>1221</v>
      </c>
      <c r="D667" t="s">
        <v>613</v>
      </c>
      <c r="E667">
        <v>4</v>
      </c>
      <c r="F667">
        <v>9029</v>
      </c>
      <c r="G667">
        <f>TbReceitas[[#This Row],[quantidade]]*TbReceitas[[#This Row],[preco_unitario]]</f>
        <v>36116</v>
      </c>
      <c r="H667" t="str">
        <f>TEXT(TbReceitas[[#This Row],[data_transacao]], "aaaa-mm")</f>
        <v>2024-09</v>
      </c>
    </row>
    <row r="668" spans="1:8">
      <c r="A668">
        <v>667</v>
      </c>
      <c r="B668" s="1">
        <v>46138</v>
      </c>
      <c r="C668" t="s">
        <v>1153</v>
      </c>
      <c r="D668" t="s">
        <v>248</v>
      </c>
      <c r="E668">
        <v>2</v>
      </c>
      <c r="F668">
        <v>20401</v>
      </c>
      <c r="G668">
        <f>TbReceitas[[#This Row],[quantidade]]*TbReceitas[[#This Row],[preco_unitario]]</f>
        <v>40802</v>
      </c>
      <c r="H668" t="str">
        <f>TEXT(TbReceitas[[#This Row],[data_transacao]], "aaaa-mm")</f>
        <v>2026-04</v>
      </c>
    </row>
    <row r="669" spans="1:8">
      <c r="A669">
        <v>668</v>
      </c>
      <c r="B669" s="1">
        <v>45749</v>
      </c>
      <c r="C669" t="s">
        <v>942</v>
      </c>
      <c r="D669" t="s">
        <v>591</v>
      </c>
      <c r="E669">
        <v>5</v>
      </c>
      <c r="F669">
        <v>1718</v>
      </c>
      <c r="G669">
        <f>TbReceitas[[#This Row],[quantidade]]*TbReceitas[[#This Row],[preco_unitario]]</f>
        <v>8590</v>
      </c>
      <c r="H669" t="str">
        <f>TEXT(TbReceitas[[#This Row],[data_transacao]], "aaaa-mm")</f>
        <v>2025-04</v>
      </c>
    </row>
    <row r="670" spans="1:8">
      <c r="A670">
        <v>669</v>
      </c>
      <c r="B670" s="1">
        <v>46252</v>
      </c>
      <c r="C670" t="s">
        <v>1119</v>
      </c>
      <c r="D670" t="s">
        <v>562</v>
      </c>
      <c r="E670">
        <v>4</v>
      </c>
      <c r="F670">
        <v>1203</v>
      </c>
      <c r="G670">
        <f>TbReceitas[[#This Row],[quantidade]]*TbReceitas[[#This Row],[preco_unitario]]</f>
        <v>4812</v>
      </c>
      <c r="H670" t="str">
        <f>TEXT(TbReceitas[[#This Row],[data_transacao]], "aaaa-mm")</f>
        <v>2026-08</v>
      </c>
    </row>
    <row r="671" spans="1:8">
      <c r="A671">
        <v>670</v>
      </c>
      <c r="B671" s="1">
        <v>46124</v>
      </c>
      <c r="C671" t="s">
        <v>1034</v>
      </c>
      <c r="D671" t="s">
        <v>613</v>
      </c>
      <c r="E671">
        <v>2</v>
      </c>
      <c r="F671">
        <v>9029</v>
      </c>
      <c r="G671">
        <f>TbReceitas[[#This Row],[quantidade]]*TbReceitas[[#This Row],[preco_unitario]]</f>
        <v>18058</v>
      </c>
      <c r="H671" t="str">
        <f>TEXT(TbReceitas[[#This Row],[data_transacao]], "aaaa-mm")</f>
        <v>2026-04</v>
      </c>
    </row>
    <row r="672" spans="1:8">
      <c r="A672">
        <v>671</v>
      </c>
      <c r="B672" s="1">
        <v>46276</v>
      </c>
      <c r="C672" t="s">
        <v>1207</v>
      </c>
      <c r="D672" t="s">
        <v>123</v>
      </c>
      <c r="E672">
        <v>5</v>
      </c>
      <c r="F672">
        <v>8019</v>
      </c>
      <c r="G672">
        <f>TbReceitas[[#This Row],[quantidade]]*TbReceitas[[#This Row],[preco_unitario]]</f>
        <v>40095</v>
      </c>
      <c r="H672" t="str">
        <f>TEXT(TbReceitas[[#This Row],[data_transacao]], "aaaa-mm")</f>
        <v>2026-09</v>
      </c>
    </row>
    <row r="673" spans="1:8">
      <c r="A673">
        <v>672</v>
      </c>
      <c r="B673" s="1">
        <v>45708</v>
      </c>
      <c r="C673" t="s">
        <v>708</v>
      </c>
      <c r="D673" t="s">
        <v>113</v>
      </c>
      <c r="E673">
        <v>3</v>
      </c>
      <c r="F673">
        <v>814</v>
      </c>
      <c r="G673">
        <f>TbReceitas[[#This Row],[quantidade]]*TbReceitas[[#This Row],[preco_unitario]]</f>
        <v>2442</v>
      </c>
      <c r="H673" t="str">
        <f>TEXT(TbReceitas[[#This Row],[data_transacao]], "aaaa-mm")</f>
        <v>2025-02</v>
      </c>
    </row>
    <row r="674" spans="1:8">
      <c r="A674">
        <v>673</v>
      </c>
      <c r="B674" s="1">
        <v>45938</v>
      </c>
      <c r="C674" t="s">
        <v>1222</v>
      </c>
      <c r="D674" t="s">
        <v>66</v>
      </c>
      <c r="E674">
        <v>4</v>
      </c>
      <c r="F674">
        <v>329</v>
      </c>
      <c r="G674">
        <f>TbReceitas[[#This Row],[quantidade]]*TbReceitas[[#This Row],[preco_unitario]]</f>
        <v>1316</v>
      </c>
      <c r="H674" t="str">
        <f>TEXT(TbReceitas[[#This Row],[data_transacao]], "aaaa-mm")</f>
        <v>2025-10</v>
      </c>
    </row>
    <row r="675" spans="1:8">
      <c r="A675">
        <v>674</v>
      </c>
      <c r="B675" s="1">
        <v>46162</v>
      </c>
      <c r="C675" t="s">
        <v>756</v>
      </c>
      <c r="D675" t="s">
        <v>311</v>
      </c>
      <c r="E675">
        <v>4</v>
      </c>
      <c r="F675">
        <v>9922</v>
      </c>
      <c r="G675">
        <f>TbReceitas[[#This Row],[quantidade]]*TbReceitas[[#This Row],[preco_unitario]]</f>
        <v>39688</v>
      </c>
      <c r="H675" t="str">
        <f>TEXT(TbReceitas[[#This Row],[data_transacao]], "aaaa-mm")</f>
        <v>2026-05</v>
      </c>
    </row>
    <row r="676" spans="1:8">
      <c r="A676">
        <v>675</v>
      </c>
      <c r="B676" s="1">
        <v>45910</v>
      </c>
      <c r="C676" t="s">
        <v>1114</v>
      </c>
      <c r="D676" t="s">
        <v>311</v>
      </c>
      <c r="E676">
        <v>3</v>
      </c>
      <c r="F676">
        <v>9922</v>
      </c>
      <c r="G676">
        <f>TbReceitas[[#This Row],[quantidade]]*TbReceitas[[#This Row],[preco_unitario]]</f>
        <v>29766</v>
      </c>
      <c r="H676" t="str">
        <f>TEXT(TbReceitas[[#This Row],[data_transacao]], "aaaa-mm")</f>
        <v>2025-09</v>
      </c>
    </row>
    <row r="677" spans="1:8">
      <c r="A677">
        <v>676</v>
      </c>
      <c r="B677" s="1">
        <v>45926</v>
      </c>
      <c r="C677" t="s">
        <v>1223</v>
      </c>
      <c r="D677" t="s">
        <v>537</v>
      </c>
      <c r="E677">
        <v>1</v>
      </c>
      <c r="F677">
        <v>1116</v>
      </c>
      <c r="G677">
        <f>TbReceitas[[#This Row],[quantidade]]*TbReceitas[[#This Row],[preco_unitario]]</f>
        <v>1116</v>
      </c>
      <c r="H677" t="str">
        <f>TEXT(TbReceitas[[#This Row],[data_transacao]], "aaaa-mm")</f>
        <v>2025-09</v>
      </c>
    </row>
    <row r="678" spans="1:8">
      <c r="A678">
        <v>677</v>
      </c>
      <c r="B678" s="1">
        <v>45581</v>
      </c>
      <c r="C678" t="s">
        <v>1224</v>
      </c>
      <c r="D678" t="s">
        <v>59</v>
      </c>
      <c r="E678">
        <v>5</v>
      </c>
      <c r="F678">
        <v>13531</v>
      </c>
      <c r="G678">
        <f>TbReceitas[[#This Row],[quantidade]]*TbReceitas[[#This Row],[preco_unitario]]</f>
        <v>67655</v>
      </c>
      <c r="H678" t="str">
        <f>TEXT(TbReceitas[[#This Row],[data_transacao]], "aaaa-mm")</f>
        <v>2024-10</v>
      </c>
    </row>
    <row r="679" spans="1:8">
      <c r="A679">
        <v>678</v>
      </c>
      <c r="B679" s="1">
        <v>45799</v>
      </c>
      <c r="C679" t="s">
        <v>1225</v>
      </c>
      <c r="D679" t="s">
        <v>62</v>
      </c>
      <c r="E679">
        <v>4</v>
      </c>
      <c r="F679">
        <v>1833</v>
      </c>
      <c r="G679">
        <f>TbReceitas[[#This Row],[quantidade]]*TbReceitas[[#This Row],[preco_unitario]]</f>
        <v>7332</v>
      </c>
      <c r="H679" t="str">
        <f>TEXT(TbReceitas[[#This Row],[data_transacao]], "aaaa-mm")</f>
        <v>2025-05</v>
      </c>
    </row>
    <row r="680" spans="1:8">
      <c r="A680">
        <v>679</v>
      </c>
      <c r="B680" s="1">
        <v>45665</v>
      </c>
      <c r="C680" t="s">
        <v>1226</v>
      </c>
      <c r="D680" t="s">
        <v>51</v>
      </c>
      <c r="E680">
        <v>4</v>
      </c>
      <c r="F680">
        <v>8334</v>
      </c>
      <c r="G680">
        <f>TbReceitas[[#This Row],[quantidade]]*TbReceitas[[#This Row],[preco_unitario]]</f>
        <v>33336</v>
      </c>
      <c r="H680" t="str">
        <f>TEXT(TbReceitas[[#This Row],[data_transacao]], "aaaa-mm")</f>
        <v>2025-01</v>
      </c>
    </row>
    <row r="681" spans="1:8">
      <c r="A681">
        <v>680</v>
      </c>
      <c r="B681" s="1">
        <v>45600</v>
      </c>
      <c r="C681" t="s">
        <v>975</v>
      </c>
      <c r="D681" t="s">
        <v>684</v>
      </c>
      <c r="E681">
        <v>2</v>
      </c>
      <c r="F681">
        <v>14496</v>
      </c>
      <c r="G681">
        <f>TbReceitas[[#This Row],[quantidade]]*TbReceitas[[#This Row],[preco_unitario]]</f>
        <v>28992</v>
      </c>
      <c r="H681" t="str">
        <f>TEXT(TbReceitas[[#This Row],[data_transacao]], "aaaa-mm")</f>
        <v>2024-11</v>
      </c>
    </row>
    <row r="682" spans="1:8">
      <c r="A682">
        <v>681</v>
      </c>
      <c r="B682" s="1">
        <v>46230</v>
      </c>
      <c r="C682" t="s">
        <v>1227</v>
      </c>
      <c r="D682" t="s">
        <v>527</v>
      </c>
      <c r="E682">
        <v>5</v>
      </c>
      <c r="F682">
        <v>14693</v>
      </c>
      <c r="G682">
        <f>TbReceitas[[#This Row],[quantidade]]*TbReceitas[[#This Row],[preco_unitario]]</f>
        <v>73465</v>
      </c>
      <c r="H682" t="str">
        <f>TEXT(TbReceitas[[#This Row],[data_transacao]], "aaaa-mm")</f>
        <v>2026-07</v>
      </c>
    </row>
    <row r="683" spans="1:8">
      <c r="A683">
        <v>682</v>
      </c>
      <c r="B683" s="1">
        <v>45849</v>
      </c>
      <c r="C683" t="s">
        <v>1228</v>
      </c>
      <c r="D683" t="s">
        <v>587</v>
      </c>
      <c r="E683">
        <v>1</v>
      </c>
      <c r="F683">
        <v>2411</v>
      </c>
      <c r="G683">
        <f>TbReceitas[[#This Row],[quantidade]]*TbReceitas[[#This Row],[preco_unitario]]</f>
        <v>2411</v>
      </c>
      <c r="H683" t="str">
        <f>TEXT(TbReceitas[[#This Row],[data_transacao]], "aaaa-mm")</f>
        <v>2025-07</v>
      </c>
    </row>
    <row r="684" spans="1:8">
      <c r="A684">
        <v>683</v>
      </c>
      <c r="B684" s="1">
        <v>46077</v>
      </c>
      <c r="C684" t="s">
        <v>1139</v>
      </c>
      <c r="D684" t="s">
        <v>525</v>
      </c>
      <c r="E684">
        <v>4</v>
      </c>
      <c r="F684">
        <v>5995</v>
      </c>
      <c r="G684">
        <f>TbReceitas[[#This Row],[quantidade]]*TbReceitas[[#This Row],[preco_unitario]]</f>
        <v>23980</v>
      </c>
      <c r="H684" t="str">
        <f>TEXT(TbReceitas[[#This Row],[data_transacao]], "aaaa-mm")</f>
        <v>2026-02</v>
      </c>
    </row>
    <row r="685" spans="1:8">
      <c r="A685">
        <v>684</v>
      </c>
      <c r="B685" s="1">
        <v>45626</v>
      </c>
      <c r="C685" t="s">
        <v>861</v>
      </c>
      <c r="D685" t="s">
        <v>89</v>
      </c>
      <c r="E685">
        <v>4</v>
      </c>
      <c r="F685">
        <v>2978</v>
      </c>
      <c r="G685">
        <f>TbReceitas[[#This Row],[quantidade]]*TbReceitas[[#This Row],[preco_unitario]]</f>
        <v>11912</v>
      </c>
      <c r="H685" t="str">
        <f>TEXT(TbReceitas[[#This Row],[data_transacao]], "aaaa-mm")</f>
        <v>2024-11</v>
      </c>
    </row>
    <row r="686" spans="1:8">
      <c r="A686">
        <v>685</v>
      </c>
      <c r="B686" s="1">
        <v>45595</v>
      </c>
      <c r="C686" t="s">
        <v>753</v>
      </c>
      <c r="D686" t="s">
        <v>700</v>
      </c>
      <c r="E686">
        <v>1</v>
      </c>
      <c r="F686">
        <v>17759</v>
      </c>
      <c r="G686">
        <f>TbReceitas[[#This Row],[quantidade]]*TbReceitas[[#This Row],[preco_unitario]]</f>
        <v>17759</v>
      </c>
      <c r="H686" t="str">
        <f>TEXT(TbReceitas[[#This Row],[data_transacao]], "aaaa-mm")</f>
        <v>2024-10</v>
      </c>
    </row>
    <row r="687" spans="1:8">
      <c r="A687">
        <v>686</v>
      </c>
      <c r="B687" s="1">
        <v>45712</v>
      </c>
      <c r="C687" t="s">
        <v>1223</v>
      </c>
      <c r="D687" t="s">
        <v>535</v>
      </c>
      <c r="E687">
        <v>2</v>
      </c>
      <c r="F687">
        <v>24784</v>
      </c>
      <c r="G687">
        <f>TbReceitas[[#This Row],[quantidade]]*TbReceitas[[#This Row],[preco_unitario]]</f>
        <v>49568</v>
      </c>
      <c r="H687" t="str">
        <f>TEXT(TbReceitas[[#This Row],[data_transacao]], "aaaa-mm")</f>
        <v>2025-02</v>
      </c>
    </row>
    <row r="688" spans="1:8">
      <c r="A688">
        <v>687</v>
      </c>
      <c r="B688" s="1">
        <v>45670</v>
      </c>
      <c r="C688" t="s">
        <v>944</v>
      </c>
      <c r="D688" t="s">
        <v>259</v>
      </c>
      <c r="E688">
        <v>4</v>
      </c>
      <c r="F688">
        <v>2751</v>
      </c>
      <c r="G688">
        <f>TbReceitas[[#This Row],[quantidade]]*TbReceitas[[#This Row],[preco_unitario]]</f>
        <v>11004</v>
      </c>
      <c r="H688" t="str">
        <f>TEXT(TbReceitas[[#This Row],[data_transacao]], "aaaa-mm")</f>
        <v>2025-01</v>
      </c>
    </row>
    <row r="689" spans="1:8">
      <c r="A689">
        <v>688</v>
      </c>
      <c r="B689" s="1">
        <v>45790</v>
      </c>
      <c r="C689" t="s">
        <v>818</v>
      </c>
      <c r="D689" t="s">
        <v>43</v>
      </c>
      <c r="E689">
        <v>1</v>
      </c>
      <c r="F689">
        <v>24604</v>
      </c>
      <c r="G689">
        <f>TbReceitas[[#This Row],[quantidade]]*TbReceitas[[#This Row],[preco_unitario]]</f>
        <v>24604</v>
      </c>
      <c r="H689" t="str">
        <f>TEXT(TbReceitas[[#This Row],[data_transacao]], "aaaa-mm")</f>
        <v>2025-05</v>
      </c>
    </row>
    <row r="690" spans="1:8">
      <c r="A690">
        <v>689</v>
      </c>
      <c r="B690" s="1">
        <v>46038</v>
      </c>
      <c r="C690" t="s">
        <v>1229</v>
      </c>
      <c r="D690" t="s">
        <v>591</v>
      </c>
      <c r="E690">
        <v>5</v>
      </c>
      <c r="F690">
        <v>1718</v>
      </c>
      <c r="G690">
        <f>TbReceitas[[#This Row],[quantidade]]*TbReceitas[[#This Row],[preco_unitario]]</f>
        <v>8590</v>
      </c>
      <c r="H690" t="str">
        <f>TEXT(TbReceitas[[#This Row],[data_transacao]], "aaaa-mm")</f>
        <v>2026-01</v>
      </c>
    </row>
    <row r="691" spans="1:8">
      <c r="A691">
        <v>690</v>
      </c>
      <c r="B691" s="1">
        <v>45990</v>
      </c>
      <c r="C691" t="s">
        <v>1230</v>
      </c>
      <c r="D691" t="s">
        <v>211</v>
      </c>
      <c r="E691">
        <v>4</v>
      </c>
      <c r="F691">
        <v>20547</v>
      </c>
      <c r="G691">
        <f>TbReceitas[[#This Row],[quantidade]]*TbReceitas[[#This Row],[preco_unitario]]</f>
        <v>82188</v>
      </c>
      <c r="H691" t="str">
        <f>TEXT(TbReceitas[[#This Row],[data_transacao]], "aaaa-mm")</f>
        <v>2025-11</v>
      </c>
    </row>
    <row r="692" spans="1:8">
      <c r="A692">
        <v>691</v>
      </c>
      <c r="B692" s="1">
        <v>46218</v>
      </c>
      <c r="C692" t="s">
        <v>1231</v>
      </c>
      <c r="D692" t="s">
        <v>258</v>
      </c>
      <c r="E692">
        <v>3</v>
      </c>
      <c r="F692">
        <v>19424</v>
      </c>
      <c r="G692">
        <f>TbReceitas[[#This Row],[quantidade]]*TbReceitas[[#This Row],[preco_unitario]]</f>
        <v>58272</v>
      </c>
      <c r="H692" t="str">
        <f>TEXT(TbReceitas[[#This Row],[data_transacao]], "aaaa-mm")</f>
        <v>2026-07</v>
      </c>
    </row>
    <row r="693" spans="1:8">
      <c r="A693">
        <v>692</v>
      </c>
      <c r="B693" s="1">
        <v>46211</v>
      </c>
      <c r="C693" t="s">
        <v>1232</v>
      </c>
      <c r="D693" t="s">
        <v>306</v>
      </c>
      <c r="E693">
        <v>4</v>
      </c>
      <c r="F693">
        <v>5885</v>
      </c>
      <c r="G693">
        <f>TbReceitas[[#This Row],[quantidade]]*TbReceitas[[#This Row],[preco_unitario]]</f>
        <v>23540</v>
      </c>
      <c r="H693" t="str">
        <f>TEXT(TbReceitas[[#This Row],[data_transacao]], "aaaa-mm")</f>
        <v>2026-07</v>
      </c>
    </row>
    <row r="694" spans="1:8">
      <c r="A694">
        <v>693</v>
      </c>
      <c r="B694" s="1">
        <v>46050</v>
      </c>
      <c r="C694" t="s">
        <v>1233</v>
      </c>
      <c r="D694" t="s">
        <v>678</v>
      </c>
      <c r="E694">
        <v>3</v>
      </c>
      <c r="F694">
        <v>15865</v>
      </c>
      <c r="G694">
        <f>TbReceitas[[#This Row],[quantidade]]*TbReceitas[[#This Row],[preco_unitario]]</f>
        <v>47595</v>
      </c>
      <c r="H694" t="str">
        <f>TEXT(TbReceitas[[#This Row],[data_transacao]], "aaaa-mm")</f>
        <v>2026-01</v>
      </c>
    </row>
    <row r="695" spans="1:8">
      <c r="A695">
        <v>694</v>
      </c>
      <c r="B695" s="1">
        <v>45997</v>
      </c>
      <c r="C695" t="s">
        <v>1048</v>
      </c>
      <c r="D695" t="s">
        <v>507</v>
      </c>
      <c r="E695">
        <v>2</v>
      </c>
      <c r="F695">
        <v>7085</v>
      </c>
      <c r="G695">
        <f>TbReceitas[[#This Row],[quantidade]]*TbReceitas[[#This Row],[preco_unitario]]</f>
        <v>14170</v>
      </c>
      <c r="H695" t="str">
        <f>TEXT(TbReceitas[[#This Row],[data_transacao]], "aaaa-mm")</f>
        <v>2025-12</v>
      </c>
    </row>
    <row r="696" spans="1:8">
      <c r="A696">
        <v>695</v>
      </c>
      <c r="B696" s="1">
        <v>45673</v>
      </c>
      <c r="C696" t="s">
        <v>1141</v>
      </c>
      <c r="D696" t="s">
        <v>622</v>
      </c>
      <c r="E696">
        <v>4</v>
      </c>
      <c r="F696">
        <v>15428</v>
      </c>
      <c r="G696">
        <f>TbReceitas[[#This Row],[quantidade]]*TbReceitas[[#This Row],[preco_unitario]]</f>
        <v>61712</v>
      </c>
      <c r="H696" t="str">
        <f>TEXT(TbReceitas[[#This Row],[data_transacao]], "aaaa-mm")</f>
        <v>2025-01</v>
      </c>
    </row>
    <row r="697" spans="1:8">
      <c r="A697">
        <v>696</v>
      </c>
      <c r="B697" s="1">
        <v>46021</v>
      </c>
      <c r="C697" t="s">
        <v>857</v>
      </c>
      <c r="D697" t="s">
        <v>697</v>
      </c>
      <c r="E697">
        <v>2</v>
      </c>
      <c r="F697">
        <v>24199</v>
      </c>
      <c r="G697">
        <f>TbReceitas[[#This Row],[quantidade]]*TbReceitas[[#This Row],[preco_unitario]]</f>
        <v>48398</v>
      </c>
      <c r="H697" t="str">
        <f>TEXT(TbReceitas[[#This Row],[data_transacao]], "aaaa-mm")</f>
        <v>2025-12</v>
      </c>
    </row>
    <row r="698" spans="1:8">
      <c r="A698">
        <v>697</v>
      </c>
      <c r="B698" s="1">
        <v>45770</v>
      </c>
      <c r="C698" t="s">
        <v>986</v>
      </c>
      <c r="D698" t="s">
        <v>688</v>
      </c>
      <c r="E698">
        <v>1</v>
      </c>
      <c r="F698">
        <v>24347</v>
      </c>
      <c r="G698">
        <f>TbReceitas[[#This Row],[quantidade]]*TbReceitas[[#This Row],[preco_unitario]]</f>
        <v>24347</v>
      </c>
      <c r="H698" t="str">
        <f>TEXT(TbReceitas[[#This Row],[data_transacao]], "aaaa-mm")</f>
        <v>2025-04</v>
      </c>
    </row>
    <row r="699" spans="1:8">
      <c r="A699">
        <v>698</v>
      </c>
      <c r="B699" s="1">
        <v>45684</v>
      </c>
      <c r="C699" t="s">
        <v>1234</v>
      </c>
      <c r="D699" t="s">
        <v>596</v>
      </c>
      <c r="E699">
        <v>2</v>
      </c>
      <c r="F699">
        <v>11069</v>
      </c>
      <c r="G699">
        <f>TbReceitas[[#This Row],[quantidade]]*TbReceitas[[#This Row],[preco_unitario]]</f>
        <v>22138</v>
      </c>
      <c r="H699" t="str">
        <f>TEXT(TbReceitas[[#This Row],[data_transacao]], "aaaa-mm")</f>
        <v>2025-01</v>
      </c>
    </row>
    <row r="700" spans="1:8">
      <c r="A700">
        <v>699</v>
      </c>
      <c r="B700" s="1">
        <v>46153</v>
      </c>
      <c r="C700" t="s">
        <v>746</v>
      </c>
      <c r="D700" t="s">
        <v>239</v>
      </c>
      <c r="E700">
        <v>5</v>
      </c>
      <c r="F700">
        <v>3369</v>
      </c>
      <c r="G700">
        <f>TbReceitas[[#This Row],[quantidade]]*TbReceitas[[#This Row],[preco_unitario]]</f>
        <v>16845</v>
      </c>
      <c r="H700" t="str">
        <f>TEXT(TbReceitas[[#This Row],[data_transacao]], "aaaa-mm")</f>
        <v>2026-05</v>
      </c>
    </row>
    <row r="701" spans="1:8">
      <c r="A701">
        <v>700</v>
      </c>
      <c r="B701" s="1">
        <v>45908</v>
      </c>
      <c r="C701" t="s">
        <v>1235</v>
      </c>
      <c r="D701" t="s">
        <v>284</v>
      </c>
      <c r="E701">
        <v>3</v>
      </c>
      <c r="F701">
        <v>16365</v>
      </c>
      <c r="G701">
        <f>TbReceitas[[#This Row],[quantidade]]*TbReceitas[[#This Row],[preco_unitario]]</f>
        <v>49095</v>
      </c>
      <c r="H701" t="str">
        <f>TEXT(TbReceitas[[#This Row],[data_transacao]], "aaaa-mm")</f>
        <v>2025-09</v>
      </c>
    </row>
    <row r="702" spans="1:8">
      <c r="A702">
        <v>701</v>
      </c>
      <c r="B702" s="1">
        <v>45567</v>
      </c>
      <c r="C702" t="s">
        <v>792</v>
      </c>
      <c r="D702" t="s">
        <v>491</v>
      </c>
      <c r="E702">
        <v>1</v>
      </c>
      <c r="F702">
        <v>16893</v>
      </c>
      <c r="G702">
        <f>TbReceitas[[#This Row],[quantidade]]*TbReceitas[[#This Row],[preco_unitario]]</f>
        <v>16893</v>
      </c>
      <c r="H702" t="str">
        <f>TEXT(TbReceitas[[#This Row],[data_transacao]], "aaaa-mm")</f>
        <v>2024-10</v>
      </c>
    </row>
    <row r="703" spans="1:8">
      <c r="A703">
        <v>702</v>
      </c>
      <c r="B703" s="1">
        <v>46268</v>
      </c>
      <c r="C703" t="s">
        <v>1175</v>
      </c>
      <c r="D703" t="s">
        <v>256</v>
      </c>
      <c r="E703">
        <v>1</v>
      </c>
      <c r="F703">
        <v>9187</v>
      </c>
      <c r="G703">
        <f>TbReceitas[[#This Row],[quantidade]]*TbReceitas[[#This Row],[preco_unitario]]</f>
        <v>9187</v>
      </c>
      <c r="H703" t="str">
        <f>TEXT(TbReceitas[[#This Row],[data_transacao]], "aaaa-mm")</f>
        <v>2026-09</v>
      </c>
    </row>
    <row r="704" spans="1:8">
      <c r="A704">
        <v>703</v>
      </c>
      <c r="B704" s="1">
        <v>45890</v>
      </c>
      <c r="C704" t="s">
        <v>1236</v>
      </c>
      <c r="D704" t="s">
        <v>32</v>
      </c>
      <c r="E704">
        <v>1</v>
      </c>
      <c r="F704">
        <v>3098</v>
      </c>
      <c r="G704">
        <f>TbReceitas[[#This Row],[quantidade]]*TbReceitas[[#This Row],[preco_unitario]]</f>
        <v>3098</v>
      </c>
      <c r="H704" t="str">
        <f>TEXT(TbReceitas[[#This Row],[data_transacao]], "aaaa-mm")</f>
        <v>2025-08</v>
      </c>
    </row>
    <row r="705" spans="1:8">
      <c r="A705">
        <v>704</v>
      </c>
      <c r="B705" s="1">
        <v>45809</v>
      </c>
      <c r="C705" t="s">
        <v>1092</v>
      </c>
      <c r="D705" t="s">
        <v>346</v>
      </c>
      <c r="E705">
        <v>1</v>
      </c>
      <c r="F705">
        <v>9547</v>
      </c>
      <c r="G705">
        <f>TbReceitas[[#This Row],[quantidade]]*TbReceitas[[#This Row],[preco_unitario]]</f>
        <v>9547</v>
      </c>
      <c r="H705" t="str">
        <f>TEXT(TbReceitas[[#This Row],[data_transacao]], "aaaa-mm")</f>
        <v>2025-06</v>
      </c>
    </row>
    <row r="706" spans="1:8">
      <c r="A706">
        <v>705</v>
      </c>
      <c r="B706" s="1">
        <v>45710</v>
      </c>
      <c r="C706" t="s">
        <v>1175</v>
      </c>
      <c r="D706" t="s">
        <v>298</v>
      </c>
      <c r="E706">
        <v>4</v>
      </c>
      <c r="F706">
        <v>9609</v>
      </c>
      <c r="G706">
        <f>TbReceitas[[#This Row],[quantidade]]*TbReceitas[[#This Row],[preco_unitario]]</f>
        <v>38436</v>
      </c>
      <c r="H706" t="str">
        <f>TEXT(TbReceitas[[#This Row],[data_transacao]], "aaaa-mm")</f>
        <v>2025-02</v>
      </c>
    </row>
    <row r="707" spans="1:8">
      <c r="A707">
        <v>706</v>
      </c>
      <c r="B707" s="1">
        <v>45903</v>
      </c>
      <c r="C707" t="s">
        <v>1237</v>
      </c>
      <c r="D707" t="s">
        <v>407</v>
      </c>
      <c r="E707">
        <v>5</v>
      </c>
      <c r="F707">
        <v>6567</v>
      </c>
      <c r="G707">
        <f>TbReceitas[[#This Row],[quantidade]]*TbReceitas[[#This Row],[preco_unitario]]</f>
        <v>32835</v>
      </c>
      <c r="H707" t="str">
        <f>TEXT(TbReceitas[[#This Row],[data_transacao]], "aaaa-mm")</f>
        <v>2025-09</v>
      </c>
    </row>
    <row r="708" spans="1:8">
      <c r="A708">
        <v>707</v>
      </c>
      <c r="B708" s="1">
        <v>45884</v>
      </c>
      <c r="C708" t="s">
        <v>1238</v>
      </c>
      <c r="D708" t="s">
        <v>238</v>
      </c>
      <c r="E708">
        <v>1</v>
      </c>
      <c r="F708">
        <v>17869</v>
      </c>
      <c r="G708">
        <f>TbReceitas[[#This Row],[quantidade]]*TbReceitas[[#This Row],[preco_unitario]]</f>
        <v>17869</v>
      </c>
      <c r="H708" t="str">
        <f>TEXT(TbReceitas[[#This Row],[data_transacao]], "aaaa-mm")</f>
        <v>2025-08</v>
      </c>
    </row>
    <row r="709" spans="1:8">
      <c r="A709">
        <v>708</v>
      </c>
      <c r="B709" s="1">
        <v>45619</v>
      </c>
      <c r="C709" t="s">
        <v>1239</v>
      </c>
      <c r="D709" t="s">
        <v>194</v>
      </c>
      <c r="E709">
        <v>1</v>
      </c>
      <c r="F709">
        <v>20829</v>
      </c>
      <c r="G709">
        <f>TbReceitas[[#This Row],[quantidade]]*TbReceitas[[#This Row],[preco_unitario]]</f>
        <v>20829</v>
      </c>
      <c r="H709" t="str">
        <f>TEXT(TbReceitas[[#This Row],[data_transacao]], "aaaa-mm")</f>
        <v>2024-11</v>
      </c>
    </row>
    <row r="710" spans="1:8">
      <c r="A710">
        <v>709</v>
      </c>
      <c r="B710" s="1">
        <v>46231</v>
      </c>
      <c r="C710" t="s">
        <v>1240</v>
      </c>
      <c r="D710" t="s">
        <v>666</v>
      </c>
      <c r="E710">
        <v>3</v>
      </c>
      <c r="F710">
        <v>17061</v>
      </c>
      <c r="G710">
        <f>TbReceitas[[#This Row],[quantidade]]*TbReceitas[[#This Row],[preco_unitario]]</f>
        <v>51183</v>
      </c>
      <c r="H710" t="str">
        <f>TEXT(TbReceitas[[#This Row],[data_transacao]], "aaaa-mm")</f>
        <v>2026-07</v>
      </c>
    </row>
    <row r="711" spans="1:8">
      <c r="A711">
        <v>710</v>
      </c>
      <c r="B711" s="1">
        <v>45596</v>
      </c>
      <c r="C711" t="s">
        <v>820</v>
      </c>
      <c r="D711" t="s">
        <v>318</v>
      </c>
      <c r="E711">
        <v>2</v>
      </c>
      <c r="F711">
        <v>17558</v>
      </c>
      <c r="G711">
        <f>TbReceitas[[#This Row],[quantidade]]*TbReceitas[[#This Row],[preco_unitario]]</f>
        <v>35116</v>
      </c>
      <c r="H711" t="str">
        <f>TEXT(TbReceitas[[#This Row],[data_transacao]], "aaaa-mm")</f>
        <v>2024-10</v>
      </c>
    </row>
    <row r="712" spans="1:8">
      <c r="A712">
        <v>711</v>
      </c>
      <c r="B712" s="1">
        <v>45612</v>
      </c>
      <c r="C712" t="s">
        <v>1241</v>
      </c>
      <c r="D712" t="s">
        <v>224</v>
      </c>
      <c r="E712">
        <v>4</v>
      </c>
      <c r="F712">
        <v>2181</v>
      </c>
      <c r="G712">
        <f>TbReceitas[[#This Row],[quantidade]]*TbReceitas[[#This Row],[preco_unitario]]</f>
        <v>8724</v>
      </c>
      <c r="H712" t="str">
        <f>TEXT(TbReceitas[[#This Row],[data_transacao]], "aaaa-mm")</f>
        <v>2024-11</v>
      </c>
    </row>
    <row r="713" spans="1:8">
      <c r="A713">
        <v>712</v>
      </c>
      <c r="B713" s="1">
        <v>45995</v>
      </c>
      <c r="C713" t="s">
        <v>1242</v>
      </c>
      <c r="D713" t="s">
        <v>211</v>
      </c>
      <c r="E713">
        <v>1</v>
      </c>
      <c r="F713">
        <v>20547</v>
      </c>
      <c r="G713">
        <f>TbReceitas[[#This Row],[quantidade]]*TbReceitas[[#This Row],[preco_unitario]]</f>
        <v>20547</v>
      </c>
      <c r="H713" t="str">
        <f>TEXT(TbReceitas[[#This Row],[data_transacao]], "aaaa-mm")</f>
        <v>2025-12</v>
      </c>
    </row>
    <row r="714" spans="1:8">
      <c r="A714">
        <v>713</v>
      </c>
      <c r="B714" s="1">
        <v>46176</v>
      </c>
      <c r="C714" t="s">
        <v>1166</v>
      </c>
      <c r="D714" t="s">
        <v>654</v>
      </c>
      <c r="E714">
        <v>4</v>
      </c>
      <c r="F714">
        <v>10545</v>
      </c>
      <c r="G714">
        <f>TbReceitas[[#This Row],[quantidade]]*TbReceitas[[#This Row],[preco_unitario]]</f>
        <v>42180</v>
      </c>
      <c r="H714" t="str">
        <f>TEXT(TbReceitas[[#This Row],[data_transacao]], "aaaa-mm")</f>
        <v>2026-06</v>
      </c>
    </row>
    <row r="715" spans="1:8">
      <c r="A715">
        <v>714</v>
      </c>
      <c r="B715" s="1">
        <v>45928</v>
      </c>
      <c r="C715" t="s">
        <v>1243</v>
      </c>
      <c r="D715" t="s">
        <v>20</v>
      </c>
      <c r="E715">
        <v>1</v>
      </c>
      <c r="F715">
        <v>5319</v>
      </c>
      <c r="G715">
        <f>TbReceitas[[#This Row],[quantidade]]*TbReceitas[[#This Row],[preco_unitario]]</f>
        <v>5319</v>
      </c>
      <c r="H715" t="str">
        <f>TEXT(TbReceitas[[#This Row],[data_transacao]], "aaaa-mm")</f>
        <v>2025-09</v>
      </c>
    </row>
    <row r="716" spans="1:8">
      <c r="A716">
        <v>715</v>
      </c>
      <c r="B716" s="1">
        <v>46019</v>
      </c>
      <c r="C716" t="s">
        <v>1244</v>
      </c>
      <c r="D716" t="s">
        <v>108</v>
      </c>
      <c r="E716">
        <v>1</v>
      </c>
      <c r="F716">
        <v>6891</v>
      </c>
      <c r="G716">
        <f>TbReceitas[[#This Row],[quantidade]]*TbReceitas[[#This Row],[preco_unitario]]</f>
        <v>6891</v>
      </c>
      <c r="H716" t="str">
        <f>TEXT(TbReceitas[[#This Row],[data_transacao]], "aaaa-mm")</f>
        <v>2025-12</v>
      </c>
    </row>
    <row r="717" spans="1:8">
      <c r="A717">
        <v>716</v>
      </c>
      <c r="B717" s="1">
        <v>45766</v>
      </c>
      <c r="C717" t="s">
        <v>1083</v>
      </c>
      <c r="D717" t="s">
        <v>454</v>
      </c>
      <c r="E717">
        <v>3</v>
      </c>
      <c r="F717">
        <v>4692</v>
      </c>
      <c r="G717">
        <f>TbReceitas[[#This Row],[quantidade]]*TbReceitas[[#This Row],[preco_unitario]]</f>
        <v>14076</v>
      </c>
      <c r="H717" t="str">
        <f>TEXT(TbReceitas[[#This Row],[data_transacao]], "aaaa-mm")</f>
        <v>2025-04</v>
      </c>
    </row>
    <row r="718" spans="1:8">
      <c r="A718">
        <v>717</v>
      </c>
      <c r="B718" s="1">
        <v>45708</v>
      </c>
      <c r="C718" t="s">
        <v>1245</v>
      </c>
      <c r="D718" t="s">
        <v>424</v>
      </c>
      <c r="E718">
        <v>1</v>
      </c>
      <c r="F718">
        <v>7332</v>
      </c>
      <c r="G718">
        <f>TbReceitas[[#This Row],[quantidade]]*TbReceitas[[#This Row],[preco_unitario]]</f>
        <v>7332</v>
      </c>
      <c r="H718" t="str">
        <f>TEXT(TbReceitas[[#This Row],[data_transacao]], "aaaa-mm")</f>
        <v>2025-02</v>
      </c>
    </row>
    <row r="719" spans="1:8">
      <c r="A719">
        <v>718</v>
      </c>
      <c r="B719" s="1">
        <v>45896</v>
      </c>
      <c r="C719" t="s">
        <v>890</v>
      </c>
      <c r="D719" t="s">
        <v>610</v>
      </c>
      <c r="E719">
        <v>4</v>
      </c>
      <c r="F719">
        <v>2549</v>
      </c>
      <c r="G719">
        <f>TbReceitas[[#This Row],[quantidade]]*TbReceitas[[#This Row],[preco_unitario]]</f>
        <v>10196</v>
      </c>
      <c r="H719" t="str">
        <f>TEXT(TbReceitas[[#This Row],[data_transacao]], "aaaa-mm")</f>
        <v>2025-08</v>
      </c>
    </row>
    <row r="720" spans="1:8">
      <c r="A720">
        <v>719</v>
      </c>
      <c r="B720" s="1">
        <v>46214</v>
      </c>
      <c r="C720" t="s">
        <v>1246</v>
      </c>
      <c r="D720" t="s">
        <v>60</v>
      </c>
      <c r="E720">
        <v>3</v>
      </c>
      <c r="F720">
        <v>11989</v>
      </c>
      <c r="G720">
        <f>TbReceitas[[#This Row],[quantidade]]*TbReceitas[[#This Row],[preco_unitario]]</f>
        <v>35967</v>
      </c>
      <c r="H720" t="str">
        <f>TEXT(TbReceitas[[#This Row],[data_transacao]], "aaaa-mm")</f>
        <v>2026-07</v>
      </c>
    </row>
    <row r="721" spans="1:8">
      <c r="A721">
        <v>720</v>
      </c>
      <c r="B721" s="1">
        <v>46139</v>
      </c>
      <c r="C721" t="s">
        <v>712</v>
      </c>
      <c r="D721" t="s">
        <v>295</v>
      </c>
      <c r="E721">
        <v>1</v>
      </c>
      <c r="F721">
        <v>15397</v>
      </c>
      <c r="G721">
        <f>TbReceitas[[#This Row],[quantidade]]*TbReceitas[[#This Row],[preco_unitario]]</f>
        <v>15397</v>
      </c>
      <c r="H721" t="str">
        <f>TEXT(TbReceitas[[#This Row],[data_transacao]], "aaaa-mm")</f>
        <v>2026-04</v>
      </c>
    </row>
    <row r="722" spans="1:8">
      <c r="A722">
        <v>721</v>
      </c>
      <c r="B722" s="1">
        <v>46131</v>
      </c>
      <c r="C722" t="s">
        <v>1247</v>
      </c>
      <c r="D722" t="s">
        <v>256</v>
      </c>
      <c r="E722">
        <v>1</v>
      </c>
      <c r="F722">
        <v>9187</v>
      </c>
      <c r="G722">
        <f>TbReceitas[[#This Row],[quantidade]]*TbReceitas[[#This Row],[preco_unitario]]</f>
        <v>9187</v>
      </c>
      <c r="H722" t="str">
        <f>TEXT(TbReceitas[[#This Row],[data_transacao]], "aaaa-mm")</f>
        <v>2026-04</v>
      </c>
    </row>
    <row r="723" spans="1:8">
      <c r="A723">
        <v>722</v>
      </c>
      <c r="B723" s="1">
        <v>45830</v>
      </c>
      <c r="C723" t="s">
        <v>1248</v>
      </c>
      <c r="D723" t="s">
        <v>518</v>
      </c>
      <c r="E723">
        <v>1</v>
      </c>
      <c r="F723">
        <v>17505</v>
      </c>
      <c r="G723">
        <f>TbReceitas[[#This Row],[quantidade]]*TbReceitas[[#This Row],[preco_unitario]]</f>
        <v>17505</v>
      </c>
      <c r="H723" t="str">
        <f>TEXT(TbReceitas[[#This Row],[data_transacao]], "aaaa-mm")</f>
        <v>2025-06</v>
      </c>
    </row>
    <row r="724" spans="1:8">
      <c r="A724">
        <v>723</v>
      </c>
      <c r="B724" s="1">
        <v>45678</v>
      </c>
      <c r="C724" t="s">
        <v>1249</v>
      </c>
      <c r="D724" t="s">
        <v>688</v>
      </c>
      <c r="E724">
        <v>2</v>
      </c>
      <c r="F724">
        <v>24347</v>
      </c>
      <c r="G724">
        <f>TbReceitas[[#This Row],[quantidade]]*TbReceitas[[#This Row],[preco_unitario]]</f>
        <v>48694</v>
      </c>
      <c r="H724" t="str">
        <f>TEXT(TbReceitas[[#This Row],[data_transacao]], "aaaa-mm")</f>
        <v>2025-01</v>
      </c>
    </row>
    <row r="725" spans="1:8">
      <c r="A725">
        <v>724</v>
      </c>
      <c r="B725" s="1">
        <v>45913</v>
      </c>
      <c r="C725" t="s">
        <v>1250</v>
      </c>
      <c r="D725" t="s">
        <v>327</v>
      </c>
      <c r="E725">
        <v>2</v>
      </c>
      <c r="F725">
        <v>23125</v>
      </c>
      <c r="G725">
        <f>TbReceitas[[#This Row],[quantidade]]*TbReceitas[[#This Row],[preco_unitario]]</f>
        <v>46250</v>
      </c>
      <c r="H725" t="str">
        <f>TEXT(TbReceitas[[#This Row],[data_transacao]], "aaaa-mm")</f>
        <v>2025-09</v>
      </c>
    </row>
    <row r="726" spans="1:8">
      <c r="A726">
        <v>725</v>
      </c>
      <c r="B726" s="1">
        <v>45668</v>
      </c>
      <c r="C726" t="s">
        <v>1251</v>
      </c>
      <c r="D726" t="s">
        <v>537</v>
      </c>
      <c r="E726">
        <v>3</v>
      </c>
      <c r="F726">
        <v>1116</v>
      </c>
      <c r="G726">
        <f>TbReceitas[[#This Row],[quantidade]]*TbReceitas[[#This Row],[preco_unitario]]</f>
        <v>3348</v>
      </c>
      <c r="H726" t="str">
        <f>TEXT(TbReceitas[[#This Row],[data_transacao]], "aaaa-mm")</f>
        <v>2025-01</v>
      </c>
    </row>
    <row r="727" spans="1:8">
      <c r="A727">
        <v>726</v>
      </c>
      <c r="B727" s="1">
        <v>45578</v>
      </c>
      <c r="C727" t="s">
        <v>1014</v>
      </c>
      <c r="D727" t="s">
        <v>546</v>
      </c>
      <c r="E727">
        <v>3</v>
      </c>
      <c r="F727">
        <v>21187</v>
      </c>
      <c r="G727">
        <f>TbReceitas[[#This Row],[quantidade]]*TbReceitas[[#This Row],[preco_unitario]]</f>
        <v>63561</v>
      </c>
      <c r="H727" t="str">
        <f>TEXT(TbReceitas[[#This Row],[data_transacao]], "aaaa-mm")</f>
        <v>2024-10</v>
      </c>
    </row>
    <row r="728" spans="1:8">
      <c r="A728">
        <v>727</v>
      </c>
      <c r="B728" s="1">
        <v>45934</v>
      </c>
      <c r="C728" t="s">
        <v>839</v>
      </c>
      <c r="D728" t="s">
        <v>14</v>
      </c>
      <c r="E728">
        <v>3</v>
      </c>
      <c r="F728">
        <v>11529</v>
      </c>
      <c r="G728">
        <f>TbReceitas[[#This Row],[quantidade]]*TbReceitas[[#This Row],[preco_unitario]]</f>
        <v>34587</v>
      </c>
      <c r="H728" t="str">
        <f>TEXT(TbReceitas[[#This Row],[data_transacao]], "aaaa-mm")</f>
        <v>2025-10</v>
      </c>
    </row>
    <row r="729" spans="1:8">
      <c r="A729">
        <v>728</v>
      </c>
      <c r="B729" s="1">
        <v>45906</v>
      </c>
      <c r="C729" t="s">
        <v>1252</v>
      </c>
      <c r="D729" t="s">
        <v>296</v>
      </c>
      <c r="E729">
        <v>4</v>
      </c>
      <c r="F729">
        <v>10483</v>
      </c>
      <c r="G729">
        <f>TbReceitas[[#This Row],[quantidade]]*TbReceitas[[#This Row],[preco_unitario]]</f>
        <v>41932</v>
      </c>
      <c r="H729" t="str">
        <f>TEXT(TbReceitas[[#This Row],[data_transacao]], "aaaa-mm")</f>
        <v>2025-09</v>
      </c>
    </row>
    <row r="730" spans="1:8">
      <c r="A730">
        <v>729</v>
      </c>
      <c r="B730" s="1">
        <v>46051</v>
      </c>
      <c r="C730" t="s">
        <v>1253</v>
      </c>
      <c r="D730" t="s">
        <v>459</v>
      </c>
      <c r="E730">
        <v>3</v>
      </c>
      <c r="F730">
        <v>23355</v>
      </c>
      <c r="G730">
        <f>TbReceitas[[#This Row],[quantidade]]*TbReceitas[[#This Row],[preco_unitario]]</f>
        <v>70065</v>
      </c>
      <c r="H730" t="str">
        <f>TEXT(TbReceitas[[#This Row],[data_transacao]], "aaaa-mm")</f>
        <v>2026-01</v>
      </c>
    </row>
    <row r="731" spans="1:8">
      <c r="A731">
        <v>730</v>
      </c>
      <c r="B731" s="1">
        <v>45991</v>
      </c>
      <c r="C731" t="s">
        <v>1254</v>
      </c>
      <c r="D731" t="s">
        <v>475</v>
      </c>
      <c r="E731">
        <v>2</v>
      </c>
      <c r="F731">
        <v>22017</v>
      </c>
      <c r="G731">
        <f>TbReceitas[[#This Row],[quantidade]]*TbReceitas[[#This Row],[preco_unitario]]</f>
        <v>44034</v>
      </c>
      <c r="H731" t="str">
        <f>TEXT(TbReceitas[[#This Row],[data_transacao]], "aaaa-mm")</f>
        <v>2025-11</v>
      </c>
    </row>
    <row r="732" spans="1:8">
      <c r="A732">
        <v>731</v>
      </c>
      <c r="B732" s="1">
        <v>46183</v>
      </c>
      <c r="C732" t="s">
        <v>1255</v>
      </c>
      <c r="D732" t="s">
        <v>522</v>
      </c>
      <c r="E732">
        <v>4</v>
      </c>
      <c r="F732">
        <v>14004</v>
      </c>
      <c r="G732">
        <f>TbReceitas[[#This Row],[quantidade]]*TbReceitas[[#This Row],[preco_unitario]]</f>
        <v>56016</v>
      </c>
      <c r="H732" t="str">
        <f>TEXT(TbReceitas[[#This Row],[data_transacao]], "aaaa-mm")</f>
        <v>2026-06</v>
      </c>
    </row>
    <row r="733" spans="1:8">
      <c r="A733">
        <v>732</v>
      </c>
      <c r="B733" s="1">
        <v>46228</v>
      </c>
      <c r="C733" t="s">
        <v>992</v>
      </c>
      <c r="D733" t="s">
        <v>400</v>
      </c>
      <c r="E733">
        <v>3</v>
      </c>
      <c r="F733">
        <v>1186</v>
      </c>
      <c r="G733">
        <f>TbReceitas[[#This Row],[quantidade]]*TbReceitas[[#This Row],[preco_unitario]]</f>
        <v>3558</v>
      </c>
      <c r="H733" t="str">
        <f>TEXT(TbReceitas[[#This Row],[data_transacao]], "aaaa-mm")</f>
        <v>2026-07</v>
      </c>
    </row>
    <row r="734" spans="1:8">
      <c r="A734">
        <v>733</v>
      </c>
      <c r="B734" s="1">
        <v>45583</v>
      </c>
      <c r="C734" t="s">
        <v>1256</v>
      </c>
      <c r="D734" t="s">
        <v>385</v>
      </c>
      <c r="E734">
        <v>2</v>
      </c>
      <c r="F734">
        <v>10607</v>
      </c>
      <c r="G734">
        <f>TbReceitas[[#This Row],[quantidade]]*TbReceitas[[#This Row],[preco_unitario]]</f>
        <v>21214</v>
      </c>
      <c r="H734" t="str">
        <f>TEXT(TbReceitas[[#This Row],[data_transacao]], "aaaa-mm")</f>
        <v>2024-10</v>
      </c>
    </row>
    <row r="735" spans="1:8">
      <c r="A735">
        <v>734</v>
      </c>
      <c r="B735" s="1">
        <v>45794</v>
      </c>
      <c r="C735" t="s">
        <v>880</v>
      </c>
      <c r="D735" t="s">
        <v>500</v>
      </c>
      <c r="E735">
        <v>5</v>
      </c>
      <c r="F735">
        <v>1675</v>
      </c>
      <c r="G735">
        <f>TbReceitas[[#This Row],[quantidade]]*TbReceitas[[#This Row],[preco_unitario]]</f>
        <v>8375</v>
      </c>
      <c r="H735" t="str">
        <f>TEXT(TbReceitas[[#This Row],[data_transacao]], "aaaa-mm")</f>
        <v>2025-05</v>
      </c>
    </row>
    <row r="736" spans="1:8">
      <c r="A736">
        <v>735</v>
      </c>
      <c r="B736" s="1">
        <v>45868</v>
      </c>
      <c r="C736" t="s">
        <v>1257</v>
      </c>
      <c r="D736" t="s">
        <v>309</v>
      </c>
      <c r="E736">
        <v>2</v>
      </c>
      <c r="F736">
        <v>11854</v>
      </c>
      <c r="G736">
        <f>TbReceitas[[#This Row],[quantidade]]*TbReceitas[[#This Row],[preco_unitario]]</f>
        <v>23708</v>
      </c>
      <c r="H736" t="str">
        <f>TEXT(TbReceitas[[#This Row],[data_transacao]], "aaaa-mm")</f>
        <v>2025-07</v>
      </c>
    </row>
    <row r="737" spans="1:8">
      <c r="A737">
        <v>736</v>
      </c>
      <c r="B737" s="1">
        <v>45907</v>
      </c>
      <c r="C737" t="s">
        <v>757</v>
      </c>
      <c r="D737" t="s">
        <v>335</v>
      </c>
      <c r="E737">
        <v>1</v>
      </c>
      <c r="F737">
        <v>20416</v>
      </c>
      <c r="G737">
        <f>TbReceitas[[#This Row],[quantidade]]*TbReceitas[[#This Row],[preco_unitario]]</f>
        <v>20416</v>
      </c>
      <c r="H737" t="str">
        <f>TEXT(TbReceitas[[#This Row],[data_transacao]], "aaaa-mm")</f>
        <v>2025-09</v>
      </c>
    </row>
    <row r="738" spans="1:8">
      <c r="A738">
        <v>737</v>
      </c>
      <c r="B738" s="1">
        <v>46028</v>
      </c>
      <c r="C738" t="s">
        <v>1258</v>
      </c>
      <c r="D738" t="s">
        <v>442</v>
      </c>
      <c r="E738">
        <v>2</v>
      </c>
      <c r="F738">
        <v>4426</v>
      </c>
      <c r="G738">
        <f>TbReceitas[[#This Row],[quantidade]]*TbReceitas[[#This Row],[preco_unitario]]</f>
        <v>8852</v>
      </c>
      <c r="H738" t="str">
        <f>TEXT(TbReceitas[[#This Row],[data_transacao]], "aaaa-mm")</f>
        <v>2026-01</v>
      </c>
    </row>
    <row r="739" spans="1:8">
      <c r="A739">
        <v>738</v>
      </c>
      <c r="B739" s="1">
        <v>45656</v>
      </c>
      <c r="C739" t="s">
        <v>1259</v>
      </c>
      <c r="D739" t="s">
        <v>591</v>
      </c>
      <c r="E739">
        <v>5</v>
      </c>
      <c r="F739">
        <v>1718</v>
      </c>
      <c r="G739">
        <f>TbReceitas[[#This Row],[quantidade]]*TbReceitas[[#This Row],[preco_unitario]]</f>
        <v>8590</v>
      </c>
      <c r="H739" t="str">
        <f>TEXT(TbReceitas[[#This Row],[data_transacao]], "aaaa-mm")</f>
        <v>2024-12</v>
      </c>
    </row>
    <row r="740" spans="1:8">
      <c r="A740">
        <v>739</v>
      </c>
      <c r="B740" s="1">
        <v>46082</v>
      </c>
      <c r="C740" t="s">
        <v>802</v>
      </c>
      <c r="D740" t="s">
        <v>390</v>
      </c>
      <c r="E740">
        <v>5</v>
      </c>
      <c r="F740">
        <v>9992</v>
      </c>
      <c r="G740">
        <f>TbReceitas[[#This Row],[quantidade]]*TbReceitas[[#This Row],[preco_unitario]]</f>
        <v>49960</v>
      </c>
      <c r="H740" t="str">
        <f>TEXT(TbReceitas[[#This Row],[data_transacao]], "aaaa-mm")</f>
        <v>2026-03</v>
      </c>
    </row>
    <row r="741" spans="1:8">
      <c r="A741">
        <v>740</v>
      </c>
      <c r="B741" s="1">
        <v>46046</v>
      </c>
      <c r="C741" t="s">
        <v>1260</v>
      </c>
      <c r="D741" t="s">
        <v>22</v>
      </c>
      <c r="E741">
        <v>1</v>
      </c>
      <c r="F741">
        <v>15801</v>
      </c>
      <c r="G741">
        <f>TbReceitas[[#This Row],[quantidade]]*TbReceitas[[#This Row],[preco_unitario]]</f>
        <v>15801</v>
      </c>
      <c r="H741" t="str">
        <f>TEXT(TbReceitas[[#This Row],[data_transacao]], "aaaa-mm")</f>
        <v>2026-01</v>
      </c>
    </row>
    <row r="742" spans="1:8">
      <c r="A742">
        <v>741</v>
      </c>
      <c r="B742" s="1">
        <v>46207</v>
      </c>
      <c r="C742" t="s">
        <v>1261</v>
      </c>
      <c r="D742" t="s">
        <v>402</v>
      </c>
      <c r="E742">
        <v>2</v>
      </c>
      <c r="F742">
        <v>22282</v>
      </c>
      <c r="G742">
        <f>TbReceitas[[#This Row],[quantidade]]*TbReceitas[[#This Row],[preco_unitario]]</f>
        <v>44564</v>
      </c>
      <c r="H742" t="str">
        <f>TEXT(TbReceitas[[#This Row],[data_transacao]], "aaaa-mm")</f>
        <v>2026-07</v>
      </c>
    </row>
    <row r="743" spans="1:8">
      <c r="A743">
        <v>742</v>
      </c>
      <c r="B743" s="1">
        <v>45884</v>
      </c>
      <c r="C743" t="s">
        <v>1262</v>
      </c>
      <c r="D743" t="s">
        <v>351</v>
      </c>
      <c r="E743">
        <v>2</v>
      </c>
      <c r="F743">
        <v>15536</v>
      </c>
      <c r="G743">
        <f>TbReceitas[[#This Row],[quantidade]]*TbReceitas[[#This Row],[preco_unitario]]</f>
        <v>31072</v>
      </c>
      <c r="H743" t="str">
        <f>TEXT(TbReceitas[[#This Row],[data_transacao]], "aaaa-mm")</f>
        <v>2025-08</v>
      </c>
    </row>
    <row r="744" spans="1:8">
      <c r="A744">
        <v>743</v>
      </c>
      <c r="B744" s="1">
        <v>45851</v>
      </c>
      <c r="C744" t="s">
        <v>1263</v>
      </c>
      <c r="D744" t="s">
        <v>682</v>
      </c>
      <c r="E744">
        <v>1</v>
      </c>
      <c r="F744">
        <v>23494</v>
      </c>
      <c r="G744">
        <f>TbReceitas[[#This Row],[quantidade]]*TbReceitas[[#This Row],[preco_unitario]]</f>
        <v>23494</v>
      </c>
      <c r="H744" t="str">
        <f>TEXT(TbReceitas[[#This Row],[data_transacao]], "aaaa-mm")</f>
        <v>2025-07</v>
      </c>
    </row>
    <row r="745" spans="1:8">
      <c r="A745">
        <v>744</v>
      </c>
      <c r="B745" s="1">
        <v>45559</v>
      </c>
      <c r="C745" t="s">
        <v>1264</v>
      </c>
      <c r="D745" t="s">
        <v>112</v>
      </c>
      <c r="E745">
        <v>4</v>
      </c>
      <c r="F745">
        <v>19319</v>
      </c>
      <c r="G745">
        <f>TbReceitas[[#This Row],[quantidade]]*TbReceitas[[#This Row],[preco_unitario]]</f>
        <v>77276</v>
      </c>
      <c r="H745" t="str">
        <f>TEXT(TbReceitas[[#This Row],[data_transacao]], "aaaa-mm")</f>
        <v>2024-09</v>
      </c>
    </row>
    <row r="746" spans="1:8">
      <c r="A746">
        <v>745</v>
      </c>
      <c r="B746" s="1">
        <v>45926</v>
      </c>
      <c r="C746" t="s">
        <v>1265</v>
      </c>
      <c r="D746" t="s">
        <v>40</v>
      </c>
      <c r="E746">
        <v>2</v>
      </c>
      <c r="F746">
        <v>736</v>
      </c>
      <c r="G746">
        <f>TbReceitas[[#This Row],[quantidade]]*TbReceitas[[#This Row],[preco_unitario]]</f>
        <v>1472</v>
      </c>
      <c r="H746" t="str">
        <f>TEXT(TbReceitas[[#This Row],[data_transacao]], "aaaa-mm")</f>
        <v>2025-09</v>
      </c>
    </row>
    <row r="747" spans="1:8">
      <c r="A747">
        <v>746</v>
      </c>
      <c r="B747" s="1">
        <v>45788</v>
      </c>
      <c r="C747" t="s">
        <v>1266</v>
      </c>
      <c r="D747" t="s">
        <v>472</v>
      </c>
      <c r="E747">
        <v>3</v>
      </c>
      <c r="F747">
        <v>15247</v>
      </c>
      <c r="G747">
        <f>TbReceitas[[#This Row],[quantidade]]*TbReceitas[[#This Row],[preco_unitario]]</f>
        <v>45741</v>
      </c>
      <c r="H747" t="str">
        <f>TEXT(TbReceitas[[#This Row],[data_transacao]], "aaaa-mm")</f>
        <v>2025-05</v>
      </c>
    </row>
    <row r="748" spans="1:8">
      <c r="A748">
        <v>747</v>
      </c>
      <c r="B748" s="1">
        <v>46203</v>
      </c>
      <c r="C748" t="s">
        <v>1267</v>
      </c>
      <c r="D748" t="s">
        <v>590</v>
      </c>
      <c r="E748">
        <v>1</v>
      </c>
      <c r="F748">
        <v>195</v>
      </c>
      <c r="G748">
        <f>TbReceitas[[#This Row],[quantidade]]*TbReceitas[[#This Row],[preco_unitario]]</f>
        <v>195</v>
      </c>
      <c r="H748" t="str">
        <f>TEXT(TbReceitas[[#This Row],[data_transacao]], "aaaa-mm")</f>
        <v>2026-06</v>
      </c>
    </row>
    <row r="749" spans="1:8">
      <c r="A749">
        <v>748</v>
      </c>
      <c r="B749" s="1">
        <v>46078</v>
      </c>
      <c r="C749" t="s">
        <v>1268</v>
      </c>
      <c r="D749" t="s">
        <v>668</v>
      </c>
      <c r="E749">
        <v>4</v>
      </c>
      <c r="F749">
        <v>11769</v>
      </c>
      <c r="G749">
        <f>TbReceitas[[#This Row],[quantidade]]*TbReceitas[[#This Row],[preco_unitario]]</f>
        <v>47076</v>
      </c>
      <c r="H749" t="str">
        <f>TEXT(TbReceitas[[#This Row],[data_transacao]], "aaaa-mm")</f>
        <v>2026-02</v>
      </c>
    </row>
    <row r="750" spans="1:8">
      <c r="A750">
        <v>749</v>
      </c>
      <c r="B750" s="1">
        <v>45892</v>
      </c>
      <c r="C750" t="s">
        <v>1269</v>
      </c>
      <c r="D750" t="s">
        <v>225</v>
      </c>
      <c r="E750">
        <v>4</v>
      </c>
      <c r="F750">
        <v>17354</v>
      </c>
      <c r="G750">
        <f>TbReceitas[[#This Row],[quantidade]]*TbReceitas[[#This Row],[preco_unitario]]</f>
        <v>69416</v>
      </c>
      <c r="H750" t="str">
        <f>TEXT(TbReceitas[[#This Row],[data_transacao]], "aaaa-mm")</f>
        <v>2025-08</v>
      </c>
    </row>
    <row r="751" spans="1:8">
      <c r="A751">
        <v>750</v>
      </c>
      <c r="B751" s="1">
        <v>46049</v>
      </c>
      <c r="C751" t="s">
        <v>1270</v>
      </c>
      <c r="D751" t="s">
        <v>259</v>
      </c>
      <c r="E751">
        <v>4</v>
      </c>
      <c r="F751">
        <v>2751</v>
      </c>
      <c r="G751">
        <f>TbReceitas[[#This Row],[quantidade]]*TbReceitas[[#This Row],[preco_unitario]]</f>
        <v>11004</v>
      </c>
      <c r="H751" t="str">
        <f>TEXT(TbReceitas[[#This Row],[data_transacao]], "aaaa-mm")</f>
        <v>2026-01</v>
      </c>
    </row>
    <row r="752" spans="1:8">
      <c r="A752">
        <v>751</v>
      </c>
      <c r="B752" s="1">
        <v>46080</v>
      </c>
      <c r="C752" t="s">
        <v>1271</v>
      </c>
      <c r="D752" t="s">
        <v>75</v>
      </c>
      <c r="E752">
        <v>1</v>
      </c>
      <c r="F752">
        <v>2558</v>
      </c>
      <c r="G752">
        <f>TbReceitas[[#This Row],[quantidade]]*TbReceitas[[#This Row],[preco_unitario]]</f>
        <v>2558</v>
      </c>
      <c r="H752" t="str">
        <f>TEXT(TbReceitas[[#This Row],[data_transacao]], "aaaa-mm")</f>
        <v>2026-02</v>
      </c>
    </row>
    <row r="753" spans="1:8">
      <c r="A753">
        <v>752</v>
      </c>
      <c r="B753" s="1">
        <v>46059</v>
      </c>
      <c r="C753" t="s">
        <v>1183</v>
      </c>
      <c r="D753" t="s">
        <v>233</v>
      </c>
      <c r="E753">
        <v>1</v>
      </c>
      <c r="F753">
        <v>17951</v>
      </c>
      <c r="G753">
        <f>TbReceitas[[#This Row],[quantidade]]*TbReceitas[[#This Row],[preco_unitario]]</f>
        <v>17951</v>
      </c>
      <c r="H753" t="str">
        <f>TEXT(TbReceitas[[#This Row],[data_transacao]], "aaaa-mm")</f>
        <v>2026-02</v>
      </c>
    </row>
    <row r="754" spans="1:8">
      <c r="A754">
        <v>753</v>
      </c>
      <c r="B754" s="1">
        <v>46102</v>
      </c>
      <c r="C754" t="s">
        <v>1272</v>
      </c>
      <c r="D754" t="s">
        <v>180</v>
      </c>
      <c r="E754">
        <v>3</v>
      </c>
      <c r="F754">
        <v>2024</v>
      </c>
      <c r="G754">
        <f>TbReceitas[[#This Row],[quantidade]]*TbReceitas[[#This Row],[preco_unitario]]</f>
        <v>6072</v>
      </c>
      <c r="H754" t="str">
        <f>TEXT(TbReceitas[[#This Row],[data_transacao]], "aaaa-mm")</f>
        <v>2026-03</v>
      </c>
    </row>
    <row r="755" spans="1:8">
      <c r="A755">
        <v>754</v>
      </c>
      <c r="B755" s="1">
        <v>45757</v>
      </c>
      <c r="C755" t="s">
        <v>1273</v>
      </c>
      <c r="D755" t="s">
        <v>180</v>
      </c>
      <c r="E755">
        <v>3</v>
      </c>
      <c r="F755">
        <v>2024</v>
      </c>
      <c r="G755">
        <f>TbReceitas[[#This Row],[quantidade]]*TbReceitas[[#This Row],[preco_unitario]]</f>
        <v>6072</v>
      </c>
      <c r="H755" t="str">
        <f>TEXT(TbReceitas[[#This Row],[data_transacao]], "aaaa-mm")</f>
        <v>2025-04</v>
      </c>
    </row>
    <row r="756" spans="1:8">
      <c r="A756">
        <v>755</v>
      </c>
      <c r="B756" s="1">
        <v>46069</v>
      </c>
      <c r="C756" t="s">
        <v>1274</v>
      </c>
      <c r="D756" t="s">
        <v>573</v>
      </c>
      <c r="E756">
        <v>4</v>
      </c>
      <c r="F756">
        <v>1212</v>
      </c>
      <c r="G756">
        <f>TbReceitas[[#This Row],[quantidade]]*TbReceitas[[#This Row],[preco_unitario]]</f>
        <v>4848</v>
      </c>
      <c r="H756" t="str">
        <f>TEXT(TbReceitas[[#This Row],[data_transacao]], "aaaa-mm")</f>
        <v>2026-02</v>
      </c>
    </row>
    <row r="757" spans="1:8">
      <c r="A757">
        <v>756</v>
      </c>
      <c r="B757" s="1">
        <v>46186</v>
      </c>
      <c r="C757" t="s">
        <v>1269</v>
      </c>
      <c r="D757" t="s">
        <v>184</v>
      </c>
      <c r="E757">
        <v>1</v>
      </c>
      <c r="F757">
        <v>18728</v>
      </c>
      <c r="G757">
        <f>TbReceitas[[#This Row],[quantidade]]*TbReceitas[[#This Row],[preco_unitario]]</f>
        <v>18728</v>
      </c>
      <c r="H757" t="str">
        <f>TEXT(TbReceitas[[#This Row],[data_transacao]], "aaaa-mm")</f>
        <v>2026-06</v>
      </c>
    </row>
    <row r="758" spans="1:8">
      <c r="A758">
        <v>757</v>
      </c>
      <c r="B758" s="1">
        <v>45645</v>
      </c>
      <c r="C758" t="s">
        <v>1275</v>
      </c>
      <c r="D758" t="s">
        <v>556</v>
      </c>
      <c r="E758">
        <v>4</v>
      </c>
      <c r="F758">
        <v>3854</v>
      </c>
      <c r="G758">
        <f>TbReceitas[[#This Row],[quantidade]]*TbReceitas[[#This Row],[preco_unitario]]</f>
        <v>15416</v>
      </c>
      <c r="H758" t="str">
        <f>TEXT(TbReceitas[[#This Row],[data_transacao]], "aaaa-mm")</f>
        <v>2024-12</v>
      </c>
    </row>
    <row r="759" spans="1:8">
      <c r="A759">
        <v>758</v>
      </c>
      <c r="B759" s="1">
        <v>46055</v>
      </c>
      <c r="C759" t="s">
        <v>1264</v>
      </c>
      <c r="D759" t="s">
        <v>224</v>
      </c>
      <c r="E759">
        <v>5</v>
      </c>
      <c r="F759">
        <v>2181</v>
      </c>
      <c r="G759">
        <f>TbReceitas[[#This Row],[quantidade]]*TbReceitas[[#This Row],[preco_unitario]]</f>
        <v>10905</v>
      </c>
      <c r="H759" t="str">
        <f>TEXT(TbReceitas[[#This Row],[data_transacao]], "aaaa-mm")</f>
        <v>2026-02</v>
      </c>
    </row>
    <row r="760" spans="1:8">
      <c r="A760">
        <v>759</v>
      </c>
      <c r="B760" s="1">
        <v>46216</v>
      </c>
      <c r="C760" t="s">
        <v>1276</v>
      </c>
      <c r="D760" t="s">
        <v>50</v>
      </c>
      <c r="E760">
        <v>5</v>
      </c>
      <c r="F760">
        <v>24763</v>
      </c>
      <c r="G760">
        <f>TbReceitas[[#This Row],[quantidade]]*TbReceitas[[#This Row],[preco_unitario]]</f>
        <v>123815</v>
      </c>
      <c r="H760" t="str">
        <f>TEXT(TbReceitas[[#This Row],[data_transacao]], "aaaa-mm")</f>
        <v>2026-07</v>
      </c>
    </row>
    <row r="761" spans="1:8">
      <c r="A761">
        <v>760</v>
      </c>
      <c r="B761" s="1">
        <v>45733</v>
      </c>
      <c r="C761" t="s">
        <v>1111</v>
      </c>
      <c r="D761" t="s">
        <v>136</v>
      </c>
      <c r="E761">
        <v>2</v>
      </c>
      <c r="F761">
        <v>134</v>
      </c>
      <c r="G761">
        <f>TbReceitas[[#This Row],[quantidade]]*TbReceitas[[#This Row],[preco_unitario]]</f>
        <v>268</v>
      </c>
      <c r="H761" t="str">
        <f>TEXT(TbReceitas[[#This Row],[data_transacao]], "aaaa-mm")</f>
        <v>2025-03</v>
      </c>
    </row>
    <row r="762" spans="1:8">
      <c r="A762">
        <v>761</v>
      </c>
      <c r="B762" s="1">
        <v>45680</v>
      </c>
      <c r="C762" t="s">
        <v>1277</v>
      </c>
      <c r="D762" t="s">
        <v>381</v>
      </c>
      <c r="E762">
        <v>3</v>
      </c>
      <c r="F762">
        <v>13501</v>
      </c>
      <c r="G762">
        <f>TbReceitas[[#This Row],[quantidade]]*TbReceitas[[#This Row],[preco_unitario]]</f>
        <v>40503</v>
      </c>
      <c r="H762" t="str">
        <f>TEXT(TbReceitas[[#This Row],[data_transacao]], "aaaa-mm")</f>
        <v>2025-01</v>
      </c>
    </row>
    <row r="763" spans="1:8">
      <c r="A763">
        <v>762</v>
      </c>
      <c r="B763" s="1">
        <v>45824</v>
      </c>
      <c r="C763" t="s">
        <v>996</v>
      </c>
      <c r="D763" t="s">
        <v>60</v>
      </c>
      <c r="E763">
        <v>2</v>
      </c>
      <c r="F763">
        <v>11989</v>
      </c>
      <c r="G763">
        <f>TbReceitas[[#This Row],[quantidade]]*TbReceitas[[#This Row],[preco_unitario]]</f>
        <v>23978</v>
      </c>
      <c r="H763" t="str">
        <f>TEXT(TbReceitas[[#This Row],[data_transacao]], "aaaa-mm")</f>
        <v>2025-06</v>
      </c>
    </row>
    <row r="764" spans="1:8">
      <c r="A764">
        <v>763</v>
      </c>
      <c r="B764" s="1">
        <v>45909</v>
      </c>
      <c r="C764" t="s">
        <v>1278</v>
      </c>
      <c r="D764" t="s">
        <v>639</v>
      </c>
      <c r="E764">
        <v>2</v>
      </c>
      <c r="F764">
        <v>4224</v>
      </c>
      <c r="G764">
        <f>TbReceitas[[#This Row],[quantidade]]*TbReceitas[[#This Row],[preco_unitario]]</f>
        <v>8448</v>
      </c>
      <c r="H764" t="str">
        <f>TEXT(TbReceitas[[#This Row],[data_transacao]], "aaaa-mm")</f>
        <v>2025-09</v>
      </c>
    </row>
    <row r="765" spans="1:8">
      <c r="A765">
        <v>764</v>
      </c>
      <c r="B765" s="1">
        <v>45713</v>
      </c>
      <c r="C765" t="s">
        <v>1139</v>
      </c>
      <c r="D765" t="s">
        <v>95</v>
      </c>
      <c r="E765">
        <v>5</v>
      </c>
      <c r="F765">
        <v>23586</v>
      </c>
      <c r="G765">
        <f>TbReceitas[[#This Row],[quantidade]]*TbReceitas[[#This Row],[preco_unitario]]</f>
        <v>117930</v>
      </c>
      <c r="H765" t="str">
        <f>TEXT(TbReceitas[[#This Row],[data_transacao]], "aaaa-mm")</f>
        <v>2025-02</v>
      </c>
    </row>
    <row r="766" spans="1:8">
      <c r="A766">
        <v>765</v>
      </c>
      <c r="B766" s="1">
        <v>45574</v>
      </c>
      <c r="C766" t="s">
        <v>926</v>
      </c>
      <c r="D766" t="s">
        <v>1279</v>
      </c>
      <c r="E766">
        <v>3</v>
      </c>
      <c r="F766">
        <v>11256</v>
      </c>
      <c r="G766">
        <f>TbReceitas[[#This Row],[quantidade]]*TbReceitas[[#This Row],[preco_unitario]]</f>
        <v>33768</v>
      </c>
      <c r="H766" t="str">
        <f>TEXT(TbReceitas[[#This Row],[data_transacao]], "aaaa-mm")</f>
        <v>2024-10</v>
      </c>
    </row>
    <row r="767" spans="1:8">
      <c r="A767">
        <v>766</v>
      </c>
      <c r="B767" s="1">
        <v>46113</v>
      </c>
      <c r="C767" t="s">
        <v>1280</v>
      </c>
      <c r="D767" t="s">
        <v>599</v>
      </c>
      <c r="E767">
        <v>2</v>
      </c>
      <c r="F767">
        <v>45</v>
      </c>
      <c r="G767">
        <f>TbReceitas[[#This Row],[quantidade]]*TbReceitas[[#This Row],[preco_unitario]]</f>
        <v>90</v>
      </c>
      <c r="H767" t="str">
        <f>TEXT(TbReceitas[[#This Row],[data_transacao]], "aaaa-mm")</f>
        <v>2026-04</v>
      </c>
    </row>
    <row r="768" spans="1:8">
      <c r="A768">
        <v>767</v>
      </c>
      <c r="B768" s="1">
        <v>46190</v>
      </c>
      <c r="C768" t="s">
        <v>1281</v>
      </c>
      <c r="D768" t="s">
        <v>557</v>
      </c>
      <c r="E768">
        <v>5</v>
      </c>
      <c r="F768">
        <v>5746</v>
      </c>
      <c r="G768">
        <f>TbReceitas[[#This Row],[quantidade]]*TbReceitas[[#This Row],[preco_unitario]]</f>
        <v>28730</v>
      </c>
      <c r="H768" t="str">
        <f>TEXT(TbReceitas[[#This Row],[data_transacao]], "aaaa-mm")</f>
        <v>2026-06</v>
      </c>
    </row>
    <row r="769" spans="1:8">
      <c r="A769">
        <v>768</v>
      </c>
      <c r="B769" s="1">
        <v>46065</v>
      </c>
      <c r="C769" t="s">
        <v>1282</v>
      </c>
      <c r="D769" t="s">
        <v>94</v>
      </c>
      <c r="E769">
        <v>1</v>
      </c>
      <c r="F769">
        <v>11961</v>
      </c>
      <c r="G769">
        <f>TbReceitas[[#This Row],[quantidade]]*TbReceitas[[#This Row],[preco_unitario]]</f>
        <v>11961</v>
      </c>
      <c r="H769" t="str">
        <f>TEXT(TbReceitas[[#This Row],[data_transacao]], "aaaa-mm")</f>
        <v>2026-02</v>
      </c>
    </row>
    <row r="770" spans="1:8">
      <c r="A770">
        <v>769</v>
      </c>
      <c r="B770" s="1">
        <v>45750</v>
      </c>
      <c r="C770" t="s">
        <v>1283</v>
      </c>
      <c r="D770" t="s">
        <v>216</v>
      </c>
      <c r="E770">
        <v>4</v>
      </c>
      <c r="F770">
        <v>9488</v>
      </c>
      <c r="G770">
        <f>TbReceitas[[#This Row],[quantidade]]*TbReceitas[[#This Row],[preco_unitario]]</f>
        <v>37952</v>
      </c>
      <c r="H770" t="str">
        <f>TEXT(TbReceitas[[#This Row],[data_transacao]], "aaaa-mm")</f>
        <v>2025-04</v>
      </c>
    </row>
    <row r="771" spans="1:8">
      <c r="A771">
        <v>770</v>
      </c>
      <c r="B771" s="1">
        <v>45974</v>
      </c>
      <c r="C771" t="s">
        <v>1284</v>
      </c>
      <c r="D771" t="s">
        <v>682</v>
      </c>
      <c r="E771">
        <v>2</v>
      </c>
      <c r="F771">
        <v>23494</v>
      </c>
      <c r="G771">
        <f>TbReceitas[[#This Row],[quantidade]]*TbReceitas[[#This Row],[preco_unitario]]</f>
        <v>46988</v>
      </c>
      <c r="H771" t="str">
        <f>TEXT(TbReceitas[[#This Row],[data_transacao]], "aaaa-mm")</f>
        <v>2025-11</v>
      </c>
    </row>
    <row r="772" spans="1:8">
      <c r="A772">
        <v>771</v>
      </c>
      <c r="B772" s="1">
        <v>45956</v>
      </c>
      <c r="C772" t="s">
        <v>1285</v>
      </c>
      <c r="D772" t="s">
        <v>288</v>
      </c>
      <c r="E772">
        <v>1</v>
      </c>
      <c r="F772">
        <v>1219</v>
      </c>
      <c r="G772">
        <f>TbReceitas[[#This Row],[quantidade]]*TbReceitas[[#This Row],[preco_unitario]]</f>
        <v>1219</v>
      </c>
      <c r="H772" t="str">
        <f>TEXT(TbReceitas[[#This Row],[data_transacao]], "aaaa-mm")</f>
        <v>2025-10</v>
      </c>
    </row>
    <row r="773" spans="1:8">
      <c r="A773">
        <v>772</v>
      </c>
      <c r="B773" s="1">
        <v>45764</v>
      </c>
      <c r="C773" t="s">
        <v>816</v>
      </c>
      <c r="D773" t="s">
        <v>448</v>
      </c>
      <c r="E773">
        <v>4</v>
      </c>
      <c r="F773">
        <v>20644</v>
      </c>
      <c r="G773">
        <f>TbReceitas[[#This Row],[quantidade]]*TbReceitas[[#This Row],[preco_unitario]]</f>
        <v>82576</v>
      </c>
      <c r="H773" t="str">
        <f>TEXT(TbReceitas[[#This Row],[data_transacao]], "aaaa-mm")</f>
        <v>2025-04</v>
      </c>
    </row>
    <row r="774" spans="1:8">
      <c r="A774">
        <v>773</v>
      </c>
      <c r="B774" s="1">
        <v>45698</v>
      </c>
      <c r="C774" t="s">
        <v>924</v>
      </c>
      <c r="D774" t="s">
        <v>46</v>
      </c>
      <c r="E774">
        <v>4</v>
      </c>
      <c r="F774">
        <v>13823</v>
      </c>
      <c r="G774">
        <f>TbReceitas[[#This Row],[quantidade]]*TbReceitas[[#This Row],[preco_unitario]]</f>
        <v>55292</v>
      </c>
      <c r="H774" t="str">
        <f>TEXT(TbReceitas[[#This Row],[data_transacao]], "aaaa-mm")</f>
        <v>2025-02</v>
      </c>
    </row>
    <row r="775" spans="1:8">
      <c r="A775">
        <v>774</v>
      </c>
      <c r="B775" s="1">
        <v>45866</v>
      </c>
      <c r="C775" t="s">
        <v>1286</v>
      </c>
      <c r="D775" t="s">
        <v>567</v>
      </c>
      <c r="E775">
        <v>3</v>
      </c>
      <c r="F775">
        <v>15916</v>
      </c>
      <c r="G775">
        <f>TbReceitas[[#This Row],[quantidade]]*TbReceitas[[#This Row],[preco_unitario]]</f>
        <v>47748</v>
      </c>
      <c r="H775" t="str">
        <f>TEXT(TbReceitas[[#This Row],[data_transacao]], "aaaa-mm")</f>
        <v>2025-07</v>
      </c>
    </row>
    <row r="776" spans="1:8">
      <c r="A776">
        <v>775</v>
      </c>
      <c r="B776" s="1">
        <v>46115</v>
      </c>
      <c r="C776" t="s">
        <v>915</v>
      </c>
      <c r="D776" t="s">
        <v>526</v>
      </c>
      <c r="E776">
        <v>5</v>
      </c>
      <c r="F776">
        <v>4464</v>
      </c>
      <c r="G776">
        <f>TbReceitas[[#This Row],[quantidade]]*TbReceitas[[#This Row],[preco_unitario]]</f>
        <v>22320</v>
      </c>
      <c r="H776" t="str">
        <f>TEXT(TbReceitas[[#This Row],[data_transacao]], "aaaa-mm")</f>
        <v>2026-04</v>
      </c>
    </row>
    <row r="777" spans="1:8">
      <c r="A777">
        <v>776</v>
      </c>
      <c r="B777" s="1">
        <v>45945</v>
      </c>
      <c r="C777" t="s">
        <v>1287</v>
      </c>
      <c r="D777" t="s">
        <v>199</v>
      </c>
      <c r="E777">
        <v>4</v>
      </c>
      <c r="F777">
        <v>7038</v>
      </c>
      <c r="G777">
        <f>TbReceitas[[#This Row],[quantidade]]*TbReceitas[[#This Row],[preco_unitario]]</f>
        <v>28152</v>
      </c>
      <c r="H777" t="str">
        <f>TEXT(TbReceitas[[#This Row],[data_transacao]], "aaaa-mm")</f>
        <v>2025-10</v>
      </c>
    </row>
    <row r="778" spans="1:8">
      <c r="A778">
        <v>777</v>
      </c>
      <c r="B778" s="1">
        <v>46211</v>
      </c>
      <c r="C778" t="s">
        <v>1101</v>
      </c>
      <c r="D778" t="s">
        <v>427</v>
      </c>
      <c r="E778">
        <v>2</v>
      </c>
      <c r="F778">
        <v>9083</v>
      </c>
      <c r="G778">
        <f>TbReceitas[[#This Row],[quantidade]]*TbReceitas[[#This Row],[preco_unitario]]</f>
        <v>18166</v>
      </c>
      <c r="H778" t="str">
        <f>TEXT(TbReceitas[[#This Row],[data_transacao]], "aaaa-mm")</f>
        <v>2026-07</v>
      </c>
    </row>
    <row r="779" spans="1:8">
      <c r="A779">
        <v>778</v>
      </c>
      <c r="B779" s="1">
        <v>45740</v>
      </c>
      <c r="C779" t="s">
        <v>1244</v>
      </c>
      <c r="D779" t="s">
        <v>480</v>
      </c>
      <c r="E779">
        <v>4</v>
      </c>
      <c r="F779">
        <v>1934</v>
      </c>
      <c r="G779">
        <f>TbReceitas[[#This Row],[quantidade]]*TbReceitas[[#This Row],[preco_unitario]]</f>
        <v>7736</v>
      </c>
      <c r="H779" t="str">
        <f>TEXT(TbReceitas[[#This Row],[data_transacao]], "aaaa-mm")</f>
        <v>2025-03</v>
      </c>
    </row>
    <row r="780" spans="1:8">
      <c r="A780">
        <v>779</v>
      </c>
      <c r="B780" s="1">
        <v>46240</v>
      </c>
      <c r="C780" t="s">
        <v>1288</v>
      </c>
      <c r="D780" t="s">
        <v>215</v>
      </c>
      <c r="E780">
        <v>3</v>
      </c>
      <c r="F780">
        <v>6467</v>
      </c>
      <c r="G780">
        <f>TbReceitas[[#This Row],[quantidade]]*TbReceitas[[#This Row],[preco_unitario]]</f>
        <v>19401</v>
      </c>
      <c r="H780" t="str">
        <f>TEXT(TbReceitas[[#This Row],[data_transacao]], "aaaa-mm")</f>
        <v>2026-08</v>
      </c>
    </row>
    <row r="781" spans="1:8">
      <c r="A781">
        <v>780</v>
      </c>
      <c r="B781" s="1">
        <v>45590</v>
      </c>
      <c r="C781" t="s">
        <v>1289</v>
      </c>
      <c r="D781" t="s">
        <v>300</v>
      </c>
      <c r="E781">
        <v>3</v>
      </c>
      <c r="F781">
        <v>734</v>
      </c>
      <c r="G781">
        <f>TbReceitas[[#This Row],[quantidade]]*TbReceitas[[#This Row],[preco_unitario]]</f>
        <v>2202</v>
      </c>
      <c r="H781" t="str">
        <f>TEXT(TbReceitas[[#This Row],[data_transacao]], "aaaa-mm")</f>
        <v>2024-10</v>
      </c>
    </row>
    <row r="782" spans="1:8">
      <c r="A782">
        <v>781</v>
      </c>
      <c r="B782" s="1">
        <v>46029</v>
      </c>
      <c r="C782" t="s">
        <v>1290</v>
      </c>
      <c r="D782" t="s">
        <v>417</v>
      </c>
      <c r="E782">
        <v>3</v>
      </c>
      <c r="F782">
        <v>6345</v>
      </c>
      <c r="G782">
        <f>TbReceitas[[#This Row],[quantidade]]*TbReceitas[[#This Row],[preco_unitario]]</f>
        <v>19035</v>
      </c>
      <c r="H782" t="str">
        <f>TEXT(TbReceitas[[#This Row],[data_transacao]], "aaaa-mm")</f>
        <v>2026-01</v>
      </c>
    </row>
    <row r="783" spans="1:8">
      <c r="A783">
        <v>782</v>
      </c>
      <c r="B783" s="1">
        <v>46195</v>
      </c>
      <c r="C783" t="s">
        <v>1199</v>
      </c>
      <c r="D783" t="s">
        <v>321</v>
      </c>
      <c r="E783">
        <v>4</v>
      </c>
      <c r="F783">
        <v>8412</v>
      </c>
      <c r="G783">
        <f>TbReceitas[[#This Row],[quantidade]]*TbReceitas[[#This Row],[preco_unitario]]</f>
        <v>33648</v>
      </c>
      <c r="H783" t="str">
        <f>TEXT(TbReceitas[[#This Row],[data_transacao]], "aaaa-mm")</f>
        <v>2026-06</v>
      </c>
    </row>
    <row r="784" spans="1:8">
      <c r="A784">
        <v>783</v>
      </c>
      <c r="B784" s="1">
        <v>45815</v>
      </c>
      <c r="C784" t="s">
        <v>1291</v>
      </c>
      <c r="D784" t="s">
        <v>147</v>
      </c>
      <c r="E784">
        <v>2</v>
      </c>
      <c r="F784">
        <v>3654</v>
      </c>
      <c r="G784">
        <f>TbReceitas[[#This Row],[quantidade]]*TbReceitas[[#This Row],[preco_unitario]]</f>
        <v>7308</v>
      </c>
      <c r="H784" t="str">
        <f>TEXT(TbReceitas[[#This Row],[data_transacao]], "aaaa-mm")</f>
        <v>2025-06</v>
      </c>
    </row>
    <row r="785" spans="1:8">
      <c r="A785">
        <v>784</v>
      </c>
      <c r="B785" s="1">
        <v>46255</v>
      </c>
      <c r="C785" t="s">
        <v>1046</v>
      </c>
      <c r="D785" t="s">
        <v>661</v>
      </c>
      <c r="E785">
        <v>5</v>
      </c>
      <c r="F785">
        <v>4718</v>
      </c>
      <c r="G785">
        <f>TbReceitas[[#This Row],[quantidade]]*TbReceitas[[#This Row],[preco_unitario]]</f>
        <v>23590</v>
      </c>
      <c r="H785" t="str">
        <f>TEXT(TbReceitas[[#This Row],[data_transacao]], "aaaa-mm")</f>
        <v>2026-08</v>
      </c>
    </row>
    <row r="786" spans="1:8">
      <c r="A786">
        <v>785</v>
      </c>
      <c r="B786" s="1">
        <v>46166</v>
      </c>
      <c r="C786" t="s">
        <v>899</v>
      </c>
      <c r="D786" t="s">
        <v>125</v>
      </c>
      <c r="E786">
        <v>2</v>
      </c>
      <c r="F786">
        <v>22842</v>
      </c>
      <c r="G786">
        <f>TbReceitas[[#This Row],[quantidade]]*TbReceitas[[#This Row],[preco_unitario]]</f>
        <v>45684</v>
      </c>
      <c r="H786" t="str">
        <f>TEXT(TbReceitas[[#This Row],[data_transacao]], "aaaa-mm")</f>
        <v>2026-05</v>
      </c>
    </row>
    <row r="787" spans="1:8">
      <c r="A787">
        <v>786</v>
      </c>
      <c r="B787" s="1">
        <v>46183</v>
      </c>
      <c r="C787" t="s">
        <v>1292</v>
      </c>
      <c r="D787" t="s">
        <v>508</v>
      </c>
      <c r="E787">
        <v>5</v>
      </c>
      <c r="F787">
        <v>12755</v>
      </c>
      <c r="G787">
        <f>TbReceitas[[#This Row],[quantidade]]*TbReceitas[[#This Row],[preco_unitario]]</f>
        <v>63775</v>
      </c>
      <c r="H787" t="str">
        <f>TEXT(TbReceitas[[#This Row],[data_transacao]], "aaaa-mm")</f>
        <v>2026-06</v>
      </c>
    </row>
    <row r="788" spans="1:8">
      <c r="A788">
        <v>787</v>
      </c>
      <c r="B788" s="1">
        <v>45841</v>
      </c>
      <c r="C788" t="s">
        <v>1293</v>
      </c>
      <c r="D788" t="s">
        <v>120</v>
      </c>
      <c r="E788">
        <v>3</v>
      </c>
      <c r="F788">
        <v>13463</v>
      </c>
      <c r="G788">
        <f>TbReceitas[[#This Row],[quantidade]]*TbReceitas[[#This Row],[preco_unitario]]</f>
        <v>40389</v>
      </c>
      <c r="H788" t="str">
        <f>TEXT(TbReceitas[[#This Row],[data_transacao]], "aaaa-mm")</f>
        <v>2025-07</v>
      </c>
    </row>
    <row r="789" spans="1:8">
      <c r="A789">
        <v>788</v>
      </c>
      <c r="B789" s="1">
        <v>46144</v>
      </c>
      <c r="C789" t="s">
        <v>1294</v>
      </c>
      <c r="D789" t="s">
        <v>510</v>
      </c>
      <c r="E789">
        <v>3</v>
      </c>
      <c r="F789">
        <v>16197</v>
      </c>
      <c r="G789">
        <f>TbReceitas[[#This Row],[quantidade]]*TbReceitas[[#This Row],[preco_unitario]]</f>
        <v>48591</v>
      </c>
      <c r="H789" t="str">
        <f>TEXT(TbReceitas[[#This Row],[data_transacao]], "aaaa-mm")</f>
        <v>2026-05</v>
      </c>
    </row>
    <row r="790" spans="1:8">
      <c r="A790">
        <v>789</v>
      </c>
      <c r="B790" s="1">
        <v>46009</v>
      </c>
      <c r="C790" t="s">
        <v>733</v>
      </c>
      <c r="D790" t="s">
        <v>465</v>
      </c>
      <c r="E790">
        <v>4</v>
      </c>
      <c r="F790">
        <v>6944</v>
      </c>
      <c r="G790">
        <f>TbReceitas[[#This Row],[quantidade]]*TbReceitas[[#This Row],[preco_unitario]]</f>
        <v>27776</v>
      </c>
      <c r="H790" t="str">
        <f>TEXT(TbReceitas[[#This Row],[data_transacao]], "aaaa-mm")</f>
        <v>2025-12</v>
      </c>
    </row>
    <row r="791" spans="1:8">
      <c r="A791">
        <v>790</v>
      </c>
      <c r="B791" s="1">
        <v>45762</v>
      </c>
      <c r="C791" t="s">
        <v>974</v>
      </c>
      <c r="D791" t="s">
        <v>99</v>
      </c>
      <c r="E791">
        <v>1</v>
      </c>
      <c r="F791">
        <v>19038</v>
      </c>
      <c r="G791">
        <f>TbReceitas[[#This Row],[quantidade]]*TbReceitas[[#This Row],[preco_unitario]]</f>
        <v>19038</v>
      </c>
      <c r="H791" t="str">
        <f>TEXT(TbReceitas[[#This Row],[data_transacao]], "aaaa-mm")</f>
        <v>2025-04</v>
      </c>
    </row>
    <row r="792" spans="1:8">
      <c r="A792">
        <v>791</v>
      </c>
      <c r="B792" s="1">
        <v>45841</v>
      </c>
      <c r="C792" t="s">
        <v>1295</v>
      </c>
      <c r="D792" t="s">
        <v>270</v>
      </c>
      <c r="E792">
        <v>1</v>
      </c>
      <c r="F792">
        <v>24663</v>
      </c>
      <c r="G792">
        <f>TbReceitas[[#This Row],[quantidade]]*TbReceitas[[#This Row],[preco_unitario]]</f>
        <v>24663</v>
      </c>
      <c r="H792" t="str">
        <f>TEXT(TbReceitas[[#This Row],[data_transacao]], "aaaa-mm")</f>
        <v>2025-07</v>
      </c>
    </row>
    <row r="793" spans="1:8">
      <c r="A793">
        <v>792</v>
      </c>
      <c r="B793" s="1">
        <v>45579</v>
      </c>
      <c r="C793" t="s">
        <v>1130</v>
      </c>
      <c r="D793" t="s">
        <v>413</v>
      </c>
      <c r="E793">
        <v>2</v>
      </c>
      <c r="F793">
        <v>738</v>
      </c>
      <c r="G793">
        <f>TbReceitas[[#This Row],[quantidade]]*TbReceitas[[#This Row],[preco_unitario]]</f>
        <v>1476</v>
      </c>
      <c r="H793" t="str">
        <f>TEXT(TbReceitas[[#This Row],[data_transacao]], "aaaa-mm")</f>
        <v>2024-10</v>
      </c>
    </row>
    <row r="794" spans="1:8">
      <c r="A794">
        <v>793</v>
      </c>
      <c r="B794" s="1">
        <v>45937</v>
      </c>
      <c r="C794" t="s">
        <v>1296</v>
      </c>
      <c r="D794" t="s">
        <v>351</v>
      </c>
      <c r="E794">
        <v>5</v>
      </c>
      <c r="F794">
        <v>15536</v>
      </c>
      <c r="G794">
        <f>TbReceitas[[#This Row],[quantidade]]*TbReceitas[[#This Row],[preco_unitario]]</f>
        <v>77680</v>
      </c>
      <c r="H794" t="str">
        <f>TEXT(TbReceitas[[#This Row],[data_transacao]], "aaaa-mm")</f>
        <v>2025-10</v>
      </c>
    </row>
    <row r="795" spans="1:8">
      <c r="A795">
        <v>794</v>
      </c>
      <c r="B795" s="1">
        <v>46223</v>
      </c>
      <c r="C795" t="s">
        <v>1297</v>
      </c>
      <c r="D795" t="s">
        <v>519</v>
      </c>
      <c r="E795">
        <v>4</v>
      </c>
      <c r="F795">
        <v>5599</v>
      </c>
      <c r="G795">
        <f>TbReceitas[[#This Row],[quantidade]]*TbReceitas[[#This Row],[preco_unitario]]</f>
        <v>22396</v>
      </c>
      <c r="H795" t="str">
        <f>TEXT(TbReceitas[[#This Row],[data_transacao]], "aaaa-mm")</f>
        <v>2026-07</v>
      </c>
    </row>
    <row r="796" spans="1:8">
      <c r="A796">
        <v>795</v>
      </c>
      <c r="B796" s="1">
        <v>45607</v>
      </c>
      <c r="C796" t="s">
        <v>1175</v>
      </c>
      <c r="D796" t="s">
        <v>51</v>
      </c>
      <c r="E796">
        <v>1</v>
      </c>
      <c r="F796">
        <v>8334</v>
      </c>
      <c r="G796">
        <f>TbReceitas[[#This Row],[quantidade]]*TbReceitas[[#This Row],[preco_unitario]]</f>
        <v>8334</v>
      </c>
      <c r="H796" t="str">
        <f>TEXT(TbReceitas[[#This Row],[data_transacao]], "aaaa-mm")</f>
        <v>2024-11</v>
      </c>
    </row>
    <row r="797" spans="1:8">
      <c r="A797">
        <v>796</v>
      </c>
      <c r="B797" s="1">
        <v>45979</v>
      </c>
      <c r="C797" t="s">
        <v>1298</v>
      </c>
      <c r="D797" t="s">
        <v>168</v>
      </c>
      <c r="E797">
        <v>4</v>
      </c>
      <c r="F797">
        <v>3678</v>
      </c>
      <c r="G797">
        <f>TbReceitas[[#This Row],[quantidade]]*TbReceitas[[#This Row],[preco_unitario]]</f>
        <v>14712</v>
      </c>
      <c r="H797" t="str">
        <f>TEXT(TbReceitas[[#This Row],[data_transacao]], "aaaa-mm")</f>
        <v>2025-11</v>
      </c>
    </row>
    <row r="798" spans="1:8">
      <c r="A798">
        <v>797</v>
      </c>
      <c r="B798" s="1">
        <v>45592</v>
      </c>
      <c r="C798" t="s">
        <v>1212</v>
      </c>
      <c r="D798" t="s">
        <v>516</v>
      </c>
      <c r="E798">
        <v>4</v>
      </c>
      <c r="F798">
        <v>4039</v>
      </c>
      <c r="G798">
        <f>TbReceitas[[#This Row],[quantidade]]*TbReceitas[[#This Row],[preco_unitario]]</f>
        <v>16156</v>
      </c>
      <c r="H798" t="str">
        <f>TEXT(TbReceitas[[#This Row],[data_transacao]], "aaaa-mm")</f>
        <v>2024-10</v>
      </c>
    </row>
    <row r="799" spans="1:8">
      <c r="A799">
        <v>798</v>
      </c>
      <c r="B799" s="1">
        <v>45955</v>
      </c>
      <c r="C799" t="s">
        <v>1029</v>
      </c>
      <c r="D799" t="s">
        <v>39</v>
      </c>
      <c r="E799">
        <v>4</v>
      </c>
      <c r="F799">
        <v>12748</v>
      </c>
      <c r="G799">
        <f>TbReceitas[[#This Row],[quantidade]]*TbReceitas[[#This Row],[preco_unitario]]</f>
        <v>50992</v>
      </c>
      <c r="H799" t="str">
        <f>TEXT(TbReceitas[[#This Row],[data_transacao]], "aaaa-mm")</f>
        <v>2025-10</v>
      </c>
    </row>
    <row r="800" spans="1:8">
      <c r="A800">
        <v>799</v>
      </c>
      <c r="B800" s="1">
        <v>45961</v>
      </c>
      <c r="C800" t="s">
        <v>960</v>
      </c>
      <c r="D800" t="s">
        <v>295</v>
      </c>
      <c r="E800">
        <v>5</v>
      </c>
      <c r="F800">
        <v>15397</v>
      </c>
      <c r="G800">
        <f>TbReceitas[[#This Row],[quantidade]]*TbReceitas[[#This Row],[preco_unitario]]</f>
        <v>76985</v>
      </c>
      <c r="H800" t="str">
        <f>TEXT(TbReceitas[[#This Row],[data_transacao]], "aaaa-mm")</f>
        <v>2025-10</v>
      </c>
    </row>
    <row r="801" spans="1:8">
      <c r="A801">
        <v>800</v>
      </c>
      <c r="B801" s="1">
        <v>45558</v>
      </c>
      <c r="C801" t="s">
        <v>1140</v>
      </c>
      <c r="D801" t="s">
        <v>102</v>
      </c>
      <c r="E801">
        <v>5</v>
      </c>
      <c r="F801">
        <v>10748</v>
      </c>
      <c r="G801">
        <f>TbReceitas[[#This Row],[quantidade]]*TbReceitas[[#This Row],[preco_unitario]]</f>
        <v>53740</v>
      </c>
      <c r="H801" t="str">
        <f>TEXT(TbReceitas[[#This Row],[data_transacao]], "aaaa-mm")</f>
        <v>2024-09</v>
      </c>
    </row>
    <row r="802" spans="1:8">
      <c r="A802">
        <v>801</v>
      </c>
      <c r="B802" s="1">
        <v>46253</v>
      </c>
      <c r="C802" t="s">
        <v>1299</v>
      </c>
      <c r="D802" t="s">
        <v>478</v>
      </c>
      <c r="E802">
        <v>1</v>
      </c>
      <c r="F802">
        <v>18253</v>
      </c>
      <c r="G802">
        <f>TbReceitas[[#This Row],[quantidade]]*TbReceitas[[#This Row],[preco_unitario]]</f>
        <v>18253</v>
      </c>
      <c r="H802" t="str">
        <f>TEXT(TbReceitas[[#This Row],[data_transacao]], "aaaa-mm")</f>
        <v>2026-08</v>
      </c>
    </row>
    <row r="803" spans="1:8">
      <c r="A803">
        <v>802</v>
      </c>
      <c r="B803" s="1">
        <v>46252</v>
      </c>
      <c r="C803" t="s">
        <v>1300</v>
      </c>
      <c r="D803" t="s">
        <v>489</v>
      </c>
      <c r="E803">
        <v>3</v>
      </c>
      <c r="F803">
        <v>786</v>
      </c>
      <c r="G803">
        <f>TbReceitas[[#This Row],[quantidade]]*TbReceitas[[#This Row],[preco_unitario]]</f>
        <v>2358</v>
      </c>
      <c r="H803" t="str">
        <f>TEXT(TbReceitas[[#This Row],[data_transacao]], "aaaa-mm")</f>
        <v>2026-08</v>
      </c>
    </row>
    <row r="804" spans="1:8">
      <c r="A804">
        <v>803</v>
      </c>
      <c r="B804" s="1">
        <v>45877</v>
      </c>
      <c r="C804" t="s">
        <v>1301</v>
      </c>
      <c r="D804" t="s">
        <v>597</v>
      </c>
      <c r="E804">
        <v>5</v>
      </c>
      <c r="F804">
        <v>24195</v>
      </c>
      <c r="G804">
        <f>TbReceitas[[#This Row],[quantidade]]*TbReceitas[[#This Row],[preco_unitario]]</f>
        <v>120975</v>
      </c>
      <c r="H804" t="str">
        <f>TEXT(TbReceitas[[#This Row],[data_transacao]], "aaaa-mm")</f>
        <v>2025-08</v>
      </c>
    </row>
    <row r="805" spans="1:8">
      <c r="A805">
        <v>804</v>
      </c>
      <c r="B805" s="1">
        <v>45781</v>
      </c>
      <c r="C805" t="s">
        <v>1302</v>
      </c>
      <c r="D805" t="s">
        <v>42</v>
      </c>
      <c r="E805">
        <v>1</v>
      </c>
      <c r="F805">
        <v>23918</v>
      </c>
      <c r="G805">
        <f>TbReceitas[[#This Row],[quantidade]]*TbReceitas[[#This Row],[preco_unitario]]</f>
        <v>23918</v>
      </c>
      <c r="H805" t="str">
        <f>TEXT(TbReceitas[[#This Row],[data_transacao]], "aaaa-mm")</f>
        <v>2025-05</v>
      </c>
    </row>
    <row r="806" spans="1:8">
      <c r="A806">
        <v>805</v>
      </c>
      <c r="B806" s="1">
        <v>45745</v>
      </c>
      <c r="C806" t="s">
        <v>1303</v>
      </c>
      <c r="D806" t="s">
        <v>542</v>
      </c>
      <c r="E806">
        <v>5</v>
      </c>
      <c r="F806">
        <v>1697</v>
      </c>
      <c r="G806">
        <f>TbReceitas[[#This Row],[quantidade]]*TbReceitas[[#This Row],[preco_unitario]]</f>
        <v>8485</v>
      </c>
      <c r="H806" t="str">
        <f>TEXT(TbReceitas[[#This Row],[data_transacao]], "aaaa-mm")</f>
        <v>2025-03</v>
      </c>
    </row>
    <row r="807" spans="1:8">
      <c r="A807">
        <v>806</v>
      </c>
      <c r="B807" s="1">
        <v>46272</v>
      </c>
      <c r="C807" t="s">
        <v>1304</v>
      </c>
      <c r="D807" t="s">
        <v>516</v>
      </c>
      <c r="E807">
        <v>5</v>
      </c>
      <c r="F807">
        <v>4039</v>
      </c>
      <c r="G807">
        <f>TbReceitas[[#This Row],[quantidade]]*TbReceitas[[#This Row],[preco_unitario]]</f>
        <v>20195</v>
      </c>
      <c r="H807" t="str">
        <f>TEXT(TbReceitas[[#This Row],[data_transacao]], "aaaa-mm")</f>
        <v>2026-09</v>
      </c>
    </row>
    <row r="808" spans="1:8">
      <c r="A808">
        <v>807</v>
      </c>
      <c r="B808" s="1">
        <v>46113</v>
      </c>
      <c r="C808" t="s">
        <v>1204</v>
      </c>
      <c r="D808" t="s">
        <v>519</v>
      </c>
      <c r="E808">
        <v>3</v>
      </c>
      <c r="F808">
        <v>5599</v>
      </c>
      <c r="G808">
        <f>TbReceitas[[#This Row],[quantidade]]*TbReceitas[[#This Row],[preco_unitario]]</f>
        <v>16797</v>
      </c>
      <c r="H808" t="str">
        <f>TEXT(TbReceitas[[#This Row],[data_transacao]], "aaaa-mm")</f>
        <v>2026-04</v>
      </c>
    </row>
    <row r="809" spans="1:8">
      <c r="A809">
        <v>808</v>
      </c>
      <c r="B809" s="1">
        <v>46060</v>
      </c>
      <c r="C809" t="s">
        <v>1305</v>
      </c>
      <c r="D809" t="s">
        <v>583</v>
      </c>
      <c r="E809">
        <v>4</v>
      </c>
      <c r="F809">
        <v>11009</v>
      </c>
      <c r="G809">
        <f>TbReceitas[[#This Row],[quantidade]]*TbReceitas[[#This Row],[preco_unitario]]</f>
        <v>44036</v>
      </c>
      <c r="H809" t="str">
        <f>TEXT(TbReceitas[[#This Row],[data_transacao]], "aaaa-mm")</f>
        <v>2026-02</v>
      </c>
    </row>
    <row r="810" spans="1:8">
      <c r="A810">
        <v>809</v>
      </c>
      <c r="B810" s="1">
        <v>45609</v>
      </c>
      <c r="C810" t="s">
        <v>910</v>
      </c>
      <c r="D810" t="s">
        <v>649</v>
      </c>
      <c r="E810">
        <v>1</v>
      </c>
      <c r="F810">
        <v>22268</v>
      </c>
      <c r="G810">
        <f>TbReceitas[[#This Row],[quantidade]]*TbReceitas[[#This Row],[preco_unitario]]</f>
        <v>22268</v>
      </c>
      <c r="H810" t="str">
        <f>TEXT(TbReceitas[[#This Row],[data_transacao]], "aaaa-mm")</f>
        <v>2024-11</v>
      </c>
    </row>
    <row r="811" spans="1:8">
      <c r="A811">
        <v>810</v>
      </c>
      <c r="B811" s="1">
        <v>46276</v>
      </c>
      <c r="C811" t="s">
        <v>1306</v>
      </c>
      <c r="D811" t="s">
        <v>610</v>
      </c>
      <c r="E811">
        <v>1</v>
      </c>
      <c r="F811">
        <v>2549</v>
      </c>
      <c r="G811">
        <f>TbReceitas[[#This Row],[quantidade]]*TbReceitas[[#This Row],[preco_unitario]]</f>
        <v>2549</v>
      </c>
      <c r="H811" t="str">
        <f>TEXT(TbReceitas[[#This Row],[data_transacao]], "aaaa-mm")</f>
        <v>2026-09</v>
      </c>
    </row>
    <row r="812" spans="1:8">
      <c r="A812">
        <v>811</v>
      </c>
      <c r="B812" s="1">
        <v>46240</v>
      </c>
      <c r="C812" t="s">
        <v>873</v>
      </c>
      <c r="D812" t="s">
        <v>639</v>
      </c>
      <c r="E812">
        <v>4</v>
      </c>
      <c r="F812">
        <v>4224</v>
      </c>
      <c r="G812">
        <f>TbReceitas[[#This Row],[quantidade]]*TbReceitas[[#This Row],[preco_unitario]]</f>
        <v>16896</v>
      </c>
      <c r="H812" t="str">
        <f>TEXT(TbReceitas[[#This Row],[data_transacao]], "aaaa-mm")</f>
        <v>2026-08</v>
      </c>
    </row>
    <row r="813" spans="1:8">
      <c r="A813">
        <v>812</v>
      </c>
      <c r="B813" s="1">
        <v>46258</v>
      </c>
      <c r="C813" t="s">
        <v>1307</v>
      </c>
      <c r="D813" t="s">
        <v>288</v>
      </c>
      <c r="E813">
        <v>5</v>
      </c>
      <c r="F813">
        <v>1219</v>
      </c>
      <c r="G813">
        <f>TbReceitas[[#This Row],[quantidade]]*TbReceitas[[#This Row],[preco_unitario]]</f>
        <v>6095</v>
      </c>
      <c r="H813" t="str">
        <f>TEXT(TbReceitas[[#This Row],[data_transacao]], "aaaa-mm")</f>
        <v>2026-08</v>
      </c>
    </row>
    <row r="814" spans="1:8">
      <c r="A814">
        <v>813</v>
      </c>
      <c r="B814" s="1">
        <v>45935</v>
      </c>
      <c r="C814" t="s">
        <v>1241</v>
      </c>
      <c r="D814" t="s">
        <v>460</v>
      </c>
      <c r="E814">
        <v>3</v>
      </c>
      <c r="F814">
        <v>24504</v>
      </c>
      <c r="G814">
        <f>TbReceitas[[#This Row],[quantidade]]*TbReceitas[[#This Row],[preco_unitario]]</f>
        <v>73512</v>
      </c>
      <c r="H814" t="str">
        <f>TEXT(TbReceitas[[#This Row],[data_transacao]], "aaaa-mm")</f>
        <v>2025-10</v>
      </c>
    </row>
    <row r="815" spans="1:8">
      <c r="A815">
        <v>814</v>
      </c>
      <c r="B815" s="1">
        <v>45988</v>
      </c>
      <c r="C815" t="s">
        <v>1308</v>
      </c>
      <c r="D815" t="s">
        <v>625</v>
      </c>
      <c r="E815">
        <v>2</v>
      </c>
      <c r="F815">
        <v>2485</v>
      </c>
      <c r="G815">
        <f>TbReceitas[[#This Row],[quantidade]]*TbReceitas[[#This Row],[preco_unitario]]</f>
        <v>4970</v>
      </c>
      <c r="H815" t="str">
        <f>TEXT(TbReceitas[[#This Row],[data_transacao]], "aaaa-mm")</f>
        <v>2025-11</v>
      </c>
    </row>
    <row r="816" spans="1:8">
      <c r="A816">
        <v>815</v>
      </c>
      <c r="B816" s="1">
        <v>45761</v>
      </c>
      <c r="C816" t="s">
        <v>1247</v>
      </c>
      <c r="D816" t="s">
        <v>380</v>
      </c>
      <c r="E816">
        <v>5</v>
      </c>
      <c r="F816">
        <v>18227</v>
      </c>
      <c r="G816">
        <f>TbReceitas[[#This Row],[quantidade]]*TbReceitas[[#This Row],[preco_unitario]]</f>
        <v>91135</v>
      </c>
      <c r="H816" t="str">
        <f>TEXT(TbReceitas[[#This Row],[data_transacao]], "aaaa-mm")</f>
        <v>2025-04</v>
      </c>
    </row>
    <row r="817" spans="1:8">
      <c r="A817">
        <v>816</v>
      </c>
      <c r="B817" s="1">
        <v>45859</v>
      </c>
      <c r="C817" t="s">
        <v>1309</v>
      </c>
      <c r="D817" t="s">
        <v>664</v>
      </c>
      <c r="E817">
        <v>4</v>
      </c>
      <c r="F817">
        <v>11808</v>
      </c>
      <c r="G817">
        <f>TbReceitas[[#This Row],[quantidade]]*TbReceitas[[#This Row],[preco_unitario]]</f>
        <v>47232</v>
      </c>
      <c r="H817" t="str">
        <f>TEXT(TbReceitas[[#This Row],[data_transacao]], "aaaa-mm")</f>
        <v>2025-07</v>
      </c>
    </row>
    <row r="818" spans="1:8">
      <c r="A818">
        <v>817</v>
      </c>
      <c r="B818" s="1">
        <v>45736</v>
      </c>
      <c r="C818" t="s">
        <v>1310</v>
      </c>
      <c r="D818" t="s">
        <v>475</v>
      </c>
      <c r="E818">
        <v>4</v>
      </c>
      <c r="F818">
        <v>22017</v>
      </c>
      <c r="G818">
        <f>TbReceitas[[#This Row],[quantidade]]*TbReceitas[[#This Row],[preco_unitario]]</f>
        <v>88068</v>
      </c>
      <c r="H818" t="str">
        <f>TEXT(TbReceitas[[#This Row],[data_transacao]], "aaaa-mm")</f>
        <v>2025-03</v>
      </c>
    </row>
    <row r="819" spans="1:8">
      <c r="A819">
        <v>818</v>
      </c>
      <c r="B819" s="1">
        <v>46040</v>
      </c>
      <c r="C819" t="s">
        <v>822</v>
      </c>
      <c r="D819" t="s">
        <v>489</v>
      </c>
      <c r="E819">
        <v>5</v>
      </c>
      <c r="F819">
        <v>786</v>
      </c>
      <c r="G819">
        <f>TbReceitas[[#This Row],[quantidade]]*TbReceitas[[#This Row],[preco_unitario]]</f>
        <v>3930</v>
      </c>
      <c r="H819" t="str">
        <f>TEXT(TbReceitas[[#This Row],[data_transacao]], "aaaa-mm")</f>
        <v>2026-01</v>
      </c>
    </row>
    <row r="820" spans="1:8">
      <c r="A820">
        <v>819</v>
      </c>
      <c r="B820" s="1">
        <v>45704</v>
      </c>
      <c r="C820" t="s">
        <v>1311</v>
      </c>
      <c r="D820" t="s">
        <v>382</v>
      </c>
      <c r="E820">
        <v>3</v>
      </c>
      <c r="F820">
        <v>4188</v>
      </c>
      <c r="G820">
        <f>TbReceitas[[#This Row],[quantidade]]*TbReceitas[[#This Row],[preco_unitario]]</f>
        <v>12564</v>
      </c>
      <c r="H820" t="str">
        <f>TEXT(TbReceitas[[#This Row],[data_transacao]], "aaaa-mm")</f>
        <v>2025-02</v>
      </c>
    </row>
    <row r="821" spans="1:8">
      <c r="A821">
        <v>820</v>
      </c>
      <c r="B821" s="1">
        <v>46160</v>
      </c>
      <c r="C821" t="s">
        <v>1312</v>
      </c>
      <c r="D821" t="s">
        <v>33</v>
      </c>
      <c r="E821">
        <v>4</v>
      </c>
      <c r="F821">
        <v>20998</v>
      </c>
      <c r="G821">
        <f>TbReceitas[[#This Row],[quantidade]]*TbReceitas[[#This Row],[preco_unitario]]</f>
        <v>83992</v>
      </c>
      <c r="H821" t="str">
        <f>TEXT(TbReceitas[[#This Row],[data_transacao]], "aaaa-mm")</f>
        <v>2026-05</v>
      </c>
    </row>
    <row r="822" spans="1:8">
      <c r="A822">
        <v>821</v>
      </c>
      <c r="B822" s="1">
        <v>45588</v>
      </c>
      <c r="C822" t="s">
        <v>1238</v>
      </c>
      <c r="D822" t="s">
        <v>1313</v>
      </c>
      <c r="E822">
        <v>4</v>
      </c>
      <c r="F822">
        <v>4935</v>
      </c>
      <c r="G822">
        <f>TbReceitas[[#This Row],[quantidade]]*TbReceitas[[#This Row],[preco_unitario]]</f>
        <v>19740</v>
      </c>
      <c r="H822" t="str">
        <f>TEXT(TbReceitas[[#This Row],[data_transacao]], "aaaa-mm")</f>
        <v>2024-10</v>
      </c>
    </row>
    <row r="823" spans="1:8">
      <c r="A823">
        <v>822</v>
      </c>
      <c r="B823" s="1">
        <v>45636</v>
      </c>
      <c r="C823" t="s">
        <v>1055</v>
      </c>
      <c r="D823" t="s">
        <v>286</v>
      </c>
      <c r="E823">
        <v>1</v>
      </c>
      <c r="F823">
        <v>4982</v>
      </c>
      <c r="G823">
        <f>TbReceitas[[#This Row],[quantidade]]*TbReceitas[[#This Row],[preco_unitario]]</f>
        <v>4982</v>
      </c>
      <c r="H823" t="str">
        <f>TEXT(TbReceitas[[#This Row],[data_transacao]], "aaaa-mm")</f>
        <v>2024-12</v>
      </c>
    </row>
    <row r="824" spans="1:8">
      <c r="A824">
        <v>823</v>
      </c>
      <c r="B824" s="1">
        <v>45878</v>
      </c>
      <c r="C824" t="s">
        <v>1122</v>
      </c>
      <c r="D824" t="s">
        <v>632</v>
      </c>
      <c r="E824">
        <v>5</v>
      </c>
      <c r="F824">
        <v>6667</v>
      </c>
      <c r="G824">
        <f>TbReceitas[[#This Row],[quantidade]]*TbReceitas[[#This Row],[preco_unitario]]</f>
        <v>33335</v>
      </c>
      <c r="H824" t="str">
        <f>TEXT(TbReceitas[[#This Row],[data_transacao]], "aaaa-mm")</f>
        <v>2025-08</v>
      </c>
    </row>
    <row r="825" spans="1:8">
      <c r="A825">
        <v>824</v>
      </c>
      <c r="B825" s="1">
        <v>46149</v>
      </c>
      <c r="C825" t="s">
        <v>1108</v>
      </c>
      <c r="D825" t="s">
        <v>252</v>
      </c>
      <c r="E825">
        <v>5</v>
      </c>
      <c r="F825">
        <v>12058</v>
      </c>
      <c r="G825">
        <f>TbReceitas[[#This Row],[quantidade]]*TbReceitas[[#This Row],[preco_unitario]]</f>
        <v>60290</v>
      </c>
      <c r="H825" t="str">
        <f>TEXT(TbReceitas[[#This Row],[data_transacao]], "aaaa-mm")</f>
        <v>2026-05</v>
      </c>
    </row>
    <row r="826" spans="1:8">
      <c r="A826">
        <v>825</v>
      </c>
      <c r="B826" s="1">
        <v>45645</v>
      </c>
      <c r="C826" t="s">
        <v>894</v>
      </c>
      <c r="D826" t="s">
        <v>81</v>
      </c>
      <c r="E826">
        <v>4</v>
      </c>
      <c r="F826">
        <v>9521</v>
      </c>
      <c r="G826">
        <f>TbReceitas[[#This Row],[quantidade]]*TbReceitas[[#This Row],[preco_unitario]]</f>
        <v>38084</v>
      </c>
      <c r="H826" t="str">
        <f>TEXT(TbReceitas[[#This Row],[data_transacao]], "aaaa-mm")</f>
        <v>2024-12</v>
      </c>
    </row>
    <row r="827" spans="1:8">
      <c r="A827">
        <v>826</v>
      </c>
      <c r="B827" s="1">
        <v>46027</v>
      </c>
      <c r="C827" t="s">
        <v>868</v>
      </c>
      <c r="D827" t="s">
        <v>464</v>
      </c>
      <c r="E827">
        <v>3</v>
      </c>
      <c r="F827">
        <v>10835</v>
      </c>
      <c r="G827">
        <f>TbReceitas[[#This Row],[quantidade]]*TbReceitas[[#This Row],[preco_unitario]]</f>
        <v>32505</v>
      </c>
      <c r="H827" t="str">
        <f>TEXT(TbReceitas[[#This Row],[data_transacao]], "aaaa-mm")</f>
        <v>2026-01</v>
      </c>
    </row>
    <row r="828" spans="1:8">
      <c r="A828">
        <v>827</v>
      </c>
      <c r="B828" s="1">
        <v>45903</v>
      </c>
      <c r="C828" t="s">
        <v>978</v>
      </c>
      <c r="D828" t="s">
        <v>130</v>
      </c>
      <c r="E828">
        <v>5</v>
      </c>
      <c r="F828">
        <v>18118</v>
      </c>
      <c r="G828">
        <f>TbReceitas[[#This Row],[quantidade]]*TbReceitas[[#This Row],[preco_unitario]]</f>
        <v>90590</v>
      </c>
      <c r="H828" t="str">
        <f>TEXT(TbReceitas[[#This Row],[data_transacao]], "aaaa-mm")</f>
        <v>2025-09</v>
      </c>
    </row>
    <row r="829" spans="1:8">
      <c r="A829">
        <v>828</v>
      </c>
      <c r="B829" s="1">
        <v>45728</v>
      </c>
      <c r="C829" t="s">
        <v>947</v>
      </c>
      <c r="D829" t="s">
        <v>85</v>
      </c>
      <c r="E829">
        <v>4</v>
      </c>
      <c r="F829">
        <v>10218</v>
      </c>
      <c r="G829">
        <f>TbReceitas[[#This Row],[quantidade]]*TbReceitas[[#This Row],[preco_unitario]]</f>
        <v>40872</v>
      </c>
      <c r="H829" t="str">
        <f>TEXT(TbReceitas[[#This Row],[data_transacao]], "aaaa-mm")</f>
        <v>2025-03</v>
      </c>
    </row>
    <row r="830" spans="1:8">
      <c r="A830">
        <v>829</v>
      </c>
      <c r="B830" s="1">
        <v>45677</v>
      </c>
      <c r="C830" t="s">
        <v>1139</v>
      </c>
      <c r="D830" t="s">
        <v>598</v>
      </c>
      <c r="E830">
        <v>1</v>
      </c>
      <c r="F830">
        <v>17325</v>
      </c>
      <c r="G830">
        <f>TbReceitas[[#This Row],[quantidade]]*TbReceitas[[#This Row],[preco_unitario]]</f>
        <v>17325</v>
      </c>
      <c r="H830" t="str">
        <f>TEXT(TbReceitas[[#This Row],[data_transacao]], "aaaa-mm")</f>
        <v>2025-01</v>
      </c>
    </row>
    <row r="831" spans="1:8">
      <c r="A831">
        <v>830</v>
      </c>
      <c r="B831" s="1">
        <v>45852</v>
      </c>
      <c r="C831" t="s">
        <v>1314</v>
      </c>
      <c r="D831" t="s">
        <v>84</v>
      </c>
      <c r="E831">
        <v>2</v>
      </c>
      <c r="F831">
        <v>21541</v>
      </c>
      <c r="G831">
        <f>TbReceitas[[#This Row],[quantidade]]*TbReceitas[[#This Row],[preco_unitario]]</f>
        <v>43082</v>
      </c>
      <c r="H831" t="str">
        <f>TEXT(TbReceitas[[#This Row],[data_transacao]], "aaaa-mm")</f>
        <v>2025-07</v>
      </c>
    </row>
    <row r="832" spans="1:8">
      <c r="A832">
        <v>831</v>
      </c>
      <c r="B832" s="1">
        <v>45707</v>
      </c>
      <c r="C832" t="s">
        <v>1283</v>
      </c>
      <c r="D832" t="s">
        <v>132</v>
      </c>
      <c r="E832">
        <v>2</v>
      </c>
      <c r="F832">
        <v>14526</v>
      </c>
      <c r="G832">
        <f>TbReceitas[[#This Row],[quantidade]]*TbReceitas[[#This Row],[preco_unitario]]</f>
        <v>29052</v>
      </c>
      <c r="H832" t="str">
        <f>TEXT(TbReceitas[[#This Row],[data_transacao]], "aaaa-mm")</f>
        <v>2025-02</v>
      </c>
    </row>
    <row r="833" spans="1:8">
      <c r="A833">
        <v>832</v>
      </c>
      <c r="B833" s="1">
        <v>46247</v>
      </c>
      <c r="C833" t="s">
        <v>953</v>
      </c>
      <c r="D833" t="s">
        <v>217</v>
      </c>
      <c r="E833">
        <v>1</v>
      </c>
      <c r="F833">
        <v>4789</v>
      </c>
      <c r="G833">
        <f>TbReceitas[[#This Row],[quantidade]]*TbReceitas[[#This Row],[preco_unitario]]</f>
        <v>4789</v>
      </c>
      <c r="H833" t="str">
        <f>TEXT(TbReceitas[[#This Row],[data_transacao]], "aaaa-mm")</f>
        <v>2026-08</v>
      </c>
    </row>
    <row r="834" spans="1:8">
      <c r="A834">
        <v>833</v>
      </c>
      <c r="B834" s="1">
        <v>46032</v>
      </c>
      <c r="C834" t="s">
        <v>939</v>
      </c>
      <c r="D834" t="s">
        <v>209</v>
      </c>
      <c r="E834">
        <v>3</v>
      </c>
      <c r="F834">
        <v>15676</v>
      </c>
      <c r="G834">
        <f>TbReceitas[[#This Row],[quantidade]]*TbReceitas[[#This Row],[preco_unitario]]</f>
        <v>47028</v>
      </c>
      <c r="H834" t="str">
        <f>TEXT(TbReceitas[[#This Row],[data_transacao]], "aaaa-mm")</f>
        <v>2026-01</v>
      </c>
    </row>
    <row r="835" spans="1:8">
      <c r="A835">
        <v>834</v>
      </c>
      <c r="B835" s="1">
        <v>45854</v>
      </c>
      <c r="C835" t="s">
        <v>923</v>
      </c>
      <c r="D835" t="s">
        <v>701</v>
      </c>
      <c r="E835">
        <v>4</v>
      </c>
      <c r="F835">
        <v>11243</v>
      </c>
      <c r="G835">
        <f>TbReceitas[[#This Row],[quantidade]]*TbReceitas[[#This Row],[preco_unitario]]</f>
        <v>44972</v>
      </c>
      <c r="H835" t="str">
        <f>TEXT(TbReceitas[[#This Row],[data_transacao]], "aaaa-mm")</f>
        <v>2025-07</v>
      </c>
    </row>
    <row r="836" spans="1:8">
      <c r="A836">
        <v>835</v>
      </c>
      <c r="B836" s="1">
        <v>46145</v>
      </c>
      <c r="C836" t="s">
        <v>1315</v>
      </c>
      <c r="D836" t="s">
        <v>251</v>
      </c>
      <c r="E836">
        <v>3</v>
      </c>
      <c r="F836">
        <v>4862</v>
      </c>
      <c r="G836">
        <f>TbReceitas[[#This Row],[quantidade]]*TbReceitas[[#This Row],[preco_unitario]]</f>
        <v>14586</v>
      </c>
      <c r="H836" t="str">
        <f>TEXT(TbReceitas[[#This Row],[data_transacao]], "aaaa-mm")</f>
        <v>2026-05</v>
      </c>
    </row>
    <row r="837" spans="1:8">
      <c r="A837">
        <v>836</v>
      </c>
      <c r="B837" s="1">
        <v>46012</v>
      </c>
      <c r="C837" t="s">
        <v>1316</v>
      </c>
      <c r="D837" t="s">
        <v>309</v>
      </c>
      <c r="E837">
        <v>4</v>
      </c>
      <c r="F837">
        <v>11854</v>
      </c>
      <c r="G837">
        <f>TbReceitas[[#This Row],[quantidade]]*TbReceitas[[#This Row],[preco_unitario]]</f>
        <v>47416</v>
      </c>
      <c r="H837" t="str">
        <f>TEXT(TbReceitas[[#This Row],[data_transacao]], "aaaa-mm")</f>
        <v>2025-12</v>
      </c>
    </row>
    <row r="838" spans="1:8">
      <c r="A838">
        <v>837</v>
      </c>
      <c r="B838" s="1">
        <v>45839</v>
      </c>
      <c r="C838" t="s">
        <v>733</v>
      </c>
      <c r="D838" t="s">
        <v>95</v>
      </c>
      <c r="E838">
        <v>2</v>
      </c>
      <c r="F838">
        <v>23586</v>
      </c>
      <c r="G838">
        <f>TbReceitas[[#This Row],[quantidade]]*TbReceitas[[#This Row],[preco_unitario]]</f>
        <v>47172</v>
      </c>
      <c r="H838" t="str">
        <f>TEXT(TbReceitas[[#This Row],[data_transacao]], "aaaa-mm")</f>
        <v>2025-07</v>
      </c>
    </row>
    <row r="839" spans="1:8">
      <c r="A839">
        <v>838</v>
      </c>
      <c r="B839" s="1">
        <v>45581</v>
      </c>
      <c r="C839" t="s">
        <v>1317</v>
      </c>
      <c r="D839" t="s">
        <v>401</v>
      </c>
      <c r="E839">
        <v>4</v>
      </c>
      <c r="F839">
        <v>5058</v>
      </c>
      <c r="G839">
        <f>TbReceitas[[#This Row],[quantidade]]*TbReceitas[[#This Row],[preco_unitario]]</f>
        <v>20232</v>
      </c>
      <c r="H839" t="str">
        <f>TEXT(TbReceitas[[#This Row],[data_transacao]], "aaaa-mm")</f>
        <v>2024-10</v>
      </c>
    </row>
    <row r="840" spans="1:8">
      <c r="A840">
        <v>839</v>
      </c>
      <c r="B840" s="1">
        <v>45622</v>
      </c>
      <c r="C840" t="s">
        <v>1318</v>
      </c>
      <c r="D840" t="s">
        <v>523</v>
      </c>
      <c r="E840">
        <v>3</v>
      </c>
      <c r="F840">
        <v>23523</v>
      </c>
      <c r="G840">
        <f>TbReceitas[[#This Row],[quantidade]]*TbReceitas[[#This Row],[preco_unitario]]</f>
        <v>70569</v>
      </c>
      <c r="H840" t="str">
        <f>TEXT(TbReceitas[[#This Row],[data_transacao]], "aaaa-mm")</f>
        <v>2024-11</v>
      </c>
    </row>
    <row r="841" spans="1:8">
      <c r="A841">
        <v>840</v>
      </c>
      <c r="B841" s="1">
        <v>45651</v>
      </c>
      <c r="C841" t="s">
        <v>831</v>
      </c>
      <c r="D841" t="s">
        <v>576</v>
      </c>
      <c r="E841">
        <v>1</v>
      </c>
      <c r="F841">
        <v>13142</v>
      </c>
      <c r="G841">
        <f>TbReceitas[[#This Row],[quantidade]]*TbReceitas[[#This Row],[preco_unitario]]</f>
        <v>13142</v>
      </c>
      <c r="H841" t="str">
        <f>TEXT(TbReceitas[[#This Row],[data_transacao]], "aaaa-mm")</f>
        <v>2024-12</v>
      </c>
    </row>
    <row r="842" spans="1:8">
      <c r="A842">
        <v>841</v>
      </c>
      <c r="B842" s="1">
        <v>45916</v>
      </c>
      <c r="C842" t="s">
        <v>1319</v>
      </c>
      <c r="D842" t="s">
        <v>661</v>
      </c>
      <c r="E842">
        <v>5</v>
      </c>
      <c r="F842">
        <v>4718</v>
      </c>
      <c r="G842">
        <f>TbReceitas[[#This Row],[quantidade]]*TbReceitas[[#This Row],[preco_unitario]]</f>
        <v>23590</v>
      </c>
      <c r="H842" t="str">
        <f>TEXT(TbReceitas[[#This Row],[data_transacao]], "aaaa-mm")</f>
        <v>2025-09</v>
      </c>
    </row>
    <row r="843" spans="1:8">
      <c r="A843">
        <v>842</v>
      </c>
      <c r="B843" s="1">
        <v>46068</v>
      </c>
      <c r="C843" t="s">
        <v>1320</v>
      </c>
      <c r="D843" t="s">
        <v>614</v>
      </c>
      <c r="E843">
        <v>2</v>
      </c>
      <c r="F843">
        <v>24548</v>
      </c>
      <c r="G843">
        <f>TbReceitas[[#This Row],[quantidade]]*TbReceitas[[#This Row],[preco_unitario]]</f>
        <v>49096</v>
      </c>
      <c r="H843" t="str">
        <f>TEXT(TbReceitas[[#This Row],[data_transacao]], "aaaa-mm")</f>
        <v>2026-02</v>
      </c>
    </row>
    <row r="844" spans="1:8">
      <c r="A844">
        <v>843</v>
      </c>
      <c r="B844" s="1">
        <v>45998</v>
      </c>
      <c r="C844" t="s">
        <v>1174</v>
      </c>
      <c r="D844" t="s">
        <v>1321</v>
      </c>
      <c r="E844">
        <v>2</v>
      </c>
      <c r="F844">
        <v>12315</v>
      </c>
      <c r="G844">
        <f>TbReceitas[[#This Row],[quantidade]]*TbReceitas[[#This Row],[preco_unitario]]</f>
        <v>24630</v>
      </c>
      <c r="H844" t="str">
        <f>TEXT(TbReceitas[[#This Row],[data_transacao]], "aaaa-mm")</f>
        <v>2025-12</v>
      </c>
    </row>
    <row r="845" spans="1:8">
      <c r="A845">
        <v>844</v>
      </c>
      <c r="B845" s="1">
        <v>45887</v>
      </c>
      <c r="C845" t="s">
        <v>769</v>
      </c>
      <c r="D845" t="s">
        <v>67</v>
      </c>
      <c r="E845">
        <v>2</v>
      </c>
      <c r="F845">
        <v>13019</v>
      </c>
      <c r="G845">
        <f>TbReceitas[[#This Row],[quantidade]]*TbReceitas[[#This Row],[preco_unitario]]</f>
        <v>26038</v>
      </c>
      <c r="H845" t="str">
        <f>TEXT(TbReceitas[[#This Row],[data_transacao]], "aaaa-mm")</f>
        <v>2025-08</v>
      </c>
    </row>
    <row r="846" spans="1:8">
      <c r="A846">
        <v>845</v>
      </c>
      <c r="B846" s="1">
        <v>46024</v>
      </c>
      <c r="C846" t="s">
        <v>1322</v>
      </c>
      <c r="D846" t="s">
        <v>668</v>
      </c>
      <c r="E846">
        <v>5</v>
      </c>
      <c r="F846">
        <v>11769</v>
      </c>
      <c r="G846">
        <f>TbReceitas[[#This Row],[quantidade]]*TbReceitas[[#This Row],[preco_unitario]]</f>
        <v>58845</v>
      </c>
      <c r="H846" t="str">
        <f>TEXT(TbReceitas[[#This Row],[data_transacao]], "aaaa-mm")</f>
        <v>2026-01</v>
      </c>
    </row>
    <row r="847" spans="1:8">
      <c r="A847">
        <v>846</v>
      </c>
      <c r="B847" s="1">
        <v>45896</v>
      </c>
      <c r="C847" t="s">
        <v>1008</v>
      </c>
      <c r="D847" t="s">
        <v>98</v>
      </c>
      <c r="E847">
        <v>3</v>
      </c>
      <c r="F847">
        <v>10903</v>
      </c>
      <c r="G847">
        <f>TbReceitas[[#This Row],[quantidade]]*TbReceitas[[#This Row],[preco_unitario]]</f>
        <v>32709</v>
      </c>
      <c r="H847" t="str">
        <f>TEXT(TbReceitas[[#This Row],[data_transacao]], "aaaa-mm")</f>
        <v>2025-08</v>
      </c>
    </row>
    <row r="848" spans="1:8">
      <c r="A848">
        <v>847</v>
      </c>
      <c r="B848" s="1">
        <v>45938</v>
      </c>
      <c r="C848" t="s">
        <v>1169</v>
      </c>
      <c r="D848" t="s">
        <v>415</v>
      </c>
      <c r="E848">
        <v>5</v>
      </c>
      <c r="F848">
        <v>19318</v>
      </c>
      <c r="G848">
        <f>TbReceitas[[#This Row],[quantidade]]*TbReceitas[[#This Row],[preco_unitario]]</f>
        <v>96590</v>
      </c>
      <c r="H848" t="str">
        <f>TEXT(TbReceitas[[#This Row],[data_transacao]], "aaaa-mm")</f>
        <v>2025-10</v>
      </c>
    </row>
    <row r="849" spans="1:8">
      <c r="A849">
        <v>848</v>
      </c>
      <c r="B849" s="1">
        <v>45862</v>
      </c>
      <c r="C849" t="s">
        <v>1278</v>
      </c>
      <c r="D849" t="s">
        <v>416</v>
      </c>
      <c r="E849">
        <v>5</v>
      </c>
      <c r="F849">
        <v>2143</v>
      </c>
      <c r="G849">
        <f>TbReceitas[[#This Row],[quantidade]]*TbReceitas[[#This Row],[preco_unitario]]</f>
        <v>10715</v>
      </c>
      <c r="H849" t="str">
        <f>TEXT(TbReceitas[[#This Row],[data_transacao]], "aaaa-mm")</f>
        <v>2025-07</v>
      </c>
    </row>
    <row r="850" spans="1:8">
      <c r="A850">
        <v>849</v>
      </c>
      <c r="B850" s="1">
        <v>45920</v>
      </c>
      <c r="C850" t="s">
        <v>1146</v>
      </c>
      <c r="D850" t="s">
        <v>376</v>
      </c>
      <c r="E850">
        <v>5</v>
      </c>
      <c r="F850">
        <v>23922</v>
      </c>
      <c r="G850">
        <f>TbReceitas[[#This Row],[quantidade]]*TbReceitas[[#This Row],[preco_unitario]]</f>
        <v>119610</v>
      </c>
      <c r="H850" t="str">
        <f>TEXT(TbReceitas[[#This Row],[data_transacao]], "aaaa-mm")</f>
        <v>2025-09</v>
      </c>
    </row>
    <row r="851" spans="1:8">
      <c r="A851">
        <v>850</v>
      </c>
      <c r="B851" s="1">
        <v>45556</v>
      </c>
      <c r="C851" t="s">
        <v>1225</v>
      </c>
      <c r="D851" t="s">
        <v>89</v>
      </c>
      <c r="E851">
        <v>4</v>
      </c>
      <c r="F851">
        <v>2978</v>
      </c>
      <c r="G851">
        <f>TbReceitas[[#This Row],[quantidade]]*TbReceitas[[#This Row],[preco_unitario]]</f>
        <v>11912</v>
      </c>
      <c r="H851" t="str">
        <f>TEXT(TbReceitas[[#This Row],[data_transacao]], "aaaa-mm")</f>
        <v>2024-09</v>
      </c>
    </row>
    <row r="852" spans="1:8">
      <c r="A852">
        <v>851</v>
      </c>
      <c r="B852" s="1">
        <v>45610</v>
      </c>
      <c r="C852" t="s">
        <v>1323</v>
      </c>
      <c r="D852" t="s">
        <v>249</v>
      </c>
      <c r="E852">
        <v>4</v>
      </c>
      <c r="F852">
        <v>12387</v>
      </c>
      <c r="G852">
        <f>TbReceitas[[#This Row],[quantidade]]*TbReceitas[[#This Row],[preco_unitario]]</f>
        <v>49548</v>
      </c>
      <c r="H852" t="str">
        <f>TEXT(TbReceitas[[#This Row],[data_transacao]], "aaaa-mm")</f>
        <v>2024-11</v>
      </c>
    </row>
    <row r="853" spans="1:8">
      <c r="A853">
        <v>852</v>
      </c>
      <c r="B853" s="1">
        <v>45686</v>
      </c>
      <c r="C853" t="s">
        <v>856</v>
      </c>
      <c r="D853" t="s">
        <v>435</v>
      </c>
      <c r="E853">
        <v>3</v>
      </c>
      <c r="F853">
        <v>7686</v>
      </c>
      <c r="G853">
        <f>TbReceitas[[#This Row],[quantidade]]*TbReceitas[[#This Row],[preco_unitario]]</f>
        <v>23058</v>
      </c>
      <c r="H853" t="str">
        <f>TEXT(TbReceitas[[#This Row],[data_transacao]], "aaaa-mm")</f>
        <v>2025-01</v>
      </c>
    </row>
    <row r="854" spans="1:8">
      <c r="A854">
        <v>853</v>
      </c>
      <c r="B854" s="1">
        <v>45677</v>
      </c>
      <c r="C854" t="s">
        <v>1046</v>
      </c>
      <c r="D854" t="s">
        <v>666</v>
      </c>
      <c r="E854">
        <v>4</v>
      </c>
      <c r="F854">
        <v>17061</v>
      </c>
      <c r="G854">
        <f>TbReceitas[[#This Row],[quantidade]]*TbReceitas[[#This Row],[preco_unitario]]</f>
        <v>68244</v>
      </c>
      <c r="H854" t="str">
        <f>TEXT(TbReceitas[[#This Row],[data_transacao]], "aaaa-mm")</f>
        <v>2025-01</v>
      </c>
    </row>
    <row r="855" spans="1:8">
      <c r="A855">
        <v>854</v>
      </c>
      <c r="B855" s="1">
        <v>46026</v>
      </c>
      <c r="C855" t="s">
        <v>1064</v>
      </c>
      <c r="D855" t="s">
        <v>251</v>
      </c>
      <c r="E855">
        <v>3</v>
      </c>
      <c r="F855">
        <v>4862</v>
      </c>
      <c r="G855">
        <f>TbReceitas[[#This Row],[quantidade]]*TbReceitas[[#This Row],[preco_unitario]]</f>
        <v>14586</v>
      </c>
      <c r="H855" t="str">
        <f>TEXT(TbReceitas[[#This Row],[data_transacao]], "aaaa-mm")</f>
        <v>2026-01</v>
      </c>
    </row>
    <row r="856" spans="1:8">
      <c r="A856">
        <v>855</v>
      </c>
      <c r="B856" s="1">
        <v>45808</v>
      </c>
      <c r="C856" t="s">
        <v>879</v>
      </c>
      <c r="D856" t="s">
        <v>568</v>
      </c>
      <c r="E856">
        <v>1</v>
      </c>
      <c r="F856">
        <v>9027</v>
      </c>
      <c r="G856">
        <f>TbReceitas[[#This Row],[quantidade]]*TbReceitas[[#This Row],[preco_unitario]]</f>
        <v>9027</v>
      </c>
      <c r="H856" t="str">
        <f>TEXT(TbReceitas[[#This Row],[data_transacao]], "aaaa-mm")</f>
        <v>2025-05</v>
      </c>
    </row>
    <row r="857" spans="1:8">
      <c r="A857">
        <v>856</v>
      </c>
      <c r="B857" s="1">
        <v>45978</v>
      </c>
      <c r="C857" t="s">
        <v>1324</v>
      </c>
      <c r="D857" t="s">
        <v>132</v>
      </c>
      <c r="E857">
        <v>3</v>
      </c>
      <c r="F857">
        <v>14526</v>
      </c>
      <c r="G857">
        <f>TbReceitas[[#This Row],[quantidade]]*TbReceitas[[#This Row],[preco_unitario]]</f>
        <v>43578</v>
      </c>
      <c r="H857" t="str">
        <f>TEXT(TbReceitas[[#This Row],[data_transacao]], "aaaa-mm")</f>
        <v>2025-11</v>
      </c>
    </row>
    <row r="858" spans="1:8">
      <c r="A858">
        <v>857</v>
      </c>
      <c r="B858" s="1">
        <v>45855</v>
      </c>
      <c r="C858" t="s">
        <v>1325</v>
      </c>
      <c r="D858" t="s">
        <v>92</v>
      </c>
      <c r="E858">
        <v>4</v>
      </c>
      <c r="F858">
        <v>10021</v>
      </c>
      <c r="G858">
        <f>TbReceitas[[#This Row],[quantidade]]*TbReceitas[[#This Row],[preco_unitario]]</f>
        <v>40084</v>
      </c>
      <c r="H858" t="str">
        <f>TEXT(TbReceitas[[#This Row],[data_transacao]], "aaaa-mm")</f>
        <v>2025-07</v>
      </c>
    </row>
    <row r="859" spans="1:8">
      <c r="A859">
        <v>858</v>
      </c>
      <c r="B859" s="1">
        <v>46166</v>
      </c>
      <c r="C859" t="s">
        <v>1287</v>
      </c>
      <c r="D859" t="s">
        <v>201</v>
      </c>
      <c r="E859">
        <v>3</v>
      </c>
      <c r="F859">
        <v>22649</v>
      </c>
      <c r="G859">
        <f>TbReceitas[[#This Row],[quantidade]]*TbReceitas[[#This Row],[preco_unitario]]</f>
        <v>67947</v>
      </c>
      <c r="H859" t="str">
        <f>TEXT(TbReceitas[[#This Row],[data_transacao]], "aaaa-mm")</f>
        <v>2026-05</v>
      </c>
    </row>
    <row r="860" spans="1:8">
      <c r="A860">
        <v>859</v>
      </c>
      <c r="B860" s="1">
        <v>46100</v>
      </c>
      <c r="C860" t="s">
        <v>981</v>
      </c>
      <c r="D860" t="s">
        <v>295</v>
      </c>
      <c r="E860">
        <v>3</v>
      </c>
      <c r="F860">
        <v>15397</v>
      </c>
      <c r="G860">
        <f>TbReceitas[[#This Row],[quantidade]]*TbReceitas[[#This Row],[preco_unitario]]</f>
        <v>46191</v>
      </c>
      <c r="H860" t="str">
        <f>TEXT(TbReceitas[[#This Row],[data_transacao]], "aaaa-mm")</f>
        <v>2026-03</v>
      </c>
    </row>
    <row r="861" spans="1:8">
      <c r="A861">
        <v>860</v>
      </c>
      <c r="B861" s="1">
        <v>46155</v>
      </c>
      <c r="C861" t="s">
        <v>1078</v>
      </c>
      <c r="D861" t="s">
        <v>362</v>
      </c>
      <c r="E861">
        <v>5</v>
      </c>
      <c r="F861">
        <v>19722</v>
      </c>
      <c r="G861">
        <f>TbReceitas[[#This Row],[quantidade]]*TbReceitas[[#This Row],[preco_unitario]]</f>
        <v>98610</v>
      </c>
      <c r="H861" t="str">
        <f>TEXT(TbReceitas[[#This Row],[data_transacao]], "aaaa-mm")</f>
        <v>2026-05</v>
      </c>
    </row>
    <row r="862" spans="1:8">
      <c r="A862">
        <v>861</v>
      </c>
      <c r="B862" s="1">
        <v>45679</v>
      </c>
      <c r="C862" t="s">
        <v>1183</v>
      </c>
      <c r="D862" t="s">
        <v>617</v>
      </c>
      <c r="E862">
        <v>5</v>
      </c>
      <c r="F862">
        <v>13357</v>
      </c>
      <c r="G862">
        <f>TbReceitas[[#This Row],[quantidade]]*TbReceitas[[#This Row],[preco_unitario]]</f>
        <v>66785</v>
      </c>
      <c r="H862" t="str">
        <f>TEXT(TbReceitas[[#This Row],[data_transacao]], "aaaa-mm")</f>
        <v>2025-01</v>
      </c>
    </row>
    <row r="863" spans="1:8">
      <c r="A863">
        <v>862</v>
      </c>
      <c r="B863" s="1">
        <v>45953</v>
      </c>
      <c r="C863" t="s">
        <v>1326</v>
      </c>
      <c r="D863" t="s">
        <v>341</v>
      </c>
      <c r="E863">
        <v>5</v>
      </c>
      <c r="F863">
        <v>11665</v>
      </c>
      <c r="G863">
        <f>TbReceitas[[#This Row],[quantidade]]*TbReceitas[[#This Row],[preco_unitario]]</f>
        <v>58325</v>
      </c>
      <c r="H863" t="str">
        <f>TEXT(TbReceitas[[#This Row],[data_transacao]], "aaaa-mm")</f>
        <v>2025-10</v>
      </c>
    </row>
    <row r="864" spans="1:8">
      <c r="A864">
        <v>863</v>
      </c>
      <c r="B864" s="1">
        <v>45642</v>
      </c>
      <c r="C864" t="s">
        <v>1327</v>
      </c>
      <c r="D864" t="s">
        <v>158</v>
      </c>
      <c r="E864">
        <v>2</v>
      </c>
      <c r="F864">
        <v>2383</v>
      </c>
      <c r="G864">
        <f>TbReceitas[[#This Row],[quantidade]]*TbReceitas[[#This Row],[preco_unitario]]</f>
        <v>4766</v>
      </c>
      <c r="H864" t="str">
        <f>TEXT(TbReceitas[[#This Row],[data_transacao]], "aaaa-mm")</f>
        <v>2024-12</v>
      </c>
    </row>
    <row r="865" spans="1:8">
      <c r="A865">
        <v>864</v>
      </c>
      <c r="B865" s="1">
        <v>45552</v>
      </c>
      <c r="C865" t="s">
        <v>1328</v>
      </c>
      <c r="D865" t="s">
        <v>35</v>
      </c>
      <c r="E865">
        <v>3</v>
      </c>
      <c r="F865">
        <v>132</v>
      </c>
      <c r="G865">
        <f>TbReceitas[[#This Row],[quantidade]]*TbReceitas[[#This Row],[preco_unitario]]</f>
        <v>396</v>
      </c>
      <c r="H865" t="str">
        <f>TEXT(TbReceitas[[#This Row],[data_transacao]], "aaaa-mm")</f>
        <v>2024-09</v>
      </c>
    </row>
    <row r="866" spans="1:8">
      <c r="A866">
        <v>865</v>
      </c>
      <c r="B866" s="1">
        <v>45593</v>
      </c>
      <c r="C866" t="s">
        <v>928</v>
      </c>
      <c r="D866" t="s">
        <v>122</v>
      </c>
      <c r="E866">
        <v>3</v>
      </c>
      <c r="F866">
        <v>2704</v>
      </c>
      <c r="G866">
        <f>TbReceitas[[#This Row],[quantidade]]*TbReceitas[[#This Row],[preco_unitario]]</f>
        <v>8112</v>
      </c>
      <c r="H866" t="str">
        <f>TEXT(TbReceitas[[#This Row],[data_transacao]], "aaaa-mm")</f>
        <v>2024-10</v>
      </c>
    </row>
    <row r="867" spans="1:8">
      <c r="A867">
        <v>866</v>
      </c>
      <c r="B867" s="1">
        <v>45601</v>
      </c>
      <c r="C867" t="s">
        <v>1329</v>
      </c>
      <c r="D867" t="s">
        <v>400</v>
      </c>
      <c r="E867">
        <v>4</v>
      </c>
      <c r="F867">
        <v>1186</v>
      </c>
      <c r="G867">
        <f>TbReceitas[[#This Row],[quantidade]]*TbReceitas[[#This Row],[preco_unitario]]</f>
        <v>4744</v>
      </c>
      <c r="H867" t="str">
        <f>TEXT(TbReceitas[[#This Row],[data_transacao]], "aaaa-mm")</f>
        <v>2024-11</v>
      </c>
    </row>
    <row r="868" spans="1:8">
      <c r="A868">
        <v>867</v>
      </c>
      <c r="B868" s="1">
        <v>45984</v>
      </c>
      <c r="C868" t="s">
        <v>1330</v>
      </c>
      <c r="D868" t="s">
        <v>545</v>
      </c>
      <c r="E868">
        <v>3</v>
      </c>
      <c r="F868">
        <v>8394</v>
      </c>
      <c r="G868">
        <f>TbReceitas[[#This Row],[quantidade]]*TbReceitas[[#This Row],[preco_unitario]]</f>
        <v>25182</v>
      </c>
      <c r="H868" t="str">
        <f>TEXT(TbReceitas[[#This Row],[data_transacao]], "aaaa-mm")</f>
        <v>2025-11</v>
      </c>
    </row>
    <row r="869" spans="1:8">
      <c r="A869">
        <v>868</v>
      </c>
      <c r="B869" s="1">
        <v>45754</v>
      </c>
      <c r="C869" t="s">
        <v>1180</v>
      </c>
      <c r="D869" t="s">
        <v>453</v>
      </c>
      <c r="E869">
        <v>1</v>
      </c>
      <c r="F869">
        <v>8033</v>
      </c>
      <c r="G869">
        <f>TbReceitas[[#This Row],[quantidade]]*TbReceitas[[#This Row],[preco_unitario]]</f>
        <v>8033</v>
      </c>
      <c r="H869" t="str">
        <f>TEXT(TbReceitas[[#This Row],[data_transacao]], "aaaa-mm")</f>
        <v>2025-04</v>
      </c>
    </row>
    <row r="870" spans="1:8">
      <c r="A870">
        <v>869</v>
      </c>
      <c r="B870" s="1">
        <v>45718</v>
      </c>
      <c r="C870" t="s">
        <v>1331</v>
      </c>
      <c r="D870" t="s">
        <v>1313</v>
      </c>
      <c r="E870">
        <v>4</v>
      </c>
      <c r="F870">
        <v>4935</v>
      </c>
      <c r="G870">
        <f>TbReceitas[[#This Row],[quantidade]]*TbReceitas[[#This Row],[preco_unitario]]</f>
        <v>19740</v>
      </c>
      <c r="H870" t="str">
        <f>TEXT(TbReceitas[[#This Row],[data_transacao]], "aaaa-mm")</f>
        <v>2025-03</v>
      </c>
    </row>
    <row r="871" spans="1:8">
      <c r="A871">
        <v>870</v>
      </c>
      <c r="B871" s="1">
        <v>46105</v>
      </c>
      <c r="C871" t="s">
        <v>1239</v>
      </c>
      <c r="D871" t="s">
        <v>20</v>
      </c>
      <c r="E871">
        <v>5</v>
      </c>
      <c r="F871">
        <v>5319</v>
      </c>
      <c r="G871">
        <f>TbReceitas[[#This Row],[quantidade]]*TbReceitas[[#This Row],[preco_unitario]]</f>
        <v>26595</v>
      </c>
      <c r="H871" t="str">
        <f>TEXT(TbReceitas[[#This Row],[data_transacao]], "aaaa-mm")</f>
        <v>2026-03</v>
      </c>
    </row>
    <row r="872" spans="1:8">
      <c r="A872">
        <v>871</v>
      </c>
      <c r="B872" s="1">
        <v>45761</v>
      </c>
      <c r="C872" t="s">
        <v>1306</v>
      </c>
      <c r="D872" t="s">
        <v>397</v>
      </c>
      <c r="E872">
        <v>3</v>
      </c>
      <c r="F872">
        <v>10959</v>
      </c>
      <c r="G872">
        <f>TbReceitas[[#This Row],[quantidade]]*TbReceitas[[#This Row],[preco_unitario]]</f>
        <v>32877</v>
      </c>
      <c r="H872" t="str">
        <f>TEXT(TbReceitas[[#This Row],[data_transacao]], "aaaa-mm")</f>
        <v>2025-04</v>
      </c>
    </row>
    <row r="873" spans="1:8">
      <c r="A873">
        <v>872</v>
      </c>
      <c r="B873" s="1">
        <v>45704</v>
      </c>
      <c r="C873" t="s">
        <v>1053</v>
      </c>
      <c r="D873" t="s">
        <v>316</v>
      </c>
      <c r="E873">
        <v>5</v>
      </c>
      <c r="F873">
        <v>4372</v>
      </c>
      <c r="G873">
        <f>TbReceitas[[#This Row],[quantidade]]*TbReceitas[[#This Row],[preco_unitario]]</f>
        <v>21860</v>
      </c>
      <c r="H873" t="str">
        <f>TEXT(TbReceitas[[#This Row],[data_transacao]], "aaaa-mm")</f>
        <v>2025-02</v>
      </c>
    </row>
    <row r="874" spans="1:8">
      <c r="A874">
        <v>873</v>
      </c>
      <c r="B874" s="1">
        <v>45654</v>
      </c>
      <c r="C874" t="s">
        <v>843</v>
      </c>
      <c r="D874" t="s">
        <v>413</v>
      </c>
      <c r="E874">
        <v>5</v>
      </c>
      <c r="F874">
        <v>738</v>
      </c>
      <c r="G874">
        <f>TbReceitas[[#This Row],[quantidade]]*TbReceitas[[#This Row],[preco_unitario]]</f>
        <v>3690</v>
      </c>
      <c r="H874" t="str">
        <f>TEXT(TbReceitas[[#This Row],[data_transacao]], "aaaa-mm")</f>
        <v>2024-12</v>
      </c>
    </row>
    <row r="875" spans="1:8">
      <c r="A875">
        <v>874</v>
      </c>
      <c r="B875" s="1">
        <v>46220</v>
      </c>
      <c r="C875" t="s">
        <v>766</v>
      </c>
      <c r="D875" t="s">
        <v>475</v>
      </c>
      <c r="E875">
        <v>3</v>
      </c>
      <c r="F875">
        <v>22017</v>
      </c>
      <c r="G875">
        <f>TbReceitas[[#This Row],[quantidade]]*TbReceitas[[#This Row],[preco_unitario]]</f>
        <v>66051</v>
      </c>
      <c r="H875" t="str">
        <f>TEXT(TbReceitas[[#This Row],[data_transacao]], "aaaa-mm")</f>
        <v>2026-07</v>
      </c>
    </row>
    <row r="876" spans="1:8">
      <c r="A876">
        <v>875</v>
      </c>
      <c r="B876" s="1">
        <v>46253</v>
      </c>
      <c r="C876" t="s">
        <v>1060</v>
      </c>
      <c r="D876" t="s">
        <v>548</v>
      </c>
      <c r="E876">
        <v>4</v>
      </c>
      <c r="F876">
        <v>12414</v>
      </c>
      <c r="G876">
        <f>TbReceitas[[#This Row],[quantidade]]*TbReceitas[[#This Row],[preco_unitario]]</f>
        <v>49656</v>
      </c>
      <c r="H876" t="str">
        <f>TEXT(TbReceitas[[#This Row],[data_transacao]], "aaaa-mm")</f>
        <v>2026-08</v>
      </c>
    </row>
    <row r="877" spans="1:8">
      <c r="A877">
        <v>876</v>
      </c>
      <c r="B877" s="1">
        <v>45942</v>
      </c>
      <c r="C877" t="s">
        <v>1332</v>
      </c>
      <c r="D877" t="s">
        <v>703</v>
      </c>
      <c r="E877">
        <v>3</v>
      </c>
      <c r="F877">
        <v>5102</v>
      </c>
      <c r="G877">
        <f>TbReceitas[[#This Row],[quantidade]]*TbReceitas[[#This Row],[preco_unitario]]</f>
        <v>15306</v>
      </c>
      <c r="H877" t="str">
        <f>TEXT(TbReceitas[[#This Row],[data_transacao]], "aaaa-mm")</f>
        <v>2025-10</v>
      </c>
    </row>
    <row r="878" spans="1:8">
      <c r="A878">
        <v>877</v>
      </c>
      <c r="B878" s="1">
        <v>45576</v>
      </c>
      <c r="C878" t="s">
        <v>1136</v>
      </c>
      <c r="D878" t="s">
        <v>76</v>
      </c>
      <c r="E878">
        <v>2</v>
      </c>
      <c r="F878">
        <v>23998</v>
      </c>
      <c r="G878">
        <f>TbReceitas[[#This Row],[quantidade]]*TbReceitas[[#This Row],[preco_unitario]]</f>
        <v>47996</v>
      </c>
      <c r="H878" t="str">
        <f>TEXT(TbReceitas[[#This Row],[data_transacao]], "aaaa-mm")</f>
        <v>2024-10</v>
      </c>
    </row>
    <row r="879" spans="1:8">
      <c r="A879">
        <v>878</v>
      </c>
      <c r="B879" s="1">
        <v>46075</v>
      </c>
      <c r="C879" t="s">
        <v>1333</v>
      </c>
      <c r="D879" t="s">
        <v>547</v>
      </c>
      <c r="E879">
        <v>1</v>
      </c>
      <c r="F879">
        <v>1201</v>
      </c>
      <c r="G879">
        <f>TbReceitas[[#This Row],[quantidade]]*TbReceitas[[#This Row],[preco_unitario]]</f>
        <v>1201</v>
      </c>
      <c r="H879" t="str">
        <f>TEXT(TbReceitas[[#This Row],[data_transacao]], "aaaa-mm")</f>
        <v>2026-02</v>
      </c>
    </row>
    <row r="880" spans="1:8">
      <c r="A880">
        <v>879</v>
      </c>
      <c r="B880" s="1">
        <v>45649</v>
      </c>
      <c r="C880" t="s">
        <v>1334</v>
      </c>
      <c r="D880" t="s">
        <v>359</v>
      </c>
      <c r="E880">
        <v>5</v>
      </c>
      <c r="F880">
        <v>18617</v>
      </c>
      <c r="G880">
        <f>TbReceitas[[#This Row],[quantidade]]*TbReceitas[[#This Row],[preco_unitario]]</f>
        <v>93085</v>
      </c>
      <c r="H880" t="str">
        <f>TEXT(TbReceitas[[#This Row],[data_transacao]], "aaaa-mm")</f>
        <v>2024-12</v>
      </c>
    </row>
    <row r="881" spans="1:8">
      <c r="A881">
        <v>880</v>
      </c>
      <c r="B881" s="1">
        <v>45798</v>
      </c>
      <c r="C881" t="s">
        <v>1335</v>
      </c>
      <c r="D881" t="s">
        <v>196</v>
      </c>
      <c r="E881">
        <v>4</v>
      </c>
      <c r="F881">
        <v>8167</v>
      </c>
      <c r="G881">
        <f>TbReceitas[[#This Row],[quantidade]]*TbReceitas[[#This Row],[preco_unitario]]</f>
        <v>32668</v>
      </c>
      <c r="H881" t="str">
        <f>TEXT(TbReceitas[[#This Row],[data_transacao]], "aaaa-mm")</f>
        <v>2025-05</v>
      </c>
    </row>
    <row r="882" spans="1:8">
      <c r="A882">
        <v>881</v>
      </c>
      <c r="B882" s="1">
        <v>46083</v>
      </c>
      <c r="C882" t="s">
        <v>1336</v>
      </c>
      <c r="D882" t="s">
        <v>566</v>
      </c>
      <c r="E882">
        <v>3</v>
      </c>
      <c r="F882">
        <v>23772</v>
      </c>
      <c r="G882">
        <f>TbReceitas[[#This Row],[quantidade]]*TbReceitas[[#This Row],[preco_unitario]]</f>
        <v>71316</v>
      </c>
      <c r="H882" t="str">
        <f>TEXT(TbReceitas[[#This Row],[data_transacao]], "aaaa-mm")</f>
        <v>2026-03</v>
      </c>
    </row>
    <row r="883" spans="1:8">
      <c r="A883">
        <v>882</v>
      </c>
      <c r="B883" s="1">
        <v>45998</v>
      </c>
      <c r="C883" t="s">
        <v>1203</v>
      </c>
      <c r="D883" t="s">
        <v>598</v>
      </c>
      <c r="E883">
        <v>4</v>
      </c>
      <c r="F883">
        <v>17325</v>
      </c>
      <c r="G883">
        <f>TbReceitas[[#This Row],[quantidade]]*TbReceitas[[#This Row],[preco_unitario]]</f>
        <v>69300</v>
      </c>
      <c r="H883" t="str">
        <f>TEXT(TbReceitas[[#This Row],[data_transacao]], "aaaa-mm")</f>
        <v>2025-12</v>
      </c>
    </row>
    <row r="884" spans="1:8">
      <c r="A884">
        <v>883</v>
      </c>
      <c r="B884" s="1">
        <v>45806</v>
      </c>
      <c r="C884" t="s">
        <v>1337</v>
      </c>
      <c r="D884" t="s">
        <v>21</v>
      </c>
      <c r="E884">
        <v>3</v>
      </c>
      <c r="F884">
        <v>12746</v>
      </c>
      <c r="G884">
        <f>TbReceitas[[#This Row],[quantidade]]*TbReceitas[[#This Row],[preco_unitario]]</f>
        <v>38238</v>
      </c>
      <c r="H884" t="str">
        <f>TEXT(TbReceitas[[#This Row],[data_transacao]], "aaaa-mm")</f>
        <v>2025-05</v>
      </c>
    </row>
    <row r="885" spans="1:8">
      <c r="A885">
        <v>884</v>
      </c>
      <c r="B885" s="1">
        <v>45907</v>
      </c>
      <c r="C885" t="s">
        <v>1272</v>
      </c>
      <c r="D885" t="s">
        <v>201</v>
      </c>
      <c r="E885">
        <v>2</v>
      </c>
      <c r="F885">
        <v>22649</v>
      </c>
      <c r="G885">
        <f>TbReceitas[[#This Row],[quantidade]]*TbReceitas[[#This Row],[preco_unitario]]</f>
        <v>45298</v>
      </c>
      <c r="H885" t="str">
        <f>TEXT(TbReceitas[[#This Row],[data_transacao]], "aaaa-mm")</f>
        <v>2025-09</v>
      </c>
    </row>
    <row r="886" spans="1:8">
      <c r="A886">
        <v>885</v>
      </c>
      <c r="B886" s="1">
        <v>46102</v>
      </c>
      <c r="C886" t="s">
        <v>1338</v>
      </c>
      <c r="D886" t="s">
        <v>25</v>
      </c>
      <c r="E886">
        <v>5</v>
      </c>
      <c r="F886">
        <v>15908</v>
      </c>
      <c r="G886">
        <f>TbReceitas[[#This Row],[quantidade]]*TbReceitas[[#This Row],[preco_unitario]]</f>
        <v>79540</v>
      </c>
      <c r="H886" t="str">
        <f>TEXT(TbReceitas[[#This Row],[data_transacao]], "aaaa-mm")</f>
        <v>2026-03</v>
      </c>
    </row>
    <row r="887" spans="1:8">
      <c r="A887">
        <v>886</v>
      </c>
      <c r="B887" s="1">
        <v>45565</v>
      </c>
      <c r="C887" t="s">
        <v>850</v>
      </c>
      <c r="D887" t="s">
        <v>1339</v>
      </c>
      <c r="E887">
        <v>2</v>
      </c>
      <c r="F887">
        <v>1729</v>
      </c>
      <c r="G887">
        <f>TbReceitas[[#This Row],[quantidade]]*TbReceitas[[#This Row],[preco_unitario]]</f>
        <v>3458</v>
      </c>
      <c r="H887" t="str">
        <f>TEXT(TbReceitas[[#This Row],[data_transacao]], "aaaa-mm")</f>
        <v>2024-09</v>
      </c>
    </row>
    <row r="888" spans="1:8">
      <c r="A888">
        <v>887</v>
      </c>
      <c r="B888" s="1">
        <v>46193</v>
      </c>
      <c r="C888" t="s">
        <v>911</v>
      </c>
      <c r="D888" t="s">
        <v>193</v>
      </c>
      <c r="E888">
        <v>2</v>
      </c>
      <c r="F888">
        <v>6592</v>
      </c>
      <c r="G888">
        <f>TbReceitas[[#This Row],[quantidade]]*TbReceitas[[#This Row],[preco_unitario]]</f>
        <v>13184</v>
      </c>
      <c r="H888" t="str">
        <f>TEXT(TbReceitas[[#This Row],[data_transacao]], "aaaa-mm")</f>
        <v>2026-06</v>
      </c>
    </row>
    <row r="889" spans="1:8">
      <c r="A889">
        <v>888</v>
      </c>
      <c r="B889" s="1">
        <v>45742</v>
      </c>
      <c r="C889" t="s">
        <v>1196</v>
      </c>
      <c r="D889" t="s">
        <v>496</v>
      </c>
      <c r="E889">
        <v>5</v>
      </c>
      <c r="F889">
        <v>2496</v>
      </c>
      <c r="G889">
        <f>TbReceitas[[#This Row],[quantidade]]*TbReceitas[[#This Row],[preco_unitario]]</f>
        <v>12480</v>
      </c>
      <c r="H889" t="str">
        <f>TEXT(TbReceitas[[#This Row],[data_transacao]], "aaaa-mm")</f>
        <v>2025-03</v>
      </c>
    </row>
    <row r="890" spans="1:8">
      <c r="A890">
        <v>889</v>
      </c>
      <c r="B890" s="1">
        <v>45792</v>
      </c>
      <c r="C890" t="s">
        <v>906</v>
      </c>
      <c r="D890" t="s">
        <v>276</v>
      </c>
      <c r="E890">
        <v>1</v>
      </c>
      <c r="F890">
        <v>13377</v>
      </c>
      <c r="G890">
        <f>TbReceitas[[#This Row],[quantidade]]*TbReceitas[[#This Row],[preco_unitario]]</f>
        <v>13377</v>
      </c>
      <c r="H890" t="str">
        <f>TEXT(TbReceitas[[#This Row],[data_transacao]], "aaaa-mm")</f>
        <v>2025-05</v>
      </c>
    </row>
    <row r="891" spans="1:8">
      <c r="A891">
        <v>890</v>
      </c>
      <c r="B891" s="1">
        <v>45888</v>
      </c>
      <c r="C891" t="s">
        <v>1340</v>
      </c>
      <c r="D891" t="s">
        <v>412</v>
      </c>
      <c r="E891">
        <v>3</v>
      </c>
      <c r="F891">
        <v>18704</v>
      </c>
      <c r="G891">
        <f>TbReceitas[[#This Row],[quantidade]]*TbReceitas[[#This Row],[preco_unitario]]</f>
        <v>56112</v>
      </c>
      <c r="H891" t="str">
        <f>TEXT(TbReceitas[[#This Row],[data_transacao]], "aaaa-mm")</f>
        <v>2025-08</v>
      </c>
    </row>
    <row r="892" spans="1:8">
      <c r="A892">
        <v>891</v>
      </c>
      <c r="B892" s="1">
        <v>46250</v>
      </c>
      <c r="C892" t="s">
        <v>1341</v>
      </c>
      <c r="D892" t="s">
        <v>283</v>
      </c>
      <c r="E892">
        <v>3</v>
      </c>
      <c r="F892">
        <v>12218</v>
      </c>
      <c r="G892">
        <f>TbReceitas[[#This Row],[quantidade]]*TbReceitas[[#This Row],[preco_unitario]]</f>
        <v>36654</v>
      </c>
      <c r="H892" t="str">
        <f>TEXT(TbReceitas[[#This Row],[data_transacao]], "aaaa-mm")</f>
        <v>2026-08</v>
      </c>
    </row>
    <row r="893" spans="1:8">
      <c r="A893">
        <v>892</v>
      </c>
      <c r="B893" s="1">
        <v>45643</v>
      </c>
      <c r="C893" t="s">
        <v>1114</v>
      </c>
      <c r="D893" t="s">
        <v>497</v>
      </c>
      <c r="E893">
        <v>5</v>
      </c>
      <c r="F893">
        <v>16615</v>
      </c>
      <c r="G893">
        <f>TbReceitas[[#This Row],[quantidade]]*TbReceitas[[#This Row],[preco_unitario]]</f>
        <v>83075</v>
      </c>
      <c r="H893" t="str">
        <f>TEXT(TbReceitas[[#This Row],[data_transacao]], "aaaa-mm")</f>
        <v>2024-12</v>
      </c>
    </row>
    <row r="894" spans="1:8">
      <c r="A894">
        <v>893</v>
      </c>
      <c r="B894" s="1">
        <v>46198</v>
      </c>
      <c r="C894" t="s">
        <v>987</v>
      </c>
      <c r="D894" t="s">
        <v>426</v>
      </c>
      <c r="E894">
        <v>4</v>
      </c>
      <c r="F894">
        <v>155</v>
      </c>
      <c r="G894">
        <f>TbReceitas[[#This Row],[quantidade]]*TbReceitas[[#This Row],[preco_unitario]]</f>
        <v>620</v>
      </c>
      <c r="H894" t="str">
        <f>TEXT(TbReceitas[[#This Row],[data_transacao]], "aaaa-mm")</f>
        <v>2026-06</v>
      </c>
    </row>
    <row r="895" spans="1:8">
      <c r="A895">
        <v>894</v>
      </c>
      <c r="B895" s="1">
        <v>45964</v>
      </c>
      <c r="C895" t="s">
        <v>1342</v>
      </c>
      <c r="D895" t="s">
        <v>57</v>
      </c>
      <c r="E895">
        <v>1</v>
      </c>
      <c r="F895">
        <v>17735</v>
      </c>
      <c r="G895">
        <f>TbReceitas[[#This Row],[quantidade]]*TbReceitas[[#This Row],[preco_unitario]]</f>
        <v>17735</v>
      </c>
      <c r="H895" t="str">
        <f>TEXT(TbReceitas[[#This Row],[data_transacao]], "aaaa-mm")</f>
        <v>2025-11</v>
      </c>
    </row>
    <row r="896" spans="1:8">
      <c r="A896">
        <v>895</v>
      </c>
      <c r="B896" s="1">
        <v>45752</v>
      </c>
      <c r="C896" t="s">
        <v>818</v>
      </c>
      <c r="D896" t="s">
        <v>380</v>
      </c>
      <c r="E896">
        <v>3</v>
      </c>
      <c r="F896">
        <v>18227</v>
      </c>
      <c r="G896">
        <f>TbReceitas[[#This Row],[quantidade]]*TbReceitas[[#This Row],[preco_unitario]]</f>
        <v>54681</v>
      </c>
      <c r="H896" t="str">
        <f>TEXT(TbReceitas[[#This Row],[data_transacao]], "aaaa-mm")</f>
        <v>2025-04</v>
      </c>
    </row>
    <row r="897" spans="1:8">
      <c r="A897">
        <v>896</v>
      </c>
      <c r="B897" s="1">
        <v>45906</v>
      </c>
      <c r="C897" t="s">
        <v>1343</v>
      </c>
      <c r="D897" t="s">
        <v>480</v>
      </c>
      <c r="E897">
        <v>1</v>
      </c>
      <c r="F897">
        <v>1934</v>
      </c>
      <c r="G897">
        <f>TbReceitas[[#This Row],[quantidade]]*TbReceitas[[#This Row],[preco_unitario]]</f>
        <v>1934</v>
      </c>
      <c r="H897" t="str">
        <f>TEXT(TbReceitas[[#This Row],[data_transacao]], "aaaa-mm")</f>
        <v>2025-09</v>
      </c>
    </row>
    <row r="898" spans="1:8">
      <c r="A898">
        <v>897</v>
      </c>
      <c r="B898" s="1">
        <v>45933</v>
      </c>
      <c r="C898" t="s">
        <v>1344</v>
      </c>
      <c r="D898" t="s">
        <v>92</v>
      </c>
      <c r="E898">
        <v>2</v>
      </c>
      <c r="F898">
        <v>10021</v>
      </c>
      <c r="G898">
        <f>TbReceitas[[#This Row],[quantidade]]*TbReceitas[[#This Row],[preco_unitario]]</f>
        <v>20042</v>
      </c>
      <c r="H898" t="str">
        <f>TEXT(TbReceitas[[#This Row],[data_transacao]], "aaaa-mm")</f>
        <v>2025-10</v>
      </c>
    </row>
    <row r="899" spans="1:8">
      <c r="A899">
        <v>898</v>
      </c>
      <c r="B899" s="1">
        <v>46167</v>
      </c>
      <c r="C899" t="s">
        <v>840</v>
      </c>
      <c r="D899" t="s">
        <v>225</v>
      </c>
      <c r="E899">
        <v>1</v>
      </c>
      <c r="F899">
        <v>17354</v>
      </c>
      <c r="G899">
        <f>TbReceitas[[#This Row],[quantidade]]*TbReceitas[[#This Row],[preco_unitario]]</f>
        <v>17354</v>
      </c>
      <c r="H899" t="str">
        <f>TEXT(TbReceitas[[#This Row],[data_transacao]], "aaaa-mm")</f>
        <v>2026-05</v>
      </c>
    </row>
    <row r="900" spans="1:8">
      <c r="A900">
        <v>899</v>
      </c>
      <c r="B900" s="1">
        <v>45638</v>
      </c>
      <c r="C900" t="s">
        <v>879</v>
      </c>
      <c r="D900" t="s">
        <v>57</v>
      </c>
      <c r="E900">
        <v>1</v>
      </c>
      <c r="F900">
        <v>17735</v>
      </c>
      <c r="G900">
        <f>TbReceitas[[#This Row],[quantidade]]*TbReceitas[[#This Row],[preco_unitario]]</f>
        <v>17735</v>
      </c>
      <c r="H900" t="str">
        <f>TEXT(TbReceitas[[#This Row],[data_transacao]], "aaaa-mm")</f>
        <v>2024-12</v>
      </c>
    </row>
    <row r="901" spans="1:8">
      <c r="A901">
        <v>900</v>
      </c>
      <c r="B901" s="1">
        <v>46237</v>
      </c>
      <c r="C901" t="s">
        <v>1345</v>
      </c>
      <c r="D901" t="s">
        <v>411</v>
      </c>
      <c r="E901">
        <v>2</v>
      </c>
      <c r="F901">
        <v>1601</v>
      </c>
      <c r="G901">
        <f>TbReceitas[[#This Row],[quantidade]]*TbReceitas[[#This Row],[preco_unitario]]</f>
        <v>3202</v>
      </c>
      <c r="H901" t="str">
        <f>TEXT(TbReceitas[[#This Row],[data_transacao]], "aaaa-mm")</f>
        <v>2026-08</v>
      </c>
    </row>
    <row r="902" spans="1:8">
      <c r="A902">
        <v>901</v>
      </c>
      <c r="B902" s="1">
        <v>45798</v>
      </c>
      <c r="C902" t="s">
        <v>911</v>
      </c>
      <c r="D902" t="s">
        <v>351</v>
      </c>
      <c r="E902">
        <v>5</v>
      </c>
      <c r="F902">
        <v>15536</v>
      </c>
      <c r="G902">
        <f>TbReceitas[[#This Row],[quantidade]]*TbReceitas[[#This Row],[preco_unitario]]</f>
        <v>77680</v>
      </c>
      <c r="H902" t="str">
        <f>TEXT(TbReceitas[[#This Row],[data_transacao]], "aaaa-mm")</f>
        <v>2025-05</v>
      </c>
    </row>
    <row r="903" spans="1:8">
      <c r="A903">
        <v>902</v>
      </c>
      <c r="B903" s="1">
        <v>45605</v>
      </c>
      <c r="C903" t="s">
        <v>1346</v>
      </c>
      <c r="D903" t="s">
        <v>541</v>
      </c>
      <c r="E903">
        <v>5</v>
      </c>
      <c r="F903">
        <v>734</v>
      </c>
      <c r="G903">
        <f>TbReceitas[[#This Row],[quantidade]]*TbReceitas[[#This Row],[preco_unitario]]</f>
        <v>3670</v>
      </c>
      <c r="H903" t="str">
        <f>TEXT(TbReceitas[[#This Row],[data_transacao]], "aaaa-mm")</f>
        <v>2024-11</v>
      </c>
    </row>
    <row r="904" spans="1:8">
      <c r="A904">
        <v>903</v>
      </c>
      <c r="B904" s="1">
        <v>45690</v>
      </c>
      <c r="C904" t="s">
        <v>1347</v>
      </c>
      <c r="D904" t="s">
        <v>98</v>
      </c>
      <c r="E904">
        <v>4</v>
      </c>
      <c r="F904">
        <v>10903</v>
      </c>
      <c r="G904">
        <f>TbReceitas[[#This Row],[quantidade]]*TbReceitas[[#This Row],[preco_unitario]]</f>
        <v>43612</v>
      </c>
      <c r="H904" t="str">
        <f>TEXT(TbReceitas[[#This Row],[data_transacao]], "aaaa-mm")</f>
        <v>2025-02</v>
      </c>
    </row>
    <row r="905" spans="1:8">
      <c r="A905">
        <v>904</v>
      </c>
      <c r="B905" s="1">
        <v>45991</v>
      </c>
      <c r="C905" t="s">
        <v>1348</v>
      </c>
      <c r="D905" t="s">
        <v>360</v>
      </c>
      <c r="E905">
        <v>2</v>
      </c>
      <c r="F905">
        <v>8663</v>
      </c>
      <c r="G905">
        <f>TbReceitas[[#This Row],[quantidade]]*TbReceitas[[#This Row],[preco_unitario]]</f>
        <v>17326</v>
      </c>
      <c r="H905" t="str">
        <f>TEXT(TbReceitas[[#This Row],[data_transacao]], "aaaa-mm")</f>
        <v>2025-11</v>
      </c>
    </row>
    <row r="906" spans="1:8">
      <c r="A906">
        <v>905</v>
      </c>
      <c r="B906" s="1">
        <v>45887</v>
      </c>
      <c r="C906" t="s">
        <v>1349</v>
      </c>
      <c r="D906" t="s">
        <v>452</v>
      </c>
      <c r="E906">
        <v>1</v>
      </c>
      <c r="F906">
        <v>607</v>
      </c>
      <c r="G906">
        <f>TbReceitas[[#This Row],[quantidade]]*TbReceitas[[#This Row],[preco_unitario]]</f>
        <v>607</v>
      </c>
      <c r="H906" t="str">
        <f>TEXT(TbReceitas[[#This Row],[data_transacao]], "aaaa-mm")</f>
        <v>2025-08</v>
      </c>
    </row>
    <row r="907" spans="1:8">
      <c r="A907">
        <v>906</v>
      </c>
      <c r="B907" s="1">
        <v>45668</v>
      </c>
      <c r="C907" t="s">
        <v>1040</v>
      </c>
      <c r="D907" t="s">
        <v>263</v>
      </c>
      <c r="E907">
        <v>4</v>
      </c>
      <c r="F907">
        <v>18249</v>
      </c>
      <c r="G907">
        <f>TbReceitas[[#This Row],[quantidade]]*TbReceitas[[#This Row],[preco_unitario]]</f>
        <v>72996</v>
      </c>
      <c r="H907" t="str">
        <f>TEXT(TbReceitas[[#This Row],[data_transacao]], "aaaa-mm")</f>
        <v>2025-01</v>
      </c>
    </row>
    <row r="908" spans="1:8">
      <c r="A908">
        <v>907</v>
      </c>
      <c r="B908" s="1">
        <v>45866</v>
      </c>
      <c r="C908" t="s">
        <v>883</v>
      </c>
      <c r="D908" t="s">
        <v>70</v>
      </c>
      <c r="E908">
        <v>1</v>
      </c>
      <c r="F908">
        <v>1198</v>
      </c>
      <c r="G908">
        <f>TbReceitas[[#This Row],[quantidade]]*TbReceitas[[#This Row],[preco_unitario]]</f>
        <v>1198</v>
      </c>
      <c r="H908" t="str">
        <f>TEXT(TbReceitas[[#This Row],[data_transacao]], "aaaa-mm")</f>
        <v>2025-07</v>
      </c>
    </row>
    <row r="909" spans="1:8">
      <c r="A909">
        <v>908</v>
      </c>
      <c r="B909" s="1">
        <v>45900</v>
      </c>
      <c r="C909" t="s">
        <v>1179</v>
      </c>
      <c r="D909" t="s">
        <v>385</v>
      </c>
      <c r="E909">
        <v>1</v>
      </c>
      <c r="F909">
        <v>10607</v>
      </c>
      <c r="G909">
        <f>TbReceitas[[#This Row],[quantidade]]*TbReceitas[[#This Row],[preco_unitario]]</f>
        <v>10607</v>
      </c>
      <c r="H909" t="str">
        <f>TEXT(TbReceitas[[#This Row],[data_transacao]], "aaaa-mm")</f>
        <v>2025-08</v>
      </c>
    </row>
    <row r="910" spans="1:8">
      <c r="A910">
        <v>909</v>
      </c>
      <c r="B910" s="1">
        <v>46256</v>
      </c>
      <c r="C910" t="s">
        <v>1350</v>
      </c>
      <c r="D910" t="s">
        <v>632</v>
      </c>
      <c r="E910">
        <v>2</v>
      </c>
      <c r="F910">
        <v>6667</v>
      </c>
      <c r="G910">
        <f>TbReceitas[[#This Row],[quantidade]]*TbReceitas[[#This Row],[preco_unitario]]</f>
        <v>13334</v>
      </c>
      <c r="H910" t="str">
        <f>TEXT(TbReceitas[[#This Row],[data_transacao]], "aaaa-mm")</f>
        <v>2026-08</v>
      </c>
    </row>
    <row r="911" spans="1:8">
      <c r="A911">
        <v>910</v>
      </c>
      <c r="B911" s="1">
        <v>46079</v>
      </c>
      <c r="C911" t="s">
        <v>1351</v>
      </c>
      <c r="D911" t="s">
        <v>614</v>
      </c>
      <c r="E911">
        <v>1</v>
      </c>
      <c r="F911">
        <v>24548</v>
      </c>
      <c r="G911">
        <f>TbReceitas[[#This Row],[quantidade]]*TbReceitas[[#This Row],[preco_unitario]]</f>
        <v>24548</v>
      </c>
      <c r="H911" t="str">
        <f>TEXT(TbReceitas[[#This Row],[data_transacao]], "aaaa-mm")</f>
        <v>2026-02</v>
      </c>
    </row>
    <row r="912" spans="1:8">
      <c r="A912">
        <v>911</v>
      </c>
      <c r="B912" s="1">
        <v>46131</v>
      </c>
      <c r="C912" t="s">
        <v>1352</v>
      </c>
      <c r="D912" t="s">
        <v>14</v>
      </c>
      <c r="E912">
        <v>1</v>
      </c>
      <c r="F912">
        <v>11529</v>
      </c>
      <c r="G912">
        <f>TbReceitas[[#This Row],[quantidade]]*TbReceitas[[#This Row],[preco_unitario]]</f>
        <v>11529</v>
      </c>
      <c r="H912" t="str">
        <f>TEXT(TbReceitas[[#This Row],[data_transacao]], "aaaa-mm")</f>
        <v>2026-04</v>
      </c>
    </row>
    <row r="913" spans="1:8">
      <c r="A913">
        <v>912</v>
      </c>
      <c r="B913" s="1">
        <v>45745</v>
      </c>
      <c r="C913" t="s">
        <v>1353</v>
      </c>
      <c r="D913" t="s">
        <v>649</v>
      </c>
      <c r="E913">
        <v>2</v>
      </c>
      <c r="F913">
        <v>22268</v>
      </c>
      <c r="G913">
        <f>TbReceitas[[#This Row],[quantidade]]*TbReceitas[[#This Row],[preco_unitario]]</f>
        <v>44536</v>
      </c>
      <c r="H913" t="str">
        <f>TEXT(TbReceitas[[#This Row],[data_transacao]], "aaaa-mm")</f>
        <v>2025-03</v>
      </c>
    </row>
    <row r="914" spans="1:8">
      <c r="A914">
        <v>913</v>
      </c>
      <c r="B914" s="1">
        <v>45898</v>
      </c>
      <c r="C914" t="s">
        <v>1191</v>
      </c>
      <c r="D914" t="s">
        <v>697</v>
      </c>
      <c r="E914">
        <v>5</v>
      </c>
      <c r="F914">
        <v>24199</v>
      </c>
      <c r="G914">
        <f>TbReceitas[[#This Row],[quantidade]]*TbReceitas[[#This Row],[preco_unitario]]</f>
        <v>120995</v>
      </c>
      <c r="H914" t="str">
        <f>TEXT(TbReceitas[[#This Row],[data_transacao]], "aaaa-mm")</f>
        <v>2025-08</v>
      </c>
    </row>
    <row r="915" spans="1:8">
      <c r="A915">
        <v>914</v>
      </c>
      <c r="B915" s="1">
        <v>46252</v>
      </c>
      <c r="C915" t="s">
        <v>1354</v>
      </c>
      <c r="D915" t="s">
        <v>334</v>
      </c>
      <c r="E915">
        <v>5</v>
      </c>
      <c r="F915">
        <v>20877</v>
      </c>
      <c r="G915">
        <f>TbReceitas[[#This Row],[quantidade]]*TbReceitas[[#This Row],[preco_unitario]]</f>
        <v>104385</v>
      </c>
      <c r="H915" t="str">
        <f>TEXT(TbReceitas[[#This Row],[data_transacao]], "aaaa-mm")</f>
        <v>2026-08</v>
      </c>
    </row>
    <row r="916" spans="1:8">
      <c r="A916">
        <v>915</v>
      </c>
      <c r="B916" s="1">
        <v>45817</v>
      </c>
      <c r="C916" t="s">
        <v>1355</v>
      </c>
      <c r="D916" t="s">
        <v>1356</v>
      </c>
      <c r="E916">
        <v>2</v>
      </c>
      <c r="F916">
        <v>4139</v>
      </c>
      <c r="G916">
        <f>TbReceitas[[#This Row],[quantidade]]*TbReceitas[[#This Row],[preco_unitario]]</f>
        <v>8278</v>
      </c>
      <c r="H916" t="str">
        <f>TEXT(TbReceitas[[#This Row],[data_transacao]], "aaaa-mm")</f>
        <v>2025-06</v>
      </c>
    </row>
    <row r="917" spans="1:8">
      <c r="A917">
        <v>916</v>
      </c>
      <c r="B917" s="1">
        <v>45988</v>
      </c>
      <c r="C917" t="s">
        <v>1357</v>
      </c>
      <c r="D917" t="s">
        <v>385</v>
      </c>
      <c r="E917">
        <v>1</v>
      </c>
      <c r="F917">
        <v>10607</v>
      </c>
      <c r="G917">
        <f>TbReceitas[[#This Row],[quantidade]]*TbReceitas[[#This Row],[preco_unitario]]</f>
        <v>10607</v>
      </c>
      <c r="H917" t="str">
        <f>TEXT(TbReceitas[[#This Row],[data_transacao]], "aaaa-mm")</f>
        <v>2025-11</v>
      </c>
    </row>
    <row r="918" spans="1:8">
      <c r="A918">
        <v>917</v>
      </c>
      <c r="B918" s="1">
        <v>45977</v>
      </c>
      <c r="C918" t="s">
        <v>1012</v>
      </c>
      <c r="D918" t="s">
        <v>357</v>
      </c>
      <c r="E918">
        <v>5</v>
      </c>
      <c r="F918">
        <v>7516</v>
      </c>
      <c r="G918">
        <f>TbReceitas[[#This Row],[quantidade]]*TbReceitas[[#This Row],[preco_unitario]]</f>
        <v>37580</v>
      </c>
      <c r="H918" t="str">
        <f>TEXT(TbReceitas[[#This Row],[data_transacao]], "aaaa-mm")</f>
        <v>2025-11</v>
      </c>
    </row>
    <row r="919" spans="1:8">
      <c r="A919">
        <v>918</v>
      </c>
      <c r="B919" s="1">
        <v>46203</v>
      </c>
      <c r="C919" t="s">
        <v>1358</v>
      </c>
      <c r="D919" t="s">
        <v>685</v>
      </c>
      <c r="E919">
        <v>4</v>
      </c>
      <c r="F919">
        <v>11639</v>
      </c>
      <c r="G919">
        <f>TbReceitas[[#This Row],[quantidade]]*TbReceitas[[#This Row],[preco_unitario]]</f>
        <v>46556</v>
      </c>
      <c r="H919" t="str">
        <f>TEXT(TbReceitas[[#This Row],[data_transacao]], "aaaa-mm")</f>
        <v>2026-06</v>
      </c>
    </row>
    <row r="920" spans="1:8">
      <c r="A920">
        <v>919</v>
      </c>
      <c r="B920" s="1">
        <v>45547</v>
      </c>
      <c r="C920" t="s">
        <v>1329</v>
      </c>
      <c r="D920" t="s">
        <v>290</v>
      </c>
      <c r="E920">
        <v>5</v>
      </c>
      <c r="F920">
        <v>6755</v>
      </c>
      <c r="G920">
        <f>TbReceitas[[#This Row],[quantidade]]*TbReceitas[[#This Row],[preco_unitario]]</f>
        <v>33775</v>
      </c>
      <c r="H920" t="str">
        <f>TEXT(TbReceitas[[#This Row],[data_transacao]], "aaaa-mm")</f>
        <v>2024-09</v>
      </c>
    </row>
    <row r="921" spans="1:8">
      <c r="A921">
        <v>920</v>
      </c>
      <c r="B921" s="1">
        <v>46051</v>
      </c>
      <c r="C921" t="s">
        <v>1359</v>
      </c>
      <c r="D921" t="s">
        <v>264</v>
      </c>
      <c r="E921">
        <v>3</v>
      </c>
      <c r="F921">
        <v>7267</v>
      </c>
      <c r="G921">
        <f>TbReceitas[[#This Row],[quantidade]]*TbReceitas[[#This Row],[preco_unitario]]</f>
        <v>21801</v>
      </c>
      <c r="H921" t="str">
        <f>TEXT(TbReceitas[[#This Row],[data_transacao]], "aaaa-mm")</f>
        <v>2026-01</v>
      </c>
    </row>
    <row r="922" spans="1:8">
      <c r="A922">
        <v>921</v>
      </c>
      <c r="B922" s="1">
        <v>46202</v>
      </c>
      <c r="C922" t="s">
        <v>987</v>
      </c>
      <c r="D922" t="s">
        <v>157</v>
      </c>
      <c r="E922">
        <v>4</v>
      </c>
      <c r="F922">
        <v>11672</v>
      </c>
      <c r="G922">
        <f>TbReceitas[[#This Row],[quantidade]]*TbReceitas[[#This Row],[preco_unitario]]</f>
        <v>46688</v>
      </c>
      <c r="H922" t="str">
        <f>TEXT(TbReceitas[[#This Row],[data_transacao]], "aaaa-mm")</f>
        <v>2026-06</v>
      </c>
    </row>
    <row r="923" spans="1:8">
      <c r="A923">
        <v>922</v>
      </c>
      <c r="B923" s="1">
        <v>45678</v>
      </c>
      <c r="C923" t="s">
        <v>1136</v>
      </c>
      <c r="D923" t="s">
        <v>450</v>
      </c>
      <c r="E923">
        <v>1</v>
      </c>
      <c r="F923">
        <v>12673</v>
      </c>
      <c r="G923">
        <f>TbReceitas[[#This Row],[quantidade]]*TbReceitas[[#This Row],[preco_unitario]]</f>
        <v>12673</v>
      </c>
      <c r="H923" t="str">
        <f>TEXT(TbReceitas[[#This Row],[data_transacao]], "aaaa-mm")</f>
        <v>2025-01</v>
      </c>
    </row>
    <row r="924" spans="1:8">
      <c r="A924">
        <v>923</v>
      </c>
      <c r="B924" s="1">
        <v>46027</v>
      </c>
      <c r="C924" t="s">
        <v>836</v>
      </c>
      <c r="D924" t="s">
        <v>313</v>
      </c>
      <c r="E924">
        <v>3</v>
      </c>
      <c r="F924">
        <v>24233</v>
      </c>
      <c r="G924">
        <f>TbReceitas[[#This Row],[quantidade]]*TbReceitas[[#This Row],[preco_unitario]]</f>
        <v>72699</v>
      </c>
      <c r="H924" t="str">
        <f>TEXT(TbReceitas[[#This Row],[data_transacao]], "aaaa-mm")</f>
        <v>2026-01</v>
      </c>
    </row>
    <row r="925" spans="1:8">
      <c r="A925">
        <v>924</v>
      </c>
      <c r="B925" s="1">
        <v>45997</v>
      </c>
      <c r="C925" t="s">
        <v>1360</v>
      </c>
      <c r="D925" t="s">
        <v>117</v>
      </c>
      <c r="E925">
        <v>2</v>
      </c>
      <c r="F925">
        <v>15356</v>
      </c>
      <c r="G925">
        <f>TbReceitas[[#This Row],[quantidade]]*TbReceitas[[#This Row],[preco_unitario]]</f>
        <v>30712</v>
      </c>
      <c r="H925" t="str">
        <f>TEXT(TbReceitas[[#This Row],[data_transacao]], "aaaa-mm")</f>
        <v>2025-12</v>
      </c>
    </row>
    <row r="926" spans="1:8">
      <c r="A926">
        <v>925</v>
      </c>
      <c r="B926" s="1">
        <v>46231</v>
      </c>
      <c r="C926" t="s">
        <v>1123</v>
      </c>
      <c r="D926" t="s">
        <v>12</v>
      </c>
      <c r="E926">
        <v>5</v>
      </c>
      <c r="F926">
        <v>11453</v>
      </c>
      <c r="G926">
        <f>TbReceitas[[#This Row],[quantidade]]*TbReceitas[[#This Row],[preco_unitario]]</f>
        <v>57265</v>
      </c>
      <c r="H926" t="str">
        <f>TEXT(TbReceitas[[#This Row],[data_transacao]], "aaaa-mm")</f>
        <v>2026-07</v>
      </c>
    </row>
    <row r="927" spans="1:8">
      <c r="A927">
        <v>926</v>
      </c>
      <c r="B927" s="1">
        <v>45873</v>
      </c>
      <c r="C927" t="s">
        <v>1361</v>
      </c>
      <c r="D927" t="s">
        <v>493</v>
      </c>
      <c r="E927">
        <v>5</v>
      </c>
      <c r="F927">
        <v>13377</v>
      </c>
      <c r="G927">
        <f>TbReceitas[[#This Row],[quantidade]]*TbReceitas[[#This Row],[preco_unitario]]</f>
        <v>66885</v>
      </c>
      <c r="H927" t="str">
        <f>TEXT(TbReceitas[[#This Row],[data_transacao]], "aaaa-mm")</f>
        <v>2025-08</v>
      </c>
    </row>
    <row r="928" spans="1:8">
      <c r="A928">
        <v>927</v>
      </c>
      <c r="B928" s="1">
        <v>46211</v>
      </c>
      <c r="C928" t="s">
        <v>970</v>
      </c>
      <c r="D928" t="s">
        <v>85</v>
      </c>
      <c r="E928">
        <v>4</v>
      </c>
      <c r="F928">
        <v>10218</v>
      </c>
      <c r="G928">
        <f>TbReceitas[[#This Row],[quantidade]]*TbReceitas[[#This Row],[preco_unitario]]</f>
        <v>40872</v>
      </c>
      <c r="H928" t="str">
        <f>TEXT(TbReceitas[[#This Row],[data_transacao]], "aaaa-mm")</f>
        <v>2026-07</v>
      </c>
    </row>
    <row r="929" spans="1:8">
      <c r="A929">
        <v>928</v>
      </c>
      <c r="B929" s="1">
        <v>45557</v>
      </c>
      <c r="C929" t="s">
        <v>1362</v>
      </c>
      <c r="D929" t="s">
        <v>582</v>
      </c>
      <c r="E929">
        <v>5</v>
      </c>
      <c r="F929">
        <v>24131</v>
      </c>
      <c r="G929">
        <f>TbReceitas[[#This Row],[quantidade]]*TbReceitas[[#This Row],[preco_unitario]]</f>
        <v>120655</v>
      </c>
      <c r="H929" t="str">
        <f>TEXT(TbReceitas[[#This Row],[data_transacao]], "aaaa-mm")</f>
        <v>2024-09</v>
      </c>
    </row>
    <row r="930" spans="1:8">
      <c r="A930">
        <v>929</v>
      </c>
      <c r="B930" s="1">
        <v>45857</v>
      </c>
      <c r="C930" t="s">
        <v>1317</v>
      </c>
      <c r="D930" t="s">
        <v>628</v>
      </c>
      <c r="E930">
        <v>3</v>
      </c>
      <c r="F930">
        <v>4049</v>
      </c>
      <c r="G930">
        <f>TbReceitas[[#This Row],[quantidade]]*TbReceitas[[#This Row],[preco_unitario]]</f>
        <v>12147</v>
      </c>
      <c r="H930" t="str">
        <f>TEXT(TbReceitas[[#This Row],[data_transacao]], "aaaa-mm")</f>
        <v>2025-07</v>
      </c>
    </row>
    <row r="931" spans="1:8">
      <c r="A931">
        <v>930</v>
      </c>
      <c r="B931" s="1">
        <v>46230</v>
      </c>
      <c r="C931" t="s">
        <v>1363</v>
      </c>
      <c r="D931" t="s">
        <v>640</v>
      </c>
      <c r="E931">
        <v>2</v>
      </c>
      <c r="F931">
        <v>9499</v>
      </c>
      <c r="G931">
        <f>TbReceitas[[#This Row],[quantidade]]*TbReceitas[[#This Row],[preco_unitario]]</f>
        <v>18998</v>
      </c>
      <c r="H931" t="str">
        <f>TEXT(TbReceitas[[#This Row],[data_transacao]], "aaaa-mm")</f>
        <v>2026-07</v>
      </c>
    </row>
    <row r="932" spans="1:8">
      <c r="A932">
        <v>931</v>
      </c>
      <c r="B932" s="1">
        <v>46029</v>
      </c>
      <c r="C932" t="s">
        <v>1022</v>
      </c>
      <c r="D932" t="s">
        <v>563</v>
      </c>
      <c r="E932">
        <v>5</v>
      </c>
      <c r="F932">
        <v>3006</v>
      </c>
      <c r="G932">
        <f>TbReceitas[[#This Row],[quantidade]]*TbReceitas[[#This Row],[preco_unitario]]</f>
        <v>15030</v>
      </c>
      <c r="H932" t="str">
        <f>TEXT(TbReceitas[[#This Row],[data_transacao]], "aaaa-mm")</f>
        <v>2026-01</v>
      </c>
    </row>
    <row r="933" spans="1:8">
      <c r="A933">
        <v>932</v>
      </c>
      <c r="B933" s="1">
        <v>45857</v>
      </c>
      <c r="C933" t="s">
        <v>1239</v>
      </c>
      <c r="D933" t="s">
        <v>251</v>
      </c>
      <c r="E933">
        <v>4</v>
      </c>
      <c r="F933">
        <v>4862</v>
      </c>
      <c r="G933">
        <f>TbReceitas[[#This Row],[quantidade]]*TbReceitas[[#This Row],[preco_unitario]]</f>
        <v>19448</v>
      </c>
      <c r="H933" t="str">
        <f>TEXT(TbReceitas[[#This Row],[data_transacao]], "aaaa-mm")</f>
        <v>2025-07</v>
      </c>
    </row>
    <row r="934" spans="1:8">
      <c r="A934">
        <v>933</v>
      </c>
      <c r="B934" s="1">
        <v>46145</v>
      </c>
      <c r="C934" t="s">
        <v>1004</v>
      </c>
      <c r="D934" t="s">
        <v>531</v>
      </c>
      <c r="E934">
        <v>4</v>
      </c>
      <c r="F934">
        <v>5033</v>
      </c>
      <c r="G934">
        <f>TbReceitas[[#This Row],[quantidade]]*TbReceitas[[#This Row],[preco_unitario]]</f>
        <v>20132</v>
      </c>
      <c r="H934" t="str">
        <f>TEXT(TbReceitas[[#This Row],[data_transacao]], "aaaa-mm")</f>
        <v>2026-05</v>
      </c>
    </row>
    <row r="935" spans="1:8">
      <c r="A935">
        <v>934</v>
      </c>
      <c r="B935" s="1">
        <v>45548</v>
      </c>
      <c r="C935" t="s">
        <v>774</v>
      </c>
      <c r="D935" t="s">
        <v>626</v>
      </c>
      <c r="E935">
        <v>4</v>
      </c>
      <c r="F935">
        <v>17147</v>
      </c>
      <c r="G935">
        <f>TbReceitas[[#This Row],[quantidade]]*TbReceitas[[#This Row],[preco_unitario]]</f>
        <v>68588</v>
      </c>
      <c r="H935" t="str">
        <f>TEXT(TbReceitas[[#This Row],[data_transacao]], "aaaa-mm")</f>
        <v>2024-09</v>
      </c>
    </row>
    <row r="936" spans="1:8">
      <c r="A936">
        <v>935</v>
      </c>
      <c r="B936" s="1">
        <v>45639</v>
      </c>
      <c r="C936" t="s">
        <v>802</v>
      </c>
      <c r="D936" t="s">
        <v>622</v>
      </c>
      <c r="E936">
        <v>1</v>
      </c>
      <c r="F936">
        <v>15428</v>
      </c>
      <c r="G936">
        <f>TbReceitas[[#This Row],[quantidade]]*TbReceitas[[#This Row],[preco_unitario]]</f>
        <v>15428</v>
      </c>
      <c r="H936" t="str">
        <f>TEXT(TbReceitas[[#This Row],[data_transacao]], "aaaa-mm")</f>
        <v>2024-12</v>
      </c>
    </row>
    <row r="937" spans="1:8">
      <c r="A937">
        <v>936</v>
      </c>
      <c r="B937" s="1">
        <v>46072</v>
      </c>
      <c r="C937" t="s">
        <v>983</v>
      </c>
      <c r="D937" t="s">
        <v>598</v>
      </c>
      <c r="E937">
        <v>2</v>
      </c>
      <c r="F937">
        <v>17325</v>
      </c>
      <c r="G937">
        <f>TbReceitas[[#This Row],[quantidade]]*TbReceitas[[#This Row],[preco_unitario]]</f>
        <v>34650</v>
      </c>
      <c r="H937" t="str">
        <f>TEXT(TbReceitas[[#This Row],[data_transacao]], "aaaa-mm")</f>
        <v>2026-02</v>
      </c>
    </row>
    <row r="938" spans="1:8">
      <c r="A938">
        <v>937</v>
      </c>
      <c r="B938" s="1">
        <v>45775</v>
      </c>
      <c r="C938" t="s">
        <v>1364</v>
      </c>
      <c r="D938" t="s">
        <v>464</v>
      </c>
      <c r="E938">
        <v>4</v>
      </c>
      <c r="F938">
        <v>10835</v>
      </c>
      <c r="G938">
        <f>TbReceitas[[#This Row],[quantidade]]*TbReceitas[[#This Row],[preco_unitario]]</f>
        <v>43340</v>
      </c>
      <c r="H938" t="str">
        <f>TEXT(TbReceitas[[#This Row],[data_transacao]], "aaaa-mm")</f>
        <v>2025-04</v>
      </c>
    </row>
    <row r="939" spans="1:8">
      <c r="A939">
        <v>938</v>
      </c>
      <c r="B939" s="1">
        <v>45686</v>
      </c>
      <c r="C939" t="s">
        <v>857</v>
      </c>
      <c r="D939" t="s">
        <v>100</v>
      </c>
      <c r="E939">
        <v>1</v>
      </c>
      <c r="F939">
        <v>12034</v>
      </c>
      <c r="G939">
        <f>TbReceitas[[#This Row],[quantidade]]*TbReceitas[[#This Row],[preco_unitario]]</f>
        <v>12034</v>
      </c>
      <c r="H939" t="str">
        <f>TEXT(TbReceitas[[#This Row],[data_transacao]], "aaaa-mm")</f>
        <v>2025-01</v>
      </c>
    </row>
    <row r="940" spans="1:8">
      <c r="A940">
        <v>939</v>
      </c>
      <c r="B940" s="1">
        <v>45642</v>
      </c>
      <c r="C940" t="s">
        <v>1092</v>
      </c>
      <c r="D940" t="s">
        <v>258</v>
      </c>
      <c r="E940">
        <v>2</v>
      </c>
      <c r="F940">
        <v>19424</v>
      </c>
      <c r="G940">
        <f>TbReceitas[[#This Row],[quantidade]]*TbReceitas[[#This Row],[preco_unitario]]</f>
        <v>38848</v>
      </c>
      <c r="H940" t="str">
        <f>TEXT(TbReceitas[[#This Row],[data_transacao]], "aaaa-mm")</f>
        <v>2024-12</v>
      </c>
    </row>
    <row r="941" spans="1:8">
      <c r="A941">
        <v>940</v>
      </c>
      <c r="B941" s="1">
        <v>46050</v>
      </c>
      <c r="C941" t="s">
        <v>1365</v>
      </c>
      <c r="D941" t="s">
        <v>409</v>
      </c>
      <c r="E941">
        <v>5</v>
      </c>
      <c r="F941">
        <v>6002</v>
      </c>
      <c r="G941">
        <f>TbReceitas[[#This Row],[quantidade]]*TbReceitas[[#This Row],[preco_unitario]]</f>
        <v>30010</v>
      </c>
      <c r="H941" t="str">
        <f>TEXT(TbReceitas[[#This Row],[data_transacao]], "aaaa-mm")</f>
        <v>2026-01</v>
      </c>
    </row>
    <row r="942" spans="1:8">
      <c r="A942">
        <v>941</v>
      </c>
      <c r="B942" s="1">
        <v>46090</v>
      </c>
      <c r="C942" t="s">
        <v>1366</v>
      </c>
      <c r="D942" t="s">
        <v>447</v>
      </c>
      <c r="E942">
        <v>3</v>
      </c>
      <c r="F942">
        <v>24885</v>
      </c>
      <c r="G942">
        <f>TbReceitas[[#This Row],[quantidade]]*TbReceitas[[#This Row],[preco_unitario]]</f>
        <v>74655</v>
      </c>
      <c r="H942" t="str">
        <f>TEXT(TbReceitas[[#This Row],[data_transacao]], "aaaa-mm")</f>
        <v>2026-03</v>
      </c>
    </row>
    <row r="943" spans="1:8">
      <c r="A943">
        <v>942</v>
      </c>
      <c r="B943" s="1">
        <v>46267</v>
      </c>
      <c r="C943" t="s">
        <v>740</v>
      </c>
      <c r="D943" t="s">
        <v>397</v>
      </c>
      <c r="E943">
        <v>5</v>
      </c>
      <c r="F943">
        <v>10959</v>
      </c>
      <c r="G943">
        <f>TbReceitas[[#This Row],[quantidade]]*TbReceitas[[#This Row],[preco_unitario]]</f>
        <v>54795</v>
      </c>
      <c r="H943" t="str">
        <f>TEXT(TbReceitas[[#This Row],[data_transacao]], "aaaa-mm")</f>
        <v>2026-09</v>
      </c>
    </row>
    <row r="944" spans="1:8">
      <c r="A944">
        <v>943</v>
      </c>
      <c r="B944" s="1">
        <v>45590</v>
      </c>
      <c r="C944" t="s">
        <v>1273</v>
      </c>
      <c r="D944" t="s">
        <v>634</v>
      </c>
      <c r="E944">
        <v>1</v>
      </c>
      <c r="F944">
        <v>21686</v>
      </c>
      <c r="G944">
        <f>TbReceitas[[#This Row],[quantidade]]*TbReceitas[[#This Row],[preco_unitario]]</f>
        <v>21686</v>
      </c>
      <c r="H944" t="str">
        <f>TEXT(TbReceitas[[#This Row],[data_transacao]], "aaaa-mm")</f>
        <v>2024-10</v>
      </c>
    </row>
    <row r="945" spans="1:8">
      <c r="A945">
        <v>944</v>
      </c>
      <c r="B945" s="1">
        <v>45667</v>
      </c>
      <c r="C945" t="s">
        <v>1074</v>
      </c>
      <c r="D945" t="s">
        <v>317</v>
      </c>
      <c r="E945">
        <v>1</v>
      </c>
      <c r="F945">
        <v>18047</v>
      </c>
      <c r="G945">
        <f>TbReceitas[[#This Row],[quantidade]]*TbReceitas[[#This Row],[preco_unitario]]</f>
        <v>18047</v>
      </c>
      <c r="H945" t="str">
        <f>TEXT(TbReceitas[[#This Row],[data_transacao]], "aaaa-mm")</f>
        <v>2025-01</v>
      </c>
    </row>
    <row r="946" spans="1:8">
      <c r="A946">
        <v>945</v>
      </c>
      <c r="B946" s="1">
        <v>45721</v>
      </c>
      <c r="C946" t="s">
        <v>867</v>
      </c>
      <c r="D946" t="s">
        <v>113</v>
      </c>
      <c r="E946">
        <v>2</v>
      </c>
      <c r="F946">
        <v>814</v>
      </c>
      <c r="G946">
        <f>TbReceitas[[#This Row],[quantidade]]*TbReceitas[[#This Row],[preco_unitario]]</f>
        <v>1628</v>
      </c>
      <c r="H946" t="str">
        <f>TEXT(TbReceitas[[#This Row],[data_transacao]], "aaaa-mm")</f>
        <v>2025-03</v>
      </c>
    </row>
    <row r="947" spans="1:8">
      <c r="A947">
        <v>946</v>
      </c>
      <c r="B947" s="1">
        <v>45949</v>
      </c>
      <c r="C947" t="s">
        <v>1125</v>
      </c>
      <c r="D947" t="s">
        <v>440</v>
      </c>
      <c r="E947">
        <v>5</v>
      </c>
      <c r="F947">
        <v>11335</v>
      </c>
      <c r="G947">
        <f>TbReceitas[[#This Row],[quantidade]]*TbReceitas[[#This Row],[preco_unitario]]</f>
        <v>56675</v>
      </c>
      <c r="H947" t="str">
        <f>TEXT(TbReceitas[[#This Row],[data_transacao]], "aaaa-mm")</f>
        <v>2025-10</v>
      </c>
    </row>
    <row r="948" spans="1:8">
      <c r="A948">
        <v>947</v>
      </c>
      <c r="B948" s="1">
        <v>46042</v>
      </c>
      <c r="C948" t="s">
        <v>1045</v>
      </c>
      <c r="D948" t="s">
        <v>648</v>
      </c>
      <c r="E948">
        <v>1</v>
      </c>
      <c r="F948">
        <v>23819</v>
      </c>
      <c r="G948">
        <f>TbReceitas[[#This Row],[quantidade]]*TbReceitas[[#This Row],[preco_unitario]]</f>
        <v>23819</v>
      </c>
      <c r="H948" t="str">
        <f>TEXT(TbReceitas[[#This Row],[data_transacao]], "aaaa-mm")</f>
        <v>2026-01</v>
      </c>
    </row>
    <row r="949" spans="1:8">
      <c r="A949">
        <v>948</v>
      </c>
      <c r="B949" s="1">
        <v>45665</v>
      </c>
      <c r="C949" t="s">
        <v>843</v>
      </c>
      <c r="D949" t="s">
        <v>85</v>
      </c>
      <c r="E949">
        <v>5</v>
      </c>
      <c r="F949">
        <v>10218</v>
      </c>
      <c r="G949">
        <f>TbReceitas[[#This Row],[quantidade]]*TbReceitas[[#This Row],[preco_unitario]]</f>
        <v>51090</v>
      </c>
      <c r="H949" t="str">
        <f>TEXT(TbReceitas[[#This Row],[data_transacao]], "aaaa-mm")</f>
        <v>2025-01</v>
      </c>
    </row>
    <row r="950" spans="1:8">
      <c r="A950">
        <v>949</v>
      </c>
      <c r="B950" s="1">
        <v>45703</v>
      </c>
      <c r="C950" t="s">
        <v>1367</v>
      </c>
      <c r="D950" t="s">
        <v>84</v>
      </c>
      <c r="E950">
        <v>4</v>
      </c>
      <c r="F950">
        <v>21541</v>
      </c>
      <c r="G950">
        <f>TbReceitas[[#This Row],[quantidade]]*TbReceitas[[#This Row],[preco_unitario]]</f>
        <v>86164</v>
      </c>
      <c r="H950" t="str">
        <f>TEXT(TbReceitas[[#This Row],[data_transacao]], "aaaa-mm")</f>
        <v>2025-02</v>
      </c>
    </row>
    <row r="951" spans="1:8">
      <c r="A951">
        <v>950</v>
      </c>
      <c r="B951" s="1">
        <v>45676</v>
      </c>
      <c r="C951" t="s">
        <v>1368</v>
      </c>
      <c r="D951" t="s">
        <v>109</v>
      </c>
      <c r="E951">
        <v>4</v>
      </c>
      <c r="F951">
        <v>23302</v>
      </c>
      <c r="G951">
        <f>TbReceitas[[#This Row],[quantidade]]*TbReceitas[[#This Row],[preco_unitario]]</f>
        <v>93208</v>
      </c>
      <c r="H951" t="str">
        <f>TEXT(TbReceitas[[#This Row],[data_transacao]], "aaaa-mm")</f>
        <v>2025-01</v>
      </c>
    </row>
    <row r="952" spans="1:8">
      <c r="A952">
        <v>951</v>
      </c>
      <c r="B952" s="1">
        <v>45823</v>
      </c>
      <c r="C952" t="s">
        <v>1253</v>
      </c>
      <c r="D952" t="s">
        <v>545</v>
      </c>
      <c r="E952">
        <v>5</v>
      </c>
      <c r="F952">
        <v>8394</v>
      </c>
      <c r="G952">
        <f>TbReceitas[[#This Row],[quantidade]]*TbReceitas[[#This Row],[preco_unitario]]</f>
        <v>41970</v>
      </c>
      <c r="H952" t="str">
        <f>TEXT(TbReceitas[[#This Row],[data_transacao]], "aaaa-mm")</f>
        <v>2025-06</v>
      </c>
    </row>
    <row r="953" spans="1:8">
      <c r="A953">
        <v>952</v>
      </c>
      <c r="B953" s="1">
        <v>45559</v>
      </c>
      <c r="C953" t="s">
        <v>1369</v>
      </c>
      <c r="D953" t="s">
        <v>342</v>
      </c>
      <c r="E953">
        <v>3</v>
      </c>
      <c r="F953">
        <v>12967</v>
      </c>
      <c r="G953">
        <f>TbReceitas[[#This Row],[quantidade]]*TbReceitas[[#This Row],[preco_unitario]]</f>
        <v>38901</v>
      </c>
      <c r="H953" t="str">
        <f>TEXT(TbReceitas[[#This Row],[data_transacao]], "aaaa-mm")</f>
        <v>2024-09</v>
      </c>
    </row>
    <row r="954" spans="1:8">
      <c r="A954">
        <v>953</v>
      </c>
      <c r="B954" s="1">
        <v>45672</v>
      </c>
      <c r="C954" t="s">
        <v>1046</v>
      </c>
      <c r="D954" t="s">
        <v>328</v>
      </c>
      <c r="E954">
        <v>1</v>
      </c>
      <c r="F954">
        <v>23333</v>
      </c>
      <c r="G954">
        <f>TbReceitas[[#This Row],[quantidade]]*TbReceitas[[#This Row],[preco_unitario]]</f>
        <v>23333</v>
      </c>
      <c r="H954" t="str">
        <f>TEXT(TbReceitas[[#This Row],[data_transacao]], "aaaa-mm")</f>
        <v>2025-01</v>
      </c>
    </row>
    <row r="955" spans="1:8">
      <c r="A955">
        <v>954</v>
      </c>
      <c r="B955" s="1">
        <v>45939</v>
      </c>
      <c r="C955" t="s">
        <v>1111</v>
      </c>
      <c r="D955" t="s">
        <v>461</v>
      </c>
      <c r="E955">
        <v>4</v>
      </c>
      <c r="F955">
        <v>1535</v>
      </c>
      <c r="G955">
        <f>TbReceitas[[#This Row],[quantidade]]*TbReceitas[[#This Row],[preco_unitario]]</f>
        <v>6140</v>
      </c>
      <c r="H955" t="str">
        <f>TEXT(TbReceitas[[#This Row],[data_transacao]], "aaaa-mm")</f>
        <v>2025-10</v>
      </c>
    </row>
    <row r="956" spans="1:8">
      <c r="A956">
        <v>955</v>
      </c>
      <c r="B956" s="1">
        <v>45822</v>
      </c>
      <c r="C956" t="s">
        <v>938</v>
      </c>
      <c r="D956" t="s">
        <v>208</v>
      </c>
      <c r="E956">
        <v>4</v>
      </c>
      <c r="F956">
        <v>2719</v>
      </c>
      <c r="G956">
        <f>TbReceitas[[#This Row],[quantidade]]*TbReceitas[[#This Row],[preco_unitario]]</f>
        <v>10876</v>
      </c>
      <c r="H956" t="str">
        <f>TEXT(TbReceitas[[#This Row],[data_transacao]], "aaaa-mm")</f>
        <v>2025-06</v>
      </c>
    </row>
    <row r="957" spans="1:8">
      <c r="A957">
        <v>956</v>
      </c>
      <c r="B957" s="1">
        <v>45675</v>
      </c>
      <c r="C957" t="s">
        <v>741</v>
      </c>
      <c r="D957" t="s">
        <v>534</v>
      </c>
      <c r="E957">
        <v>3</v>
      </c>
      <c r="F957">
        <v>1886</v>
      </c>
      <c r="G957">
        <f>TbReceitas[[#This Row],[quantidade]]*TbReceitas[[#This Row],[preco_unitario]]</f>
        <v>5658</v>
      </c>
      <c r="H957" t="str">
        <f>TEXT(TbReceitas[[#This Row],[data_transacao]], "aaaa-mm")</f>
        <v>2025-01</v>
      </c>
    </row>
    <row r="958" spans="1:8">
      <c r="A958">
        <v>957</v>
      </c>
      <c r="B958" s="1">
        <v>46090</v>
      </c>
      <c r="C958" t="s">
        <v>796</v>
      </c>
      <c r="D958" t="s">
        <v>604</v>
      </c>
      <c r="E958">
        <v>1</v>
      </c>
      <c r="F958">
        <v>17604</v>
      </c>
      <c r="G958">
        <f>TbReceitas[[#This Row],[quantidade]]*TbReceitas[[#This Row],[preco_unitario]]</f>
        <v>17604</v>
      </c>
      <c r="H958" t="str">
        <f>TEXT(TbReceitas[[#This Row],[data_transacao]], "aaaa-mm")</f>
        <v>2026-03</v>
      </c>
    </row>
    <row r="959" spans="1:8">
      <c r="A959">
        <v>958</v>
      </c>
      <c r="B959" s="1">
        <v>46058</v>
      </c>
      <c r="C959" t="s">
        <v>791</v>
      </c>
      <c r="D959" t="s">
        <v>304</v>
      </c>
      <c r="E959">
        <v>3</v>
      </c>
      <c r="F959">
        <v>1828</v>
      </c>
      <c r="G959">
        <f>TbReceitas[[#This Row],[quantidade]]*TbReceitas[[#This Row],[preco_unitario]]</f>
        <v>5484</v>
      </c>
      <c r="H959" t="str">
        <f>TEXT(TbReceitas[[#This Row],[data_transacao]], "aaaa-mm")</f>
        <v>2026-02</v>
      </c>
    </row>
    <row r="960" spans="1:8">
      <c r="A960">
        <v>959</v>
      </c>
      <c r="B960" s="1">
        <v>46208</v>
      </c>
      <c r="C960" t="s">
        <v>1370</v>
      </c>
      <c r="D960" t="s">
        <v>581</v>
      </c>
      <c r="E960">
        <v>1</v>
      </c>
      <c r="F960">
        <v>2067</v>
      </c>
      <c r="G960">
        <f>TbReceitas[[#This Row],[quantidade]]*TbReceitas[[#This Row],[preco_unitario]]</f>
        <v>2067</v>
      </c>
      <c r="H960" t="str">
        <f>TEXT(TbReceitas[[#This Row],[data_transacao]], "aaaa-mm")</f>
        <v>2026-07</v>
      </c>
    </row>
    <row r="961" spans="1:8">
      <c r="A961">
        <v>960</v>
      </c>
      <c r="B961" s="1">
        <v>45547</v>
      </c>
      <c r="C961" t="s">
        <v>1178</v>
      </c>
      <c r="D961" t="s">
        <v>448</v>
      </c>
      <c r="E961">
        <v>4</v>
      </c>
      <c r="F961">
        <v>20644</v>
      </c>
      <c r="G961">
        <f>TbReceitas[[#This Row],[quantidade]]*TbReceitas[[#This Row],[preco_unitario]]</f>
        <v>82576</v>
      </c>
      <c r="H961" t="str">
        <f>TEXT(TbReceitas[[#This Row],[data_transacao]], "aaaa-mm")</f>
        <v>2024-09</v>
      </c>
    </row>
    <row r="962" spans="1:8">
      <c r="A962">
        <v>961</v>
      </c>
      <c r="B962" s="1">
        <v>45605</v>
      </c>
      <c r="C962" t="s">
        <v>1371</v>
      </c>
      <c r="D962" t="s">
        <v>640</v>
      </c>
      <c r="E962">
        <v>5</v>
      </c>
      <c r="F962">
        <v>9499</v>
      </c>
      <c r="G962">
        <f>TbReceitas[[#This Row],[quantidade]]*TbReceitas[[#This Row],[preco_unitario]]</f>
        <v>47495</v>
      </c>
      <c r="H962" t="str">
        <f>TEXT(TbReceitas[[#This Row],[data_transacao]], "aaaa-mm")</f>
        <v>2024-11</v>
      </c>
    </row>
    <row r="963" spans="1:8">
      <c r="A963">
        <v>962</v>
      </c>
      <c r="B963" s="1">
        <v>45567</v>
      </c>
      <c r="C963" t="s">
        <v>894</v>
      </c>
      <c r="D963" t="s">
        <v>113</v>
      </c>
      <c r="E963">
        <v>5</v>
      </c>
      <c r="F963">
        <v>814</v>
      </c>
      <c r="G963">
        <f>TbReceitas[[#This Row],[quantidade]]*TbReceitas[[#This Row],[preco_unitario]]</f>
        <v>4070</v>
      </c>
      <c r="H963" t="str">
        <f>TEXT(TbReceitas[[#This Row],[data_transacao]], "aaaa-mm")</f>
        <v>2024-10</v>
      </c>
    </row>
    <row r="964" spans="1:8">
      <c r="A964">
        <v>963</v>
      </c>
      <c r="B964" s="1">
        <v>45824</v>
      </c>
      <c r="C964" t="s">
        <v>1115</v>
      </c>
      <c r="D964" t="s">
        <v>12</v>
      </c>
      <c r="E964">
        <v>5</v>
      </c>
      <c r="F964">
        <v>11453</v>
      </c>
      <c r="G964">
        <f>TbReceitas[[#This Row],[quantidade]]*TbReceitas[[#This Row],[preco_unitario]]</f>
        <v>57265</v>
      </c>
      <c r="H964" t="str">
        <f>TEXT(TbReceitas[[#This Row],[data_transacao]], "aaaa-mm")</f>
        <v>2025-06</v>
      </c>
    </row>
    <row r="965" spans="1:8">
      <c r="A965">
        <v>964</v>
      </c>
      <c r="B965" s="1">
        <v>45556</v>
      </c>
      <c r="C965" t="s">
        <v>1372</v>
      </c>
      <c r="D965" t="s">
        <v>602</v>
      </c>
      <c r="E965">
        <v>3</v>
      </c>
      <c r="F965">
        <v>17929</v>
      </c>
      <c r="G965">
        <f>TbReceitas[[#This Row],[quantidade]]*TbReceitas[[#This Row],[preco_unitario]]</f>
        <v>53787</v>
      </c>
      <c r="H965" t="str">
        <f>TEXT(TbReceitas[[#This Row],[data_transacao]], "aaaa-mm")</f>
        <v>2024-09</v>
      </c>
    </row>
    <row r="966" spans="1:8">
      <c r="A966">
        <v>965</v>
      </c>
      <c r="B966" s="1">
        <v>45787</v>
      </c>
      <c r="C966" t="s">
        <v>843</v>
      </c>
      <c r="D966" t="s">
        <v>327</v>
      </c>
      <c r="E966">
        <v>3</v>
      </c>
      <c r="F966">
        <v>23125</v>
      </c>
      <c r="G966">
        <f>TbReceitas[[#This Row],[quantidade]]*TbReceitas[[#This Row],[preco_unitario]]</f>
        <v>69375</v>
      </c>
      <c r="H966" t="str">
        <f>TEXT(TbReceitas[[#This Row],[data_transacao]], "aaaa-mm")</f>
        <v>2025-05</v>
      </c>
    </row>
    <row r="967" spans="1:8">
      <c r="A967">
        <v>966</v>
      </c>
      <c r="B967" s="1">
        <v>45574</v>
      </c>
      <c r="C967" t="s">
        <v>1166</v>
      </c>
      <c r="D967" t="s">
        <v>320</v>
      </c>
      <c r="E967">
        <v>5</v>
      </c>
      <c r="F967">
        <v>19197</v>
      </c>
      <c r="G967">
        <f>TbReceitas[[#This Row],[quantidade]]*TbReceitas[[#This Row],[preco_unitario]]</f>
        <v>95985</v>
      </c>
      <c r="H967" t="str">
        <f>TEXT(TbReceitas[[#This Row],[data_transacao]], "aaaa-mm")</f>
        <v>2024-10</v>
      </c>
    </row>
    <row r="968" spans="1:8">
      <c r="A968">
        <v>967</v>
      </c>
      <c r="B968" s="1">
        <v>45590</v>
      </c>
      <c r="C968" t="s">
        <v>1007</v>
      </c>
      <c r="D968" t="s">
        <v>282</v>
      </c>
      <c r="E968">
        <v>1</v>
      </c>
      <c r="F968">
        <v>2647</v>
      </c>
      <c r="G968">
        <f>TbReceitas[[#This Row],[quantidade]]*TbReceitas[[#This Row],[preco_unitario]]</f>
        <v>2647</v>
      </c>
      <c r="H968" t="str">
        <f>TEXT(TbReceitas[[#This Row],[data_transacao]], "aaaa-mm")</f>
        <v>2024-10</v>
      </c>
    </row>
    <row r="969" spans="1:8">
      <c r="A969">
        <v>968</v>
      </c>
      <c r="B969" s="1">
        <v>45589</v>
      </c>
      <c r="C969" t="s">
        <v>1373</v>
      </c>
      <c r="D969" t="s">
        <v>358</v>
      </c>
      <c r="E969">
        <v>5</v>
      </c>
      <c r="F969">
        <v>11913</v>
      </c>
      <c r="G969">
        <f>TbReceitas[[#This Row],[quantidade]]*TbReceitas[[#This Row],[preco_unitario]]</f>
        <v>59565</v>
      </c>
      <c r="H969" t="str">
        <f>TEXT(TbReceitas[[#This Row],[data_transacao]], "aaaa-mm")</f>
        <v>2024-10</v>
      </c>
    </row>
    <row r="970" spans="1:8">
      <c r="A970">
        <v>969</v>
      </c>
      <c r="B970" s="1">
        <v>45810</v>
      </c>
      <c r="C970" t="s">
        <v>1335</v>
      </c>
      <c r="D970" t="s">
        <v>257</v>
      </c>
      <c r="E970">
        <v>1</v>
      </c>
      <c r="F970">
        <v>5821</v>
      </c>
      <c r="G970">
        <f>TbReceitas[[#This Row],[quantidade]]*TbReceitas[[#This Row],[preco_unitario]]</f>
        <v>5821</v>
      </c>
      <c r="H970" t="str">
        <f>TEXT(TbReceitas[[#This Row],[data_transacao]], "aaaa-mm")</f>
        <v>2025-06</v>
      </c>
    </row>
    <row r="971" spans="1:8">
      <c r="A971">
        <v>970</v>
      </c>
      <c r="B971" s="1">
        <v>45612</v>
      </c>
      <c r="C971" t="s">
        <v>844</v>
      </c>
      <c r="D971" t="s">
        <v>582</v>
      </c>
      <c r="E971">
        <v>1</v>
      </c>
      <c r="F971">
        <v>24131</v>
      </c>
      <c r="G971">
        <f>TbReceitas[[#This Row],[quantidade]]*TbReceitas[[#This Row],[preco_unitario]]</f>
        <v>24131</v>
      </c>
      <c r="H971" t="str">
        <f>TEXT(TbReceitas[[#This Row],[data_transacao]], "aaaa-mm")</f>
        <v>2024-11</v>
      </c>
    </row>
    <row r="972" spans="1:8">
      <c r="A972">
        <v>971</v>
      </c>
      <c r="B972" s="1">
        <v>45637</v>
      </c>
      <c r="C972" t="s">
        <v>1374</v>
      </c>
      <c r="D972" t="s">
        <v>191</v>
      </c>
      <c r="E972">
        <v>5</v>
      </c>
      <c r="F972">
        <v>18422</v>
      </c>
      <c r="G972">
        <f>TbReceitas[[#This Row],[quantidade]]*TbReceitas[[#This Row],[preco_unitario]]</f>
        <v>92110</v>
      </c>
      <c r="H972" t="str">
        <f>TEXT(TbReceitas[[#This Row],[data_transacao]], "aaaa-mm")</f>
        <v>2024-12</v>
      </c>
    </row>
    <row r="973" spans="1:8">
      <c r="A973">
        <v>972</v>
      </c>
      <c r="B973" s="1">
        <v>45606</v>
      </c>
      <c r="C973" t="s">
        <v>982</v>
      </c>
      <c r="D973" t="s">
        <v>292</v>
      </c>
      <c r="E973">
        <v>2</v>
      </c>
      <c r="F973">
        <v>85</v>
      </c>
      <c r="G973">
        <f>TbReceitas[[#This Row],[quantidade]]*TbReceitas[[#This Row],[preco_unitario]]</f>
        <v>170</v>
      </c>
      <c r="H973" t="str">
        <f>TEXT(TbReceitas[[#This Row],[data_transacao]], "aaaa-mm")</f>
        <v>2024-11</v>
      </c>
    </row>
    <row r="974" spans="1:8">
      <c r="A974">
        <v>973</v>
      </c>
      <c r="B974" s="1">
        <v>45614</v>
      </c>
      <c r="C974" t="s">
        <v>1375</v>
      </c>
      <c r="D974" t="s">
        <v>284</v>
      </c>
      <c r="E974">
        <v>4</v>
      </c>
      <c r="F974">
        <v>16365</v>
      </c>
      <c r="G974">
        <f>TbReceitas[[#This Row],[quantidade]]*TbReceitas[[#This Row],[preco_unitario]]</f>
        <v>65460</v>
      </c>
      <c r="H974" t="str">
        <f>TEXT(TbReceitas[[#This Row],[data_transacao]], "aaaa-mm")</f>
        <v>2024-11</v>
      </c>
    </row>
    <row r="975" spans="1:8">
      <c r="A975">
        <v>974</v>
      </c>
      <c r="B975" s="1">
        <v>45758</v>
      </c>
      <c r="C975" t="s">
        <v>1376</v>
      </c>
      <c r="D975" t="s">
        <v>313</v>
      </c>
      <c r="E975">
        <v>2</v>
      </c>
      <c r="F975">
        <v>24233</v>
      </c>
      <c r="G975">
        <f>TbReceitas[[#This Row],[quantidade]]*TbReceitas[[#This Row],[preco_unitario]]</f>
        <v>48466</v>
      </c>
      <c r="H975" t="str">
        <f>TEXT(TbReceitas[[#This Row],[data_transacao]], "aaaa-mm")</f>
        <v>2025-04</v>
      </c>
    </row>
    <row r="976" spans="1:8">
      <c r="A976">
        <v>975</v>
      </c>
      <c r="B976" s="1">
        <v>46260</v>
      </c>
      <c r="C976" t="s">
        <v>846</v>
      </c>
      <c r="D976" t="s">
        <v>677</v>
      </c>
      <c r="E976">
        <v>5</v>
      </c>
      <c r="F976">
        <v>11596</v>
      </c>
      <c r="G976">
        <f>TbReceitas[[#This Row],[quantidade]]*TbReceitas[[#This Row],[preco_unitario]]</f>
        <v>57980</v>
      </c>
      <c r="H976" t="str">
        <f>TEXT(TbReceitas[[#This Row],[data_transacao]], "aaaa-mm")</f>
        <v>2026-08</v>
      </c>
    </row>
    <row r="977" spans="1:8">
      <c r="A977">
        <v>976</v>
      </c>
      <c r="B977" s="1">
        <v>45953</v>
      </c>
      <c r="C977" t="s">
        <v>1377</v>
      </c>
      <c r="D977" t="s">
        <v>548</v>
      </c>
      <c r="E977">
        <v>2</v>
      </c>
      <c r="F977">
        <v>12414</v>
      </c>
      <c r="G977">
        <f>TbReceitas[[#This Row],[quantidade]]*TbReceitas[[#This Row],[preco_unitario]]</f>
        <v>24828</v>
      </c>
      <c r="H977" t="str">
        <f>TEXT(TbReceitas[[#This Row],[data_transacao]], "aaaa-mm")</f>
        <v>2025-10</v>
      </c>
    </row>
    <row r="978" spans="1:8">
      <c r="A978">
        <v>977</v>
      </c>
      <c r="B978" s="1">
        <v>46053</v>
      </c>
      <c r="C978" t="s">
        <v>1378</v>
      </c>
      <c r="D978" t="s">
        <v>614</v>
      </c>
      <c r="E978">
        <v>4</v>
      </c>
      <c r="F978">
        <v>24548</v>
      </c>
      <c r="G978">
        <f>TbReceitas[[#This Row],[quantidade]]*TbReceitas[[#This Row],[preco_unitario]]</f>
        <v>98192</v>
      </c>
      <c r="H978" t="str">
        <f>TEXT(TbReceitas[[#This Row],[data_transacao]], "aaaa-mm")</f>
        <v>2026-01</v>
      </c>
    </row>
    <row r="979" spans="1:8">
      <c r="A979">
        <v>978</v>
      </c>
      <c r="B979" s="1">
        <v>45746</v>
      </c>
      <c r="C979" t="s">
        <v>1379</v>
      </c>
      <c r="D979" t="s">
        <v>147</v>
      </c>
      <c r="E979">
        <v>4</v>
      </c>
      <c r="F979">
        <v>3654</v>
      </c>
      <c r="G979">
        <f>TbReceitas[[#This Row],[quantidade]]*TbReceitas[[#This Row],[preco_unitario]]</f>
        <v>14616</v>
      </c>
      <c r="H979" t="str">
        <f>TEXT(TbReceitas[[#This Row],[data_transacao]], "aaaa-mm")</f>
        <v>2025-03</v>
      </c>
    </row>
    <row r="980" spans="1:8">
      <c r="A980">
        <v>979</v>
      </c>
      <c r="B980" s="1">
        <v>45994</v>
      </c>
      <c r="C980" t="s">
        <v>989</v>
      </c>
      <c r="D980" t="s">
        <v>235</v>
      </c>
      <c r="E980">
        <v>3</v>
      </c>
      <c r="F980">
        <v>3762</v>
      </c>
      <c r="G980">
        <f>TbReceitas[[#This Row],[quantidade]]*TbReceitas[[#This Row],[preco_unitario]]</f>
        <v>11286</v>
      </c>
      <c r="H980" t="str">
        <f>TEXT(TbReceitas[[#This Row],[data_transacao]], "aaaa-mm")</f>
        <v>2025-12</v>
      </c>
    </row>
    <row r="981" spans="1:8">
      <c r="A981">
        <v>980</v>
      </c>
      <c r="B981" s="1">
        <v>45572</v>
      </c>
      <c r="C981" t="s">
        <v>1380</v>
      </c>
      <c r="D981" t="s">
        <v>47</v>
      </c>
      <c r="E981">
        <v>1</v>
      </c>
      <c r="F981">
        <v>854</v>
      </c>
      <c r="G981">
        <f>TbReceitas[[#This Row],[quantidade]]*TbReceitas[[#This Row],[preco_unitario]]</f>
        <v>854</v>
      </c>
      <c r="H981" t="str">
        <f>TEXT(TbReceitas[[#This Row],[data_transacao]], "aaaa-mm")</f>
        <v>2024-10</v>
      </c>
    </row>
    <row r="982" spans="1:8">
      <c r="A982">
        <v>981</v>
      </c>
      <c r="B982" s="1">
        <v>45831</v>
      </c>
      <c r="C982" t="s">
        <v>1087</v>
      </c>
      <c r="D982" t="s">
        <v>332</v>
      </c>
      <c r="E982">
        <v>2</v>
      </c>
      <c r="F982">
        <v>2135</v>
      </c>
      <c r="G982">
        <f>TbReceitas[[#This Row],[quantidade]]*TbReceitas[[#This Row],[preco_unitario]]</f>
        <v>4270</v>
      </c>
      <c r="H982" t="str">
        <f>TEXT(TbReceitas[[#This Row],[data_transacao]], "aaaa-mm")</f>
        <v>2025-06</v>
      </c>
    </row>
    <row r="983" spans="1:8">
      <c r="A983">
        <v>982</v>
      </c>
      <c r="B983" s="1">
        <v>45699</v>
      </c>
      <c r="C983" t="s">
        <v>843</v>
      </c>
      <c r="D983" t="s">
        <v>383</v>
      </c>
      <c r="E983">
        <v>2</v>
      </c>
      <c r="F983">
        <v>114</v>
      </c>
      <c r="G983">
        <f>TbReceitas[[#This Row],[quantidade]]*TbReceitas[[#This Row],[preco_unitario]]</f>
        <v>228</v>
      </c>
      <c r="H983" t="str">
        <f>TEXT(TbReceitas[[#This Row],[data_transacao]], "aaaa-mm")</f>
        <v>2025-02</v>
      </c>
    </row>
    <row r="984" spans="1:8">
      <c r="A984">
        <v>983</v>
      </c>
      <c r="B984" s="1">
        <v>46041</v>
      </c>
      <c r="C984" t="s">
        <v>823</v>
      </c>
      <c r="D984" t="s">
        <v>347</v>
      </c>
      <c r="E984">
        <v>2</v>
      </c>
      <c r="F984">
        <v>19492</v>
      </c>
      <c r="G984">
        <f>TbReceitas[[#This Row],[quantidade]]*TbReceitas[[#This Row],[preco_unitario]]</f>
        <v>38984</v>
      </c>
      <c r="H984" t="str">
        <f>TEXT(TbReceitas[[#This Row],[data_transacao]], "aaaa-mm")</f>
        <v>2026-01</v>
      </c>
    </row>
    <row r="985" spans="1:8">
      <c r="A985">
        <v>984</v>
      </c>
      <c r="B985" s="1">
        <v>46258</v>
      </c>
      <c r="C985" t="s">
        <v>1004</v>
      </c>
      <c r="D985" t="s">
        <v>205</v>
      </c>
      <c r="E985">
        <v>5</v>
      </c>
      <c r="F985">
        <v>1639</v>
      </c>
      <c r="G985">
        <f>TbReceitas[[#This Row],[quantidade]]*TbReceitas[[#This Row],[preco_unitario]]</f>
        <v>8195</v>
      </c>
      <c r="H985" t="str">
        <f>TEXT(TbReceitas[[#This Row],[data_transacao]], "aaaa-mm")</f>
        <v>2026-08</v>
      </c>
    </row>
    <row r="986" spans="1:8">
      <c r="A986">
        <v>985</v>
      </c>
      <c r="B986" s="1">
        <v>45654</v>
      </c>
      <c r="C986" t="s">
        <v>1381</v>
      </c>
      <c r="D986" t="s">
        <v>42</v>
      </c>
      <c r="E986">
        <v>2</v>
      </c>
      <c r="F986">
        <v>23918</v>
      </c>
      <c r="G986">
        <f>TbReceitas[[#This Row],[quantidade]]*TbReceitas[[#This Row],[preco_unitario]]</f>
        <v>47836</v>
      </c>
      <c r="H986" t="str">
        <f>TEXT(TbReceitas[[#This Row],[data_transacao]], "aaaa-mm")</f>
        <v>2024-12</v>
      </c>
    </row>
    <row r="987" spans="1:8">
      <c r="A987">
        <v>986</v>
      </c>
      <c r="B987" s="1">
        <v>45654</v>
      </c>
      <c r="C987" t="s">
        <v>847</v>
      </c>
      <c r="D987" t="s">
        <v>407</v>
      </c>
      <c r="E987">
        <v>2</v>
      </c>
      <c r="F987">
        <v>6567</v>
      </c>
      <c r="G987">
        <f>TbReceitas[[#This Row],[quantidade]]*TbReceitas[[#This Row],[preco_unitario]]</f>
        <v>13134</v>
      </c>
      <c r="H987" t="str">
        <f>TEXT(TbReceitas[[#This Row],[data_transacao]], "aaaa-mm")</f>
        <v>2024-12</v>
      </c>
    </row>
    <row r="988" spans="1:8">
      <c r="A988">
        <v>987</v>
      </c>
      <c r="B988" s="1">
        <v>45949</v>
      </c>
      <c r="C988" t="s">
        <v>915</v>
      </c>
      <c r="D988" t="s">
        <v>533</v>
      </c>
      <c r="E988">
        <v>2</v>
      </c>
      <c r="F988">
        <v>7628</v>
      </c>
      <c r="G988">
        <f>TbReceitas[[#This Row],[quantidade]]*TbReceitas[[#This Row],[preco_unitario]]</f>
        <v>15256</v>
      </c>
      <c r="H988" t="str">
        <f>TEXT(TbReceitas[[#This Row],[data_transacao]], "aaaa-mm")</f>
        <v>2025-10</v>
      </c>
    </row>
    <row r="989" spans="1:8">
      <c r="A989">
        <v>988</v>
      </c>
      <c r="B989" s="1">
        <v>45644</v>
      </c>
      <c r="C989" t="s">
        <v>1382</v>
      </c>
      <c r="D989" t="s">
        <v>406</v>
      </c>
      <c r="E989">
        <v>2</v>
      </c>
      <c r="F989">
        <v>22347</v>
      </c>
      <c r="G989">
        <f>TbReceitas[[#This Row],[quantidade]]*TbReceitas[[#This Row],[preco_unitario]]</f>
        <v>44694</v>
      </c>
      <c r="H989" t="str">
        <f>TEXT(TbReceitas[[#This Row],[data_transacao]], "aaaa-mm")</f>
        <v>2024-12</v>
      </c>
    </row>
    <row r="990" spans="1:8">
      <c r="A990">
        <v>989</v>
      </c>
      <c r="B990" s="1">
        <v>46210</v>
      </c>
      <c r="C990" t="s">
        <v>884</v>
      </c>
      <c r="D990" t="s">
        <v>278</v>
      </c>
      <c r="E990">
        <v>3</v>
      </c>
      <c r="F990">
        <v>17591</v>
      </c>
      <c r="G990">
        <f>TbReceitas[[#This Row],[quantidade]]*TbReceitas[[#This Row],[preco_unitario]]</f>
        <v>52773</v>
      </c>
      <c r="H990" t="str">
        <f>TEXT(TbReceitas[[#This Row],[data_transacao]], "aaaa-mm")</f>
        <v>2026-07</v>
      </c>
    </row>
    <row r="991" spans="1:8">
      <c r="A991">
        <v>990</v>
      </c>
      <c r="B991" s="1">
        <v>45794</v>
      </c>
      <c r="C991" t="s">
        <v>1383</v>
      </c>
      <c r="D991" t="s">
        <v>722</v>
      </c>
      <c r="E991">
        <v>1</v>
      </c>
      <c r="F991">
        <v>1511</v>
      </c>
      <c r="G991">
        <f>TbReceitas[[#This Row],[quantidade]]*TbReceitas[[#This Row],[preco_unitario]]</f>
        <v>1511</v>
      </c>
      <c r="H991" t="str">
        <f>TEXT(TbReceitas[[#This Row],[data_transacao]], "aaaa-mm")</f>
        <v>2025-05</v>
      </c>
    </row>
    <row r="992" spans="1:8">
      <c r="A992">
        <v>991</v>
      </c>
      <c r="B992" s="1">
        <v>45788</v>
      </c>
      <c r="C992" t="s">
        <v>799</v>
      </c>
      <c r="D992" t="s">
        <v>191</v>
      </c>
      <c r="E992">
        <v>4</v>
      </c>
      <c r="F992">
        <v>18422</v>
      </c>
      <c r="G992">
        <f>TbReceitas[[#This Row],[quantidade]]*TbReceitas[[#This Row],[preco_unitario]]</f>
        <v>73688</v>
      </c>
      <c r="H992" t="str">
        <f>TEXT(TbReceitas[[#This Row],[data_transacao]], "aaaa-mm")</f>
        <v>2025-05</v>
      </c>
    </row>
    <row r="993" spans="1:8">
      <c r="A993">
        <v>992</v>
      </c>
      <c r="B993" s="1">
        <v>45653</v>
      </c>
      <c r="C993" t="s">
        <v>1384</v>
      </c>
      <c r="D993" t="s">
        <v>225</v>
      </c>
      <c r="E993">
        <v>5</v>
      </c>
      <c r="F993">
        <v>17354</v>
      </c>
      <c r="G993">
        <f>TbReceitas[[#This Row],[quantidade]]*TbReceitas[[#This Row],[preco_unitario]]</f>
        <v>86770</v>
      </c>
      <c r="H993" t="str">
        <f>TEXT(TbReceitas[[#This Row],[data_transacao]], "aaaa-mm")</f>
        <v>2024-12</v>
      </c>
    </row>
    <row r="994" spans="1:8">
      <c r="A994">
        <v>993</v>
      </c>
      <c r="B994" s="1">
        <v>45878</v>
      </c>
      <c r="C994" t="s">
        <v>1385</v>
      </c>
      <c r="D994" t="s">
        <v>616</v>
      </c>
      <c r="E994">
        <v>4</v>
      </c>
      <c r="F994">
        <v>23118</v>
      </c>
      <c r="G994">
        <f>TbReceitas[[#This Row],[quantidade]]*TbReceitas[[#This Row],[preco_unitario]]</f>
        <v>92472</v>
      </c>
      <c r="H994" t="str">
        <f>TEXT(TbReceitas[[#This Row],[data_transacao]], "aaaa-mm")</f>
        <v>2025-08</v>
      </c>
    </row>
    <row r="995" spans="1:8">
      <c r="A995">
        <v>994</v>
      </c>
      <c r="B995" s="1">
        <v>46008</v>
      </c>
      <c r="C995" t="s">
        <v>1386</v>
      </c>
      <c r="D995" t="s">
        <v>439</v>
      </c>
      <c r="E995">
        <v>3</v>
      </c>
      <c r="F995">
        <v>1782</v>
      </c>
      <c r="G995">
        <f>TbReceitas[[#This Row],[quantidade]]*TbReceitas[[#This Row],[preco_unitario]]</f>
        <v>5346</v>
      </c>
      <c r="H995" t="str">
        <f>TEXT(TbReceitas[[#This Row],[data_transacao]], "aaaa-mm")</f>
        <v>2025-12</v>
      </c>
    </row>
    <row r="996" spans="1:8">
      <c r="A996">
        <v>995</v>
      </c>
      <c r="B996" s="1">
        <v>45822</v>
      </c>
      <c r="C996" t="s">
        <v>1387</v>
      </c>
      <c r="D996" t="s">
        <v>514</v>
      </c>
      <c r="E996">
        <v>1</v>
      </c>
      <c r="F996">
        <v>5936</v>
      </c>
      <c r="G996">
        <f>TbReceitas[[#This Row],[quantidade]]*TbReceitas[[#This Row],[preco_unitario]]</f>
        <v>5936</v>
      </c>
      <c r="H996" t="str">
        <f>TEXT(TbReceitas[[#This Row],[data_transacao]], "aaaa-mm")</f>
        <v>2025-06</v>
      </c>
    </row>
    <row r="997" spans="1:8">
      <c r="A997">
        <v>996</v>
      </c>
      <c r="B997" s="1">
        <v>45581</v>
      </c>
      <c r="C997" t="s">
        <v>1086</v>
      </c>
      <c r="D997" t="s">
        <v>283</v>
      </c>
      <c r="E997">
        <v>4</v>
      </c>
      <c r="F997">
        <v>12218</v>
      </c>
      <c r="G997">
        <f>TbReceitas[[#This Row],[quantidade]]*TbReceitas[[#This Row],[preco_unitario]]</f>
        <v>48872</v>
      </c>
      <c r="H997" t="str">
        <f>TEXT(TbReceitas[[#This Row],[data_transacao]], "aaaa-mm")</f>
        <v>2024-10</v>
      </c>
    </row>
    <row r="998" spans="1:8">
      <c r="A998">
        <v>997</v>
      </c>
      <c r="B998" s="1">
        <v>46131</v>
      </c>
      <c r="C998" t="s">
        <v>1292</v>
      </c>
      <c r="D998" t="s">
        <v>448</v>
      </c>
      <c r="E998">
        <v>1</v>
      </c>
      <c r="F998">
        <v>20644</v>
      </c>
      <c r="G998">
        <f>TbReceitas[[#This Row],[quantidade]]*TbReceitas[[#This Row],[preco_unitario]]</f>
        <v>20644</v>
      </c>
      <c r="H998" t="str">
        <f>TEXT(TbReceitas[[#This Row],[data_transacao]], "aaaa-mm")</f>
        <v>2026-04</v>
      </c>
    </row>
    <row r="999" spans="1:8">
      <c r="A999">
        <v>998</v>
      </c>
      <c r="B999" s="1">
        <v>46247</v>
      </c>
      <c r="C999" t="s">
        <v>1388</v>
      </c>
      <c r="D999" t="s">
        <v>593</v>
      </c>
      <c r="E999">
        <v>5</v>
      </c>
      <c r="F999">
        <v>2171</v>
      </c>
      <c r="G999">
        <f>TbReceitas[[#This Row],[quantidade]]*TbReceitas[[#This Row],[preco_unitario]]</f>
        <v>10855</v>
      </c>
      <c r="H999" t="str">
        <f>TEXT(TbReceitas[[#This Row],[data_transacao]], "aaaa-mm")</f>
        <v>2026-08</v>
      </c>
    </row>
    <row r="1000" spans="1:8">
      <c r="A1000">
        <v>999</v>
      </c>
      <c r="B1000" s="1">
        <v>46212</v>
      </c>
      <c r="C1000" t="s">
        <v>1249</v>
      </c>
      <c r="D1000" t="s">
        <v>201</v>
      </c>
      <c r="E1000">
        <v>4</v>
      </c>
      <c r="F1000">
        <v>22649</v>
      </c>
      <c r="G1000">
        <f>TbReceitas[[#This Row],[quantidade]]*TbReceitas[[#This Row],[preco_unitario]]</f>
        <v>90596</v>
      </c>
      <c r="H1000" t="str">
        <f>TEXT(TbReceitas[[#This Row],[data_transacao]], "aaaa-mm")</f>
        <v>2026-07</v>
      </c>
    </row>
    <row r="1001" spans="1:8">
      <c r="A1001">
        <v>1000</v>
      </c>
      <c r="B1001" s="1">
        <v>45741</v>
      </c>
      <c r="C1001" t="s">
        <v>1086</v>
      </c>
      <c r="D1001" t="s">
        <v>398</v>
      </c>
      <c r="E1001">
        <v>1</v>
      </c>
      <c r="F1001">
        <v>8993</v>
      </c>
      <c r="G1001">
        <f>TbReceitas[[#This Row],[quantidade]]*TbReceitas[[#This Row],[preco_unitario]]</f>
        <v>8993</v>
      </c>
      <c r="H1001" t="str">
        <f>TEXT(TbReceitas[[#This Row],[data_transacao]], "aaaa-mm")</f>
        <v>2025-03</v>
      </c>
    </row>
    <row r="1002" spans="1:8">
      <c r="A1002">
        <v>1001</v>
      </c>
      <c r="B1002" s="1">
        <v>45703</v>
      </c>
      <c r="C1002" t="s">
        <v>1389</v>
      </c>
      <c r="D1002" t="s">
        <v>308</v>
      </c>
      <c r="E1002">
        <v>2</v>
      </c>
      <c r="F1002">
        <v>3639</v>
      </c>
      <c r="G1002">
        <f>TbReceitas[[#This Row],[quantidade]]*TbReceitas[[#This Row],[preco_unitario]]</f>
        <v>7278</v>
      </c>
      <c r="H1002" t="str">
        <f>TEXT(TbReceitas[[#This Row],[data_transacao]], "aaaa-mm")</f>
        <v>2025-02</v>
      </c>
    </row>
    <row r="1003" spans="1:8">
      <c r="A1003">
        <v>1002</v>
      </c>
      <c r="B1003" s="1">
        <v>46005</v>
      </c>
      <c r="C1003" t="s">
        <v>1122</v>
      </c>
      <c r="D1003" t="s">
        <v>419</v>
      </c>
      <c r="E1003">
        <v>4</v>
      </c>
      <c r="F1003">
        <v>22234</v>
      </c>
      <c r="G1003">
        <f>TbReceitas[[#This Row],[quantidade]]*TbReceitas[[#This Row],[preco_unitario]]</f>
        <v>88936</v>
      </c>
      <c r="H1003" t="str">
        <f>TEXT(TbReceitas[[#This Row],[data_transacao]], "aaaa-mm")</f>
        <v>2025-12</v>
      </c>
    </row>
    <row r="1004" spans="1:8">
      <c r="A1004">
        <v>1003</v>
      </c>
      <c r="B1004" s="1">
        <v>46061</v>
      </c>
      <c r="C1004" t="s">
        <v>1297</v>
      </c>
      <c r="D1004" t="s">
        <v>193</v>
      </c>
      <c r="E1004">
        <v>4</v>
      </c>
      <c r="F1004">
        <v>6592</v>
      </c>
      <c r="G1004">
        <f>TbReceitas[[#This Row],[quantidade]]*TbReceitas[[#This Row],[preco_unitario]]</f>
        <v>26368</v>
      </c>
      <c r="H1004" t="str">
        <f>TEXT(TbReceitas[[#This Row],[data_transacao]], "aaaa-mm")</f>
        <v>2026-02</v>
      </c>
    </row>
    <row r="1005" spans="1:8">
      <c r="A1005">
        <v>1004</v>
      </c>
      <c r="B1005" s="1">
        <v>45881</v>
      </c>
      <c r="C1005" t="s">
        <v>935</v>
      </c>
      <c r="D1005" t="s">
        <v>174</v>
      </c>
      <c r="E1005">
        <v>3</v>
      </c>
      <c r="F1005">
        <v>3232</v>
      </c>
      <c r="G1005">
        <f>TbReceitas[[#This Row],[quantidade]]*TbReceitas[[#This Row],[preco_unitario]]</f>
        <v>9696</v>
      </c>
      <c r="H1005" t="str">
        <f>TEXT(TbReceitas[[#This Row],[data_transacao]], "aaaa-mm")</f>
        <v>2025-08</v>
      </c>
    </row>
    <row r="1006" spans="1:8">
      <c r="A1006">
        <v>1005</v>
      </c>
      <c r="B1006" s="1">
        <v>45635</v>
      </c>
      <c r="C1006" t="s">
        <v>1390</v>
      </c>
      <c r="D1006" t="s">
        <v>692</v>
      </c>
      <c r="E1006">
        <v>4</v>
      </c>
      <c r="F1006">
        <v>14519</v>
      </c>
      <c r="G1006">
        <f>TbReceitas[[#This Row],[quantidade]]*TbReceitas[[#This Row],[preco_unitario]]</f>
        <v>58076</v>
      </c>
      <c r="H1006" t="str">
        <f>TEXT(TbReceitas[[#This Row],[data_transacao]], "aaaa-mm")</f>
        <v>2024-12</v>
      </c>
    </row>
    <row r="1007" spans="1:8">
      <c r="A1007">
        <v>1006</v>
      </c>
      <c r="B1007" s="1">
        <v>45879</v>
      </c>
      <c r="C1007" t="s">
        <v>1391</v>
      </c>
      <c r="D1007" t="s">
        <v>1392</v>
      </c>
      <c r="E1007">
        <v>3</v>
      </c>
      <c r="F1007">
        <v>346</v>
      </c>
      <c r="G1007">
        <f>TbReceitas[[#This Row],[quantidade]]*TbReceitas[[#This Row],[preco_unitario]]</f>
        <v>1038</v>
      </c>
      <c r="H1007" t="str">
        <f>TEXT(TbReceitas[[#This Row],[data_transacao]], "aaaa-mm")</f>
        <v>2025-08</v>
      </c>
    </row>
    <row r="1008" spans="1:8">
      <c r="A1008">
        <v>1007</v>
      </c>
      <c r="B1008" s="1">
        <v>45841</v>
      </c>
      <c r="C1008" t="s">
        <v>1393</v>
      </c>
      <c r="D1008" t="s">
        <v>508</v>
      </c>
      <c r="E1008">
        <v>3</v>
      </c>
      <c r="F1008">
        <v>12755</v>
      </c>
      <c r="G1008">
        <f>TbReceitas[[#This Row],[quantidade]]*TbReceitas[[#This Row],[preco_unitario]]</f>
        <v>38265</v>
      </c>
      <c r="H1008" t="str">
        <f>TEXT(TbReceitas[[#This Row],[data_transacao]], "aaaa-mm")</f>
        <v>2025-07</v>
      </c>
    </row>
    <row r="1009" spans="1:8">
      <c r="A1009">
        <v>1008</v>
      </c>
      <c r="B1009" s="1">
        <v>46047</v>
      </c>
      <c r="C1009" t="s">
        <v>796</v>
      </c>
      <c r="D1009" t="s">
        <v>102</v>
      </c>
      <c r="E1009">
        <v>3</v>
      </c>
      <c r="F1009">
        <v>10748</v>
      </c>
      <c r="G1009">
        <f>TbReceitas[[#This Row],[quantidade]]*TbReceitas[[#This Row],[preco_unitario]]</f>
        <v>32244</v>
      </c>
      <c r="H1009" t="str">
        <f>TEXT(TbReceitas[[#This Row],[data_transacao]], "aaaa-mm")</f>
        <v>2026-01</v>
      </c>
    </row>
    <row r="1010" spans="1:8">
      <c r="A1010">
        <v>1009</v>
      </c>
      <c r="B1010" s="1">
        <v>46217</v>
      </c>
      <c r="C1010" t="s">
        <v>1324</v>
      </c>
      <c r="D1010" t="s">
        <v>183</v>
      </c>
      <c r="E1010">
        <v>5</v>
      </c>
      <c r="F1010">
        <v>21471</v>
      </c>
      <c r="G1010">
        <f>TbReceitas[[#This Row],[quantidade]]*TbReceitas[[#This Row],[preco_unitario]]</f>
        <v>107355</v>
      </c>
      <c r="H1010" t="str">
        <f>TEXT(TbReceitas[[#This Row],[data_transacao]], "aaaa-mm")</f>
        <v>2026-07</v>
      </c>
    </row>
    <row r="1011" spans="1:8">
      <c r="A1011">
        <v>1010</v>
      </c>
      <c r="B1011" s="1">
        <v>45580</v>
      </c>
      <c r="C1011" t="s">
        <v>753</v>
      </c>
      <c r="D1011" t="s">
        <v>342</v>
      </c>
      <c r="E1011">
        <v>1</v>
      </c>
      <c r="F1011">
        <v>12967</v>
      </c>
      <c r="G1011">
        <f>TbReceitas[[#This Row],[quantidade]]*TbReceitas[[#This Row],[preco_unitario]]</f>
        <v>12967</v>
      </c>
      <c r="H1011" t="str">
        <f>TEXT(TbReceitas[[#This Row],[data_transacao]], "aaaa-mm")</f>
        <v>2024-10</v>
      </c>
    </row>
    <row r="1012" spans="1:8">
      <c r="A1012">
        <v>1011</v>
      </c>
      <c r="B1012" s="1">
        <v>45913</v>
      </c>
      <c r="C1012" t="s">
        <v>1056</v>
      </c>
      <c r="D1012" t="s">
        <v>48</v>
      </c>
      <c r="E1012">
        <v>1</v>
      </c>
      <c r="F1012">
        <v>169</v>
      </c>
      <c r="G1012">
        <f>TbReceitas[[#This Row],[quantidade]]*TbReceitas[[#This Row],[preco_unitario]]</f>
        <v>169</v>
      </c>
      <c r="H1012" t="str">
        <f>TEXT(TbReceitas[[#This Row],[data_transacao]], "aaaa-mm")</f>
        <v>2025-09</v>
      </c>
    </row>
    <row r="1013" spans="1:8">
      <c r="A1013">
        <v>1012</v>
      </c>
      <c r="B1013" s="1">
        <v>45812</v>
      </c>
      <c r="C1013" t="s">
        <v>1394</v>
      </c>
      <c r="D1013" t="s">
        <v>622</v>
      </c>
      <c r="E1013">
        <v>4</v>
      </c>
      <c r="F1013">
        <v>15428</v>
      </c>
      <c r="G1013">
        <f>TbReceitas[[#This Row],[quantidade]]*TbReceitas[[#This Row],[preco_unitario]]</f>
        <v>61712</v>
      </c>
      <c r="H1013" t="str">
        <f>TEXT(TbReceitas[[#This Row],[data_transacao]], "aaaa-mm")</f>
        <v>2025-06</v>
      </c>
    </row>
    <row r="1014" spans="1:8">
      <c r="A1014">
        <v>1013</v>
      </c>
      <c r="B1014" s="1">
        <v>46225</v>
      </c>
      <c r="C1014" t="s">
        <v>1233</v>
      </c>
      <c r="D1014" t="s">
        <v>624</v>
      </c>
      <c r="E1014">
        <v>4</v>
      </c>
      <c r="F1014">
        <v>4705</v>
      </c>
      <c r="G1014">
        <f>TbReceitas[[#This Row],[quantidade]]*TbReceitas[[#This Row],[preco_unitario]]</f>
        <v>18820</v>
      </c>
      <c r="H1014" t="str">
        <f>TEXT(TbReceitas[[#This Row],[data_transacao]], "aaaa-mm")</f>
        <v>2026-07</v>
      </c>
    </row>
    <row r="1015" spans="1:8">
      <c r="A1015">
        <v>1014</v>
      </c>
      <c r="B1015" s="1">
        <v>45721</v>
      </c>
      <c r="C1015" t="s">
        <v>1395</v>
      </c>
      <c r="D1015" t="s">
        <v>236</v>
      </c>
      <c r="E1015">
        <v>1</v>
      </c>
      <c r="F1015">
        <v>8167</v>
      </c>
      <c r="G1015">
        <f>TbReceitas[[#This Row],[quantidade]]*TbReceitas[[#This Row],[preco_unitario]]</f>
        <v>8167</v>
      </c>
      <c r="H1015" t="str">
        <f>TEXT(TbReceitas[[#This Row],[data_transacao]], "aaaa-mm")</f>
        <v>2025-03</v>
      </c>
    </row>
    <row r="1016" spans="1:8">
      <c r="A1016">
        <v>1015</v>
      </c>
      <c r="B1016" s="1">
        <v>45665</v>
      </c>
      <c r="C1016" t="s">
        <v>1396</v>
      </c>
      <c r="D1016" t="s">
        <v>456</v>
      </c>
      <c r="E1016">
        <v>1</v>
      </c>
      <c r="F1016">
        <v>4361</v>
      </c>
      <c r="G1016">
        <f>TbReceitas[[#This Row],[quantidade]]*TbReceitas[[#This Row],[preco_unitario]]</f>
        <v>4361</v>
      </c>
      <c r="H1016" t="str">
        <f>TEXT(TbReceitas[[#This Row],[data_transacao]], "aaaa-mm")</f>
        <v>2025-01</v>
      </c>
    </row>
    <row r="1017" spans="1:8">
      <c r="A1017">
        <v>1016</v>
      </c>
      <c r="B1017" s="1">
        <v>45738</v>
      </c>
      <c r="C1017" t="s">
        <v>1397</v>
      </c>
      <c r="D1017" t="s">
        <v>248</v>
      </c>
      <c r="E1017">
        <v>3</v>
      </c>
      <c r="F1017">
        <v>20401</v>
      </c>
      <c r="G1017">
        <f>TbReceitas[[#This Row],[quantidade]]*TbReceitas[[#This Row],[preco_unitario]]</f>
        <v>61203</v>
      </c>
      <c r="H1017" t="str">
        <f>TEXT(TbReceitas[[#This Row],[data_transacao]], "aaaa-mm")</f>
        <v>2025-03</v>
      </c>
    </row>
    <row r="1018" spans="1:8">
      <c r="A1018">
        <v>1017</v>
      </c>
      <c r="B1018" s="1">
        <v>45583</v>
      </c>
      <c r="C1018" t="s">
        <v>1398</v>
      </c>
      <c r="D1018" t="s">
        <v>565</v>
      </c>
      <c r="E1018">
        <v>5</v>
      </c>
      <c r="F1018">
        <v>21555</v>
      </c>
      <c r="G1018">
        <f>TbReceitas[[#This Row],[quantidade]]*TbReceitas[[#This Row],[preco_unitario]]</f>
        <v>107775</v>
      </c>
      <c r="H1018" t="str">
        <f>TEXT(TbReceitas[[#This Row],[data_transacao]], "aaaa-mm")</f>
        <v>2024-10</v>
      </c>
    </row>
    <row r="1019" spans="1:8">
      <c r="A1019">
        <v>1018</v>
      </c>
      <c r="B1019" s="1">
        <v>45902</v>
      </c>
      <c r="C1019" t="s">
        <v>1140</v>
      </c>
      <c r="D1019" t="s">
        <v>412</v>
      </c>
      <c r="E1019">
        <v>3</v>
      </c>
      <c r="F1019">
        <v>18704</v>
      </c>
      <c r="G1019">
        <f>TbReceitas[[#This Row],[quantidade]]*TbReceitas[[#This Row],[preco_unitario]]</f>
        <v>56112</v>
      </c>
      <c r="H1019" t="str">
        <f>TEXT(TbReceitas[[#This Row],[data_transacao]], "aaaa-mm")</f>
        <v>2025-09</v>
      </c>
    </row>
    <row r="1020" spans="1:8">
      <c r="A1020">
        <v>1019</v>
      </c>
      <c r="B1020" s="1">
        <v>45779</v>
      </c>
      <c r="C1020" t="s">
        <v>1376</v>
      </c>
      <c r="D1020" t="s">
        <v>594</v>
      </c>
      <c r="E1020">
        <v>1</v>
      </c>
      <c r="F1020">
        <v>9862</v>
      </c>
      <c r="G1020">
        <f>TbReceitas[[#This Row],[quantidade]]*TbReceitas[[#This Row],[preco_unitario]]</f>
        <v>9862</v>
      </c>
      <c r="H1020" t="str">
        <f>TEXT(TbReceitas[[#This Row],[data_transacao]], "aaaa-mm")</f>
        <v>2025-05</v>
      </c>
    </row>
    <row r="1021" spans="1:8">
      <c r="A1021">
        <v>1020</v>
      </c>
      <c r="B1021" s="1">
        <v>45780</v>
      </c>
      <c r="C1021" t="s">
        <v>1399</v>
      </c>
      <c r="D1021" t="s">
        <v>123</v>
      </c>
      <c r="E1021">
        <v>2</v>
      </c>
      <c r="F1021">
        <v>8019</v>
      </c>
      <c r="G1021">
        <f>TbReceitas[[#This Row],[quantidade]]*TbReceitas[[#This Row],[preco_unitario]]</f>
        <v>16038</v>
      </c>
      <c r="H1021" t="str">
        <f>TEXT(TbReceitas[[#This Row],[data_transacao]], "aaaa-mm")</f>
        <v>2025-05</v>
      </c>
    </row>
    <row r="1022" spans="1:8">
      <c r="A1022">
        <v>1021</v>
      </c>
      <c r="B1022" s="1">
        <v>46189</v>
      </c>
      <c r="C1022" t="s">
        <v>1099</v>
      </c>
      <c r="D1022" t="s">
        <v>36</v>
      </c>
      <c r="E1022">
        <v>1</v>
      </c>
      <c r="F1022">
        <v>20503</v>
      </c>
      <c r="G1022">
        <f>TbReceitas[[#This Row],[quantidade]]*TbReceitas[[#This Row],[preco_unitario]]</f>
        <v>20503</v>
      </c>
      <c r="H1022" t="str">
        <f>TEXT(TbReceitas[[#This Row],[data_transacao]], "aaaa-mm")</f>
        <v>2026-06</v>
      </c>
    </row>
    <row r="1023" spans="1:8">
      <c r="A1023">
        <v>1022</v>
      </c>
      <c r="B1023" s="1">
        <v>45701</v>
      </c>
      <c r="C1023" t="s">
        <v>1400</v>
      </c>
      <c r="D1023" t="s">
        <v>269</v>
      </c>
      <c r="E1023">
        <v>4</v>
      </c>
      <c r="F1023">
        <v>12528</v>
      </c>
      <c r="G1023">
        <f>TbReceitas[[#This Row],[quantidade]]*TbReceitas[[#This Row],[preco_unitario]]</f>
        <v>50112</v>
      </c>
      <c r="H1023" t="str">
        <f>TEXT(TbReceitas[[#This Row],[data_transacao]], "aaaa-mm")</f>
        <v>2025-02</v>
      </c>
    </row>
    <row r="1024" spans="1:8">
      <c r="A1024">
        <v>1023</v>
      </c>
      <c r="B1024" s="1">
        <v>45672</v>
      </c>
      <c r="C1024" t="s">
        <v>823</v>
      </c>
      <c r="D1024" t="s">
        <v>556</v>
      </c>
      <c r="E1024">
        <v>1</v>
      </c>
      <c r="F1024">
        <v>3854</v>
      </c>
      <c r="G1024">
        <f>TbReceitas[[#This Row],[quantidade]]*TbReceitas[[#This Row],[preco_unitario]]</f>
        <v>3854</v>
      </c>
      <c r="H1024" t="str">
        <f>TEXT(TbReceitas[[#This Row],[data_transacao]], "aaaa-mm")</f>
        <v>2025-01</v>
      </c>
    </row>
    <row r="1025" spans="1:8">
      <c r="A1025">
        <v>1024</v>
      </c>
      <c r="B1025" s="1">
        <v>45910</v>
      </c>
      <c r="C1025" t="s">
        <v>876</v>
      </c>
      <c r="D1025" t="s">
        <v>274</v>
      </c>
      <c r="E1025">
        <v>1</v>
      </c>
      <c r="F1025">
        <v>1178</v>
      </c>
      <c r="G1025">
        <f>TbReceitas[[#This Row],[quantidade]]*TbReceitas[[#This Row],[preco_unitario]]</f>
        <v>1178</v>
      </c>
      <c r="H1025" t="str">
        <f>TEXT(TbReceitas[[#This Row],[data_transacao]], "aaaa-mm")</f>
        <v>2025-09</v>
      </c>
    </row>
    <row r="1026" spans="1:8">
      <c r="A1026">
        <v>1025</v>
      </c>
      <c r="B1026" s="1">
        <v>45652</v>
      </c>
      <c r="C1026" t="s">
        <v>813</v>
      </c>
      <c r="D1026" t="s">
        <v>658</v>
      </c>
      <c r="E1026">
        <v>4</v>
      </c>
      <c r="F1026">
        <v>9276</v>
      </c>
      <c r="G1026">
        <f>TbReceitas[[#This Row],[quantidade]]*TbReceitas[[#This Row],[preco_unitario]]</f>
        <v>37104</v>
      </c>
      <c r="H1026" t="str">
        <f>TEXT(TbReceitas[[#This Row],[data_transacao]], "aaaa-mm")</f>
        <v>2024-12</v>
      </c>
    </row>
    <row r="1027" spans="1:8">
      <c r="A1027">
        <v>1026</v>
      </c>
      <c r="B1027" s="1">
        <v>45922</v>
      </c>
      <c r="C1027" t="s">
        <v>717</v>
      </c>
      <c r="D1027" t="s">
        <v>481</v>
      </c>
      <c r="E1027">
        <v>5</v>
      </c>
      <c r="F1027">
        <v>23782</v>
      </c>
      <c r="G1027">
        <f>TbReceitas[[#This Row],[quantidade]]*TbReceitas[[#This Row],[preco_unitario]]</f>
        <v>118910</v>
      </c>
      <c r="H1027" t="str">
        <f>TEXT(TbReceitas[[#This Row],[data_transacao]], "aaaa-mm")</f>
        <v>2025-09</v>
      </c>
    </row>
    <row r="1028" spans="1:8">
      <c r="A1028">
        <v>1027</v>
      </c>
      <c r="B1028" s="1">
        <v>45584</v>
      </c>
      <c r="C1028" t="s">
        <v>935</v>
      </c>
      <c r="D1028" t="s">
        <v>327</v>
      </c>
      <c r="E1028">
        <v>3</v>
      </c>
      <c r="F1028">
        <v>23125</v>
      </c>
      <c r="G1028">
        <f>TbReceitas[[#This Row],[quantidade]]*TbReceitas[[#This Row],[preco_unitario]]</f>
        <v>69375</v>
      </c>
      <c r="H1028" t="str">
        <f>TEXT(TbReceitas[[#This Row],[data_transacao]], "aaaa-mm")</f>
        <v>2024-10</v>
      </c>
    </row>
    <row r="1029" spans="1:8">
      <c r="A1029">
        <v>1028</v>
      </c>
      <c r="B1029" s="1">
        <v>45724</v>
      </c>
      <c r="C1029" t="s">
        <v>1278</v>
      </c>
      <c r="D1029" t="s">
        <v>354</v>
      </c>
      <c r="E1029">
        <v>5</v>
      </c>
      <c r="F1029">
        <v>19135</v>
      </c>
      <c r="G1029">
        <f>TbReceitas[[#This Row],[quantidade]]*TbReceitas[[#This Row],[preco_unitario]]</f>
        <v>95675</v>
      </c>
      <c r="H1029" t="str">
        <f>TEXT(TbReceitas[[#This Row],[data_transacao]], "aaaa-mm")</f>
        <v>2025-03</v>
      </c>
    </row>
    <row r="1030" spans="1:8">
      <c r="A1030">
        <v>1029</v>
      </c>
      <c r="B1030" s="1">
        <v>45926</v>
      </c>
      <c r="C1030" t="s">
        <v>1401</v>
      </c>
      <c r="D1030" t="s">
        <v>483</v>
      </c>
      <c r="E1030">
        <v>4</v>
      </c>
      <c r="F1030">
        <v>19339</v>
      </c>
      <c r="G1030">
        <f>TbReceitas[[#This Row],[quantidade]]*TbReceitas[[#This Row],[preco_unitario]]</f>
        <v>77356</v>
      </c>
      <c r="H1030" t="str">
        <f>TEXT(TbReceitas[[#This Row],[data_transacao]], "aaaa-mm")</f>
        <v>2025-09</v>
      </c>
    </row>
    <row r="1031" spans="1:8">
      <c r="A1031">
        <v>1030</v>
      </c>
      <c r="B1031" s="1">
        <v>45577</v>
      </c>
      <c r="C1031" t="s">
        <v>1347</v>
      </c>
      <c r="D1031" t="s">
        <v>533</v>
      </c>
      <c r="E1031">
        <v>3</v>
      </c>
      <c r="F1031">
        <v>7628</v>
      </c>
      <c r="G1031">
        <f>TbReceitas[[#This Row],[quantidade]]*TbReceitas[[#This Row],[preco_unitario]]</f>
        <v>22884</v>
      </c>
      <c r="H1031" t="str">
        <f>TEXT(TbReceitas[[#This Row],[data_transacao]], "aaaa-mm")</f>
        <v>2024-10</v>
      </c>
    </row>
    <row r="1032" spans="1:8">
      <c r="A1032">
        <v>1031</v>
      </c>
      <c r="B1032" s="1">
        <v>46047</v>
      </c>
      <c r="C1032" t="s">
        <v>1402</v>
      </c>
      <c r="D1032" t="s">
        <v>510</v>
      </c>
      <c r="E1032">
        <v>5</v>
      </c>
      <c r="F1032">
        <v>16197</v>
      </c>
      <c r="G1032">
        <f>TbReceitas[[#This Row],[quantidade]]*TbReceitas[[#This Row],[preco_unitario]]</f>
        <v>80985</v>
      </c>
      <c r="H1032" t="str">
        <f>TEXT(TbReceitas[[#This Row],[data_transacao]], "aaaa-mm")</f>
        <v>2026-01</v>
      </c>
    </row>
    <row r="1033" spans="1:8">
      <c r="A1033">
        <v>1032</v>
      </c>
      <c r="B1033" s="1">
        <v>46075</v>
      </c>
      <c r="C1033" t="s">
        <v>1403</v>
      </c>
      <c r="D1033" t="s">
        <v>658</v>
      </c>
      <c r="E1033">
        <v>3</v>
      </c>
      <c r="F1033">
        <v>9276</v>
      </c>
      <c r="G1033">
        <f>TbReceitas[[#This Row],[quantidade]]*TbReceitas[[#This Row],[preco_unitario]]</f>
        <v>27828</v>
      </c>
      <c r="H1033" t="str">
        <f>TEXT(TbReceitas[[#This Row],[data_transacao]], "aaaa-mm")</f>
        <v>2026-02</v>
      </c>
    </row>
    <row r="1034" spans="1:8">
      <c r="A1034">
        <v>1033</v>
      </c>
      <c r="B1034" s="1">
        <v>46254</v>
      </c>
      <c r="C1034" t="s">
        <v>1239</v>
      </c>
      <c r="D1034" t="s">
        <v>325</v>
      </c>
      <c r="E1034">
        <v>2</v>
      </c>
      <c r="F1034">
        <v>15415</v>
      </c>
      <c r="G1034">
        <f>TbReceitas[[#This Row],[quantidade]]*TbReceitas[[#This Row],[preco_unitario]]</f>
        <v>30830</v>
      </c>
      <c r="H1034" t="str">
        <f>TEXT(TbReceitas[[#This Row],[data_transacao]], "aaaa-mm")</f>
        <v>2026-08</v>
      </c>
    </row>
    <row r="1035" spans="1:8">
      <c r="A1035">
        <v>1034</v>
      </c>
      <c r="B1035" s="1">
        <v>45979</v>
      </c>
      <c r="C1035" t="s">
        <v>772</v>
      </c>
      <c r="D1035" t="s">
        <v>145</v>
      </c>
      <c r="E1035">
        <v>4</v>
      </c>
      <c r="F1035">
        <v>3517</v>
      </c>
      <c r="G1035">
        <f>TbReceitas[[#This Row],[quantidade]]*TbReceitas[[#This Row],[preco_unitario]]</f>
        <v>14068</v>
      </c>
      <c r="H1035" t="str">
        <f>TEXT(TbReceitas[[#This Row],[data_transacao]], "aaaa-mm")</f>
        <v>2025-11</v>
      </c>
    </row>
    <row r="1036" spans="1:8">
      <c r="A1036">
        <v>1035</v>
      </c>
      <c r="B1036" s="1">
        <v>45587</v>
      </c>
      <c r="C1036" t="s">
        <v>912</v>
      </c>
      <c r="D1036" t="s">
        <v>451</v>
      </c>
      <c r="E1036">
        <v>5</v>
      </c>
      <c r="F1036">
        <v>17205</v>
      </c>
      <c r="G1036">
        <f>TbReceitas[[#This Row],[quantidade]]*TbReceitas[[#This Row],[preco_unitario]]</f>
        <v>86025</v>
      </c>
      <c r="H1036" t="str">
        <f>TEXT(TbReceitas[[#This Row],[data_transacao]], "aaaa-mm")</f>
        <v>2024-10</v>
      </c>
    </row>
    <row r="1037" spans="1:8">
      <c r="A1037">
        <v>1036</v>
      </c>
      <c r="B1037" s="1">
        <v>46069</v>
      </c>
      <c r="C1037" t="s">
        <v>1045</v>
      </c>
      <c r="D1037" t="s">
        <v>701</v>
      </c>
      <c r="E1037">
        <v>1</v>
      </c>
      <c r="F1037">
        <v>11243</v>
      </c>
      <c r="G1037">
        <f>TbReceitas[[#This Row],[quantidade]]*TbReceitas[[#This Row],[preco_unitario]]</f>
        <v>11243</v>
      </c>
      <c r="H1037" t="str">
        <f>TEXT(TbReceitas[[#This Row],[data_transacao]], "aaaa-mm")</f>
        <v>2026-02</v>
      </c>
    </row>
    <row r="1038" spans="1:8">
      <c r="A1038">
        <v>1037</v>
      </c>
      <c r="B1038" s="1">
        <v>46105</v>
      </c>
      <c r="C1038" t="s">
        <v>1404</v>
      </c>
      <c r="D1038" t="s">
        <v>477</v>
      </c>
      <c r="E1038">
        <v>3</v>
      </c>
      <c r="F1038">
        <v>16642</v>
      </c>
      <c r="G1038">
        <f>TbReceitas[[#This Row],[quantidade]]*TbReceitas[[#This Row],[preco_unitario]]</f>
        <v>49926</v>
      </c>
      <c r="H1038" t="str">
        <f>TEXT(TbReceitas[[#This Row],[data_transacao]], "aaaa-mm")</f>
        <v>2026-03</v>
      </c>
    </row>
    <row r="1039" spans="1:8">
      <c r="A1039">
        <v>1038</v>
      </c>
      <c r="B1039" s="1">
        <v>45769</v>
      </c>
      <c r="C1039" t="s">
        <v>774</v>
      </c>
      <c r="D1039" t="s">
        <v>134</v>
      </c>
      <c r="E1039">
        <v>4</v>
      </c>
      <c r="F1039">
        <v>12384</v>
      </c>
      <c r="G1039">
        <f>TbReceitas[[#This Row],[quantidade]]*TbReceitas[[#This Row],[preco_unitario]]</f>
        <v>49536</v>
      </c>
      <c r="H1039" t="str">
        <f>TEXT(TbReceitas[[#This Row],[data_transacao]], "aaaa-mm")</f>
        <v>2025-04</v>
      </c>
    </row>
    <row r="1040" spans="1:8">
      <c r="A1040">
        <v>1039</v>
      </c>
      <c r="B1040" s="1">
        <v>46233</v>
      </c>
      <c r="C1040" t="s">
        <v>999</v>
      </c>
      <c r="D1040" t="s">
        <v>577</v>
      </c>
      <c r="E1040">
        <v>3</v>
      </c>
      <c r="F1040">
        <v>13816</v>
      </c>
      <c r="G1040">
        <f>TbReceitas[[#This Row],[quantidade]]*TbReceitas[[#This Row],[preco_unitario]]</f>
        <v>41448</v>
      </c>
      <c r="H1040" t="str">
        <f>TEXT(TbReceitas[[#This Row],[data_transacao]], "aaaa-mm")</f>
        <v>2026-07</v>
      </c>
    </row>
    <row r="1041" spans="1:8">
      <c r="A1041">
        <v>1040</v>
      </c>
      <c r="B1041" s="1">
        <v>46198</v>
      </c>
      <c r="C1041" t="s">
        <v>1099</v>
      </c>
      <c r="D1041" t="s">
        <v>527</v>
      </c>
      <c r="E1041">
        <v>4</v>
      </c>
      <c r="F1041">
        <v>14693</v>
      </c>
      <c r="G1041">
        <f>TbReceitas[[#This Row],[quantidade]]*TbReceitas[[#This Row],[preco_unitario]]</f>
        <v>58772</v>
      </c>
      <c r="H1041" t="str">
        <f>TEXT(TbReceitas[[#This Row],[data_transacao]], "aaaa-mm")</f>
        <v>2026-06</v>
      </c>
    </row>
    <row r="1042" spans="1:8">
      <c r="A1042">
        <v>1041</v>
      </c>
      <c r="B1042" s="1">
        <v>45848</v>
      </c>
      <c r="C1042" t="s">
        <v>1337</v>
      </c>
      <c r="D1042" t="s">
        <v>481</v>
      </c>
      <c r="E1042">
        <v>3</v>
      </c>
      <c r="F1042">
        <v>23782</v>
      </c>
      <c r="G1042">
        <f>TbReceitas[[#This Row],[quantidade]]*TbReceitas[[#This Row],[preco_unitario]]</f>
        <v>71346</v>
      </c>
      <c r="H1042" t="str">
        <f>TEXT(TbReceitas[[#This Row],[data_transacao]], "aaaa-mm")</f>
        <v>2025-07</v>
      </c>
    </row>
    <row r="1043" spans="1:8">
      <c r="A1043">
        <v>1042</v>
      </c>
      <c r="B1043" s="1">
        <v>45838</v>
      </c>
      <c r="C1043" t="s">
        <v>747</v>
      </c>
      <c r="D1043" t="s">
        <v>115</v>
      </c>
      <c r="E1043">
        <v>3</v>
      </c>
      <c r="F1043">
        <v>10588</v>
      </c>
      <c r="G1043">
        <f>TbReceitas[[#This Row],[quantidade]]*TbReceitas[[#This Row],[preco_unitario]]</f>
        <v>31764</v>
      </c>
      <c r="H1043" t="str">
        <f>TEXT(TbReceitas[[#This Row],[data_transacao]], "aaaa-mm")</f>
        <v>2025-06</v>
      </c>
    </row>
    <row r="1044" spans="1:8">
      <c r="A1044">
        <v>1043</v>
      </c>
      <c r="B1044" s="1">
        <v>45856</v>
      </c>
      <c r="C1044" t="s">
        <v>1405</v>
      </c>
      <c r="D1044" t="s">
        <v>176</v>
      </c>
      <c r="E1044">
        <v>3</v>
      </c>
      <c r="F1044">
        <v>776</v>
      </c>
      <c r="G1044">
        <f>TbReceitas[[#This Row],[quantidade]]*TbReceitas[[#This Row],[preco_unitario]]</f>
        <v>2328</v>
      </c>
      <c r="H1044" t="str">
        <f>TEXT(TbReceitas[[#This Row],[data_transacao]], "aaaa-mm")</f>
        <v>2025-07</v>
      </c>
    </row>
    <row r="1045" spans="1:8">
      <c r="A1045">
        <v>1044</v>
      </c>
      <c r="B1045" s="1">
        <v>46141</v>
      </c>
      <c r="C1045" t="s">
        <v>1406</v>
      </c>
      <c r="D1045" t="s">
        <v>112</v>
      </c>
      <c r="E1045">
        <v>4</v>
      </c>
      <c r="F1045">
        <v>19319</v>
      </c>
      <c r="G1045">
        <f>TbReceitas[[#This Row],[quantidade]]*TbReceitas[[#This Row],[preco_unitario]]</f>
        <v>77276</v>
      </c>
      <c r="H1045" t="str">
        <f>TEXT(TbReceitas[[#This Row],[data_transacao]], "aaaa-mm")</f>
        <v>2026-04</v>
      </c>
    </row>
    <row r="1046" spans="1:8">
      <c r="A1046">
        <v>1045</v>
      </c>
      <c r="B1046" s="1">
        <v>45880</v>
      </c>
      <c r="C1046" t="s">
        <v>1175</v>
      </c>
      <c r="D1046" t="s">
        <v>197</v>
      </c>
      <c r="E1046">
        <v>3</v>
      </c>
      <c r="F1046">
        <v>1917</v>
      </c>
      <c r="G1046">
        <f>TbReceitas[[#This Row],[quantidade]]*TbReceitas[[#This Row],[preco_unitario]]</f>
        <v>5751</v>
      </c>
      <c r="H1046" t="str">
        <f>TEXT(TbReceitas[[#This Row],[data_transacao]], "aaaa-mm")</f>
        <v>2025-08</v>
      </c>
    </row>
    <row r="1047" spans="1:8">
      <c r="A1047">
        <v>1046</v>
      </c>
      <c r="B1047" s="1">
        <v>45782</v>
      </c>
      <c r="C1047" t="s">
        <v>1117</v>
      </c>
      <c r="D1047" t="s">
        <v>180</v>
      </c>
      <c r="E1047">
        <v>4</v>
      </c>
      <c r="F1047">
        <v>2024</v>
      </c>
      <c r="G1047">
        <f>TbReceitas[[#This Row],[quantidade]]*TbReceitas[[#This Row],[preco_unitario]]</f>
        <v>8096</v>
      </c>
      <c r="H1047" t="str">
        <f>TEXT(TbReceitas[[#This Row],[data_transacao]], "aaaa-mm")</f>
        <v>2025-05</v>
      </c>
    </row>
    <row r="1048" spans="1:8">
      <c r="A1048">
        <v>1047</v>
      </c>
      <c r="B1048" s="1">
        <v>45928</v>
      </c>
      <c r="C1048" t="s">
        <v>1294</v>
      </c>
      <c r="D1048" t="s">
        <v>127</v>
      </c>
      <c r="E1048">
        <v>5</v>
      </c>
      <c r="F1048">
        <v>648</v>
      </c>
      <c r="G1048">
        <f>TbReceitas[[#This Row],[quantidade]]*TbReceitas[[#This Row],[preco_unitario]]</f>
        <v>3240</v>
      </c>
      <c r="H1048" t="str">
        <f>TEXT(TbReceitas[[#This Row],[data_transacao]], "aaaa-mm")</f>
        <v>2025-09</v>
      </c>
    </row>
    <row r="1049" spans="1:8">
      <c r="A1049">
        <v>1048</v>
      </c>
      <c r="B1049" s="1">
        <v>46112</v>
      </c>
      <c r="C1049" t="s">
        <v>1407</v>
      </c>
      <c r="D1049" t="s">
        <v>324</v>
      </c>
      <c r="E1049">
        <v>3</v>
      </c>
      <c r="F1049">
        <v>16348</v>
      </c>
      <c r="G1049">
        <f>TbReceitas[[#This Row],[quantidade]]*TbReceitas[[#This Row],[preco_unitario]]</f>
        <v>49044</v>
      </c>
      <c r="H1049" t="str">
        <f>TEXT(TbReceitas[[#This Row],[data_transacao]], "aaaa-mm")</f>
        <v>2026-03</v>
      </c>
    </row>
    <row r="1050" spans="1:8">
      <c r="A1050">
        <v>1049</v>
      </c>
      <c r="B1050" s="1">
        <v>45642</v>
      </c>
      <c r="C1050" t="s">
        <v>1009</v>
      </c>
      <c r="D1050" t="s">
        <v>611</v>
      </c>
      <c r="E1050">
        <v>1</v>
      </c>
      <c r="F1050">
        <v>20719</v>
      </c>
      <c r="G1050">
        <f>TbReceitas[[#This Row],[quantidade]]*TbReceitas[[#This Row],[preco_unitario]]</f>
        <v>20719</v>
      </c>
      <c r="H1050" t="str">
        <f>TEXT(TbReceitas[[#This Row],[data_transacao]], "aaaa-mm")</f>
        <v>2024-12</v>
      </c>
    </row>
    <row r="1051" spans="1:8">
      <c r="A1051">
        <v>1050</v>
      </c>
      <c r="B1051" s="1">
        <v>45939</v>
      </c>
      <c r="C1051" t="s">
        <v>1408</v>
      </c>
      <c r="D1051" t="s">
        <v>215</v>
      </c>
      <c r="E1051">
        <v>5</v>
      </c>
      <c r="F1051">
        <v>6467</v>
      </c>
      <c r="G1051">
        <f>TbReceitas[[#This Row],[quantidade]]*TbReceitas[[#This Row],[preco_unitario]]</f>
        <v>32335</v>
      </c>
      <c r="H1051" t="str">
        <f>TEXT(TbReceitas[[#This Row],[data_transacao]], "aaaa-mm")</f>
        <v>2025-10</v>
      </c>
    </row>
    <row r="1052" spans="1:8">
      <c r="A1052">
        <v>1051</v>
      </c>
      <c r="B1052" s="1">
        <v>45711</v>
      </c>
      <c r="C1052" t="s">
        <v>1409</v>
      </c>
      <c r="D1052" t="s">
        <v>173</v>
      </c>
      <c r="E1052">
        <v>2</v>
      </c>
      <c r="F1052">
        <v>10965</v>
      </c>
      <c r="G1052">
        <f>TbReceitas[[#This Row],[quantidade]]*TbReceitas[[#This Row],[preco_unitario]]</f>
        <v>21930</v>
      </c>
      <c r="H1052" t="str">
        <f>TEXT(TbReceitas[[#This Row],[data_transacao]], "aaaa-mm")</f>
        <v>2025-02</v>
      </c>
    </row>
    <row r="1053" spans="1:8">
      <c r="A1053">
        <v>1052</v>
      </c>
      <c r="B1053" s="1">
        <v>45952</v>
      </c>
      <c r="C1053" t="s">
        <v>1102</v>
      </c>
      <c r="D1053" t="s">
        <v>171</v>
      </c>
      <c r="E1053">
        <v>1</v>
      </c>
      <c r="F1053">
        <v>9866</v>
      </c>
      <c r="G1053">
        <f>TbReceitas[[#This Row],[quantidade]]*TbReceitas[[#This Row],[preco_unitario]]</f>
        <v>9866</v>
      </c>
      <c r="H1053" t="str">
        <f>TEXT(TbReceitas[[#This Row],[data_transacao]], "aaaa-mm")</f>
        <v>2025-10</v>
      </c>
    </row>
    <row r="1054" spans="1:8">
      <c r="A1054">
        <v>1053</v>
      </c>
      <c r="B1054" s="1">
        <v>45809</v>
      </c>
      <c r="C1054" t="s">
        <v>1365</v>
      </c>
      <c r="D1054" t="s">
        <v>20</v>
      </c>
      <c r="E1054">
        <v>3</v>
      </c>
      <c r="F1054">
        <v>5319</v>
      </c>
      <c r="G1054">
        <f>TbReceitas[[#This Row],[quantidade]]*TbReceitas[[#This Row],[preco_unitario]]</f>
        <v>15957</v>
      </c>
      <c r="H1054" t="str">
        <f>TEXT(TbReceitas[[#This Row],[data_transacao]], "aaaa-mm")</f>
        <v>2025-06</v>
      </c>
    </row>
    <row r="1055" spans="1:8">
      <c r="A1055">
        <v>1054</v>
      </c>
      <c r="B1055" s="1">
        <v>46112</v>
      </c>
      <c r="C1055" t="s">
        <v>1410</v>
      </c>
      <c r="D1055" t="s">
        <v>11</v>
      </c>
      <c r="E1055">
        <v>3</v>
      </c>
      <c r="F1055">
        <v>21599</v>
      </c>
      <c r="G1055">
        <f>TbReceitas[[#This Row],[quantidade]]*TbReceitas[[#This Row],[preco_unitario]]</f>
        <v>64797</v>
      </c>
      <c r="H1055" t="str">
        <f>TEXT(TbReceitas[[#This Row],[data_transacao]], "aaaa-mm")</f>
        <v>2026-03</v>
      </c>
    </row>
    <row r="1056" spans="1:8">
      <c r="A1056">
        <v>1055</v>
      </c>
      <c r="B1056" s="1">
        <v>45980</v>
      </c>
      <c r="C1056" t="s">
        <v>880</v>
      </c>
      <c r="D1056" t="s">
        <v>525</v>
      </c>
      <c r="E1056">
        <v>4</v>
      </c>
      <c r="F1056">
        <v>5995</v>
      </c>
      <c r="G1056">
        <f>TbReceitas[[#This Row],[quantidade]]*TbReceitas[[#This Row],[preco_unitario]]</f>
        <v>23980</v>
      </c>
      <c r="H1056" t="str">
        <f>TEXT(TbReceitas[[#This Row],[data_transacao]], "aaaa-mm")</f>
        <v>2025-11</v>
      </c>
    </row>
    <row r="1057" spans="1:8">
      <c r="A1057">
        <v>1056</v>
      </c>
      <c r="B1057" s="1">
        <v>46198</v>
      </c>
      <c r="C1057" t="s">
        <v>1411</v>
      </c>
      <c r="D1057" t="s">
        <v>282</v>
      </c>
      <c r="E1057">
        <v>5</v>
      </c>
      <c r="F1057">
        <v>2647</v>
      </c>
      <c r="G1057">
        <f>TbReceitas[[#This Row],[quantidade]]*TbReceitas[[#This Row],[preco_unitario]]</f>
        <v>13235</v>
      </c>
      <c r="H1057" t="str">
        <f>TEXT(TbReceitas[[#This Row],[data_transacao]], "aaaa-mm")</f>
        <v>2026-06</v>
      </c>
    </row>
    <row r="1058" spans="1:8">
      <c r="A1058">
        <v>1057</v>
      </c>
      <c r="B1058" s="1">
        <v>45730</v>
      </c>
      <c r="C1058" t="s">
        <v>1067</v>
      </c>
      <c r="D1058" t="s">
        <v>148</v>
      </c>
      <c r="E1058">
        <v>3</v>
      </c>
      <c r="F1058">
        <v>20605</v>
      </c>
      <c r="G1058">
        <f>TbReceitas[[#This Row],[quantidade]]*TbReceitas[[#This Row],[preco_unitario]]</f>
        <v>61815</v>
      </c>
      <c r="H1058" t="str">
        <f>TEXT(TbReceitas[[#This Row],[data_transacao]], "aaaa-mm")</f>
        <v>2025-03</v>
      </c>
    </row>
    <row r="1059" spans="1:8">
      <c r="A1059">
        <v>1058</v>
      </c>
      <c r="B1059" s="1">
        <v>45861</v>
      </c>
      <c r="C1059" t="s">
        <v>1412</v>
      </c>
      <c r="D1059" t="s">
        <v>696</v>
      </c>
      <c r="E1059">
        <v>4</v>
      </c>
      <c r="F1059">
        <v>24429</v>
      </c>
      <c r="G1059">
        <f>TbReceitas[[#This Row],[quantidade]]*TbReceitas[[#This Row],[preco_unitario]]</f>
        <v>97716</v>
      </c>
      <c r="H1059" t="str">
        <f>TEXT(TbReceitas[[#This Row],[data_transacao]], "aaaa-mm")</f>
        <v>2025-07</v>
      </c>
    </row>
    <row r="1060" spans="1:8">
      <c r="A1060">
        <v>1059</v>
      </c>
      <c r="B1060" s="1">
        <v>45586</v>
      </c>
      <c r="C1060" t="s">
        <v>1413</v>
      </c>
      <c r="D1060" t="s">
        <v>53</v>
      </c>
      <c r="E1060">
        <v>3</v>
      </c>
      <c r="F1060">
        <v>8689</v>
      </c>
      <c r="G1060">
        <f>TbReceitas[[#This Row],[quantidade]]*TbReceitas[[#This Row],[preco_unitario]]</f>
        <v>26067</v>
      </c>
      <c r="H1060" t="str">
        <f>TEXT(TbReceitas[[#This Row],[data_transacao]], "aaaa-mm")</f>
        <v>2024-10</v>
      </c>
    </row>
    <row r="1061" spans="1:8">
      <c r="A1061">
        <v>1060</v>
      </c>
      <c r="B1061" s="1">
        <v>45629</v>
      </c>
      <c r="C1061" t="s">
        <v>1414</v>
      </c>
      <c r="D1061" t="s">
        <v>135</v>
      </c>
      <c r="E1061">
        <v>3</v>
      </c>
      <c r="F1061">
        <v>2344</v>
      </c>
      <c r="G1061">
        <f>TbReceitas[[#This Row],[quantidade]]*TbReceitas[[#This Row],[preco_unitario]]</f>
        <v>7032</v>
      </c>
      <c r="H1061" t="str">
        <f>TEXT(TbReceitas[[#This Row],[data_transacao]], "aaaa-mm")</f>
        <v>2024-12</v>
      </c>
    </row>
    <row r="1062" spans="1:8">
      <c r="A1062">
        <v>1061</v>
      </c>
      <c r="B1062" s="1">
        <v>46016</v>
      </c>
      <c r="C1062" t="s">
        <v>1415</v>
      </c>
      <c r="D1062" t="s">
        <v>87</v>
      </c>
      <c r="E1062">
        <v>3</v>
      </c>
      <c r="F1062">
        <v>5365</v>
      </c>
      <c r="G1062">
        <f>TbReceitas[[#This Row],[quantidade]]*TbReceitas[[#This Row],[preco_unitario]]</f>
        <v>16095</v>
      </c>
      <c r="H1062" t="str">
        <f>TEXT(TbReceitas[[#This Row],[data_transacao]], "aaaa-mm")</f>
        <v>2025-12</v>
      </c>
    </row>
    <row r="1063" spans="1:8">
      <c r="A1063">
        <v>1062</v>
      </c>
      <c r="B1063" s="1">
        <v>46018</v>
      </c>
      <c r="C1063" t="s">
        <v>1416</v>
      </c>
      <c r="D1063" t="s">
        <v>564</v>
      </c>
      <c r="E1063">
        <v>5</v>
      </c>
      <c r="F1063">
        <v>13486</v>
      </c>
      <c r="G1063">
        <f>TbReceitas[[#This Row],[quantidade]]*TbReceitas[[#This Row],[preco_unitario]]</f>
        <v>67430</v>
      </c>
      <c r="H1063" t="str">
        <f>TEXT(TbReceitas[[#This Row],[data_transacao]], "aaaa-mm")</f>
        <v>2025-12</v>
      </c>
    </row>
    <row r="1064" spans="1:8">
      <c r="A1064">
        <v>1063</v>
      </c>
      <c r="B1064" s="1">
        <v>45806</v>
      </c>
      <c r="C1064" t="s">
        <v>1417</v>
      </c>
      <c r="D1064" t="s">
        <v>277</v>
      </c>
      <c r="E1064">
        <v>3</v>
      </c>
      <c r="F1064">
        <v>13583</v>
      </c>
      <c r="G1064">
        <f>TbReceitas[[#This Row],[quantidade]]*TbReceitas[[#This Row],[preco_unitario]]</f>
        <v>40749</v>
      </c>
      <c r="H1064" t="str">
        <f>TEXT(TbReceitas[[#This Row],[data_transacao]], "aaaa-mm")</f>
        <v>2025-05</v>
      </c>
    </row>
    <row r="1065" spans="1:8">
      <c r="A1065">
        <v>1064</v>
      </c>
      <c r="B1065" s="1">
        <v>45612</v>
      </c>
      <c r="C1065" t="s">
        <v>1202</v>
      </c>
      <c r="D1065" t="s">
        <v>16</v>
      </c>
      <c r="E1065">
        <v>3</v>
      </c>
      <c r="F1065">
        <v>19899</v>
      </c>
      <c r="G1065">
        <f>TbReceitas[[#This Row],[quantidade]]*TbReceitas[[#This Row],[preco_unitario]]</f>
        <v>59697</v>
      </c>
      <c r="H1065" t="str">
        <f>TEXT(TbReceitas[[#This Row],[data_transacao]], "aaaa-mm")</f>
        <v>2024-11</v>
      </c>
    </row>
    <row r="1066" spans="1:8">
      <c r="A1066">
        <v>1065</v>
      </c>
      <c r="B1066" s="1">
        <v>45795</v>
      </c>
      <c r="C1066" t="s">
        <v>1418</v>
      </c>
      <c r="D1066" t="s">
        <v>662</v>
      </c>
      <c r="E1066">
        <v>1</v>
      </c>
      <c r="F1066">
        <v>18382</v>
      </c>
      <c r="G1066">
        <f>TbReceitas[[#This Row],[quantidade]]*TbReceitas[[#This Row],[preco_unitario]]</f>
        <v>18382</v>
      </c>
      <c r="H1066" t="str">
        <f>TEXT(TbReceitas[[#This Row],[data_transacao]], "aaaa-mm")</f>
        <v>2025-05</v>
      </c>
    </row>
    <row r="1067" spans="1:8">
      <c r="A1067">
        <v>1066</v>
      </c>
      <c r="B1067" s="1">
        <v>46058</v>
      </c>
      <c r="C1067" t="s">
        <v>1419</v>
      </c>
      <c r="D1067" t="s">
        <v>413</v>
      </c>
      <c r="E1067">
        <v>1</v>
      </c>
      <c r="F1067">
        <v>738</v>
      </c>
      <c r="G1067">
        <f>TbReceitas[[#This Row],[quantidade]]*TbReceitas[[#This Row],[preco_unitario]]</f>
        <v>738</v>
      </c>
      <c r="H1067" t="str">
        <f>TEXT(TbReceitas[[#This Row],[data_transacao]], "aaaa-mm")</f>
        <v>2026-02</v>
      </c>
    </row>
    <row r="1068" spans="1:8">
      <c r="A1068">
        <v>1067</v>
      </c>
      <c r="B1068" s="1">
        <v>45805</v>
      </c>
      <c r="C1068" t="s">
        <v>1420</v>
      </c>
      <c r="D1068" t="s">
        <v>122</v>
      </c>
      <c r="E1068">
        <v>1</v>
      </c>
      <c r="F1068">
        <v>2704</v>
      </c>
      <c r="G1068">
        <f>TbReceitas[[#This Row],[quantidade]]*TbReceitas[[#This Row],[preco_unitario]]</f>
        <v>2704</v>
      </c>
      <c r="H1068" t="str">
        <f>TEXT(TbReceitas[[#This Row],[data_transacao]], "aaaa-mm")</f>
        <v>2025-05</v>
      </c>
    </row>
    <row r="1069" spans="1:8">
      <c r="A1069">
        <v>1068</v>
      </c>
      <c r="B1069" s="1">
        <v>45614</v>
      </c>
      <c r="C1069" t="s">
        <v>1421</v>
      </c>
      <c r="D1069" t="s">
        <v>189</v>
      </c>
      <c r="E1069">
        <v>2</v>
      </c>
      <c r="F1069">
        <v>9556</v>
      </c>
      <c r="G1069">
        <f>TbReceitas[[#This Row],[quantidade]]*TbReceitas[[#This Row],[preco_unitario]]</f>
        <v>19112</v>
      </c>
      <c r="H1069" t="str">
        <f>TEXT(TbReceitas[[#This Row],[data_transacao]], "aaaa-mm")</f>
        <v>2024-11</v>
      </c>
    </row>
    <row r="1070" spans="1:8">
      <c r="A1070">
        <v>1069</v>
      </c>
      <c r="B1070" s="1">
        <v>46057</v>
      </c>
      <c r="C1070" t="s">
        <v>1355</v>
      </c>
      <c r="D1070" t="s">
        <v>225</v>
      </c>
      <c r="E1070">
        <v>4</v>
      </c>
      <c r="F1070">
        <v>17354</v>
      </c>
      <c r="G1070">
        <f>TbReceitas[[#This Row],[quantidade]]*TbReceitas[[#This Row],[preco_unitario]]</f>
        <v>69416</v>
      </c>
      <c r="H1070" t="str">
        <f>TEXT(TbReceitas[[#This Row],[data_transacao]], "aaaa-mm")</f>
        <v>2026-02</v>
      </c>
    </row>
    <row r="1071" spans="1:8">
      <c r="A1071">
        <v>1070</v>
      </c>
      <c r="B1071" s="1">
        <v>46077</v>
      </c>
      <c r="C1071" t="s">
        <v>947</v>
      </c>
      <c r="D1071" t="s">
        <v>642</v>
      </c>
      <c r="E1071">
        <v>5</v>
      </c>
      <c r="F1071">
        <v>3555</v>
      </c>
      <c r="G1071">
        <f>TbReceitas[[#This Row],[quantidade]]*TbReceitas[[#This Row],[preco_unitario]]</f>
        <v>17775</v>
      </c>
      <c r="H1071" t="str">
        <f>TEXT(TbReceitas[[#This Row],[data_transacao]], "aaaa-mm")</f>
        <v>2026-02</v>
      </c>
    </row>
    <row r="1072" spans="1:8">
      <c r="A1072">
        <v>1071</v>
      </c>
      <c r="B1072" s="1">
        <v>46034</v>
      </c>
      <c r="C1072" t="s">
        <v>1422</v>
      </c>
      <c r="D1072" t="s">
        <v>414</v>
      </c>
      <c r="E1072">
        <v>1</v>
      </c>
      <c r="F1072">
        <v>18008</v>
      </c>
      <c r="G1072">
        <f>TbReceitas[[#This Row],[quantidade]]*TbReceitas[[#This Row],[preco_unitario]]</f>
        <v>18008</v>
      </c>
      <c r="H1072" t="str">
        <f>TEXT(TbReceitas[[#This Row],[data_transacao]], "aaaa-mm")</f>
        <v>2026-01</v>
      </c>
    </row>
    <row r="1073" spans="1:8">
      <c r="A1073">
        <v>1072</v>
      </c>
      <c r="B1073" s="1">
        <v>46121</v>
      </c>
      <c r="C1073" t="s">
        <v>776</v>
      </c>
      <c r="D1073" t="s">
        <v>340</v>
      </c>
      <c r="E1073">
        <v>4</v>
      </c>
      <c r="F1073">
        <v>13813</v>
      </c>
      <c r="G1073">
        <f>TbReceitas[[#This Row],[quantidade]]*TbReceitas[[#This Row],[preco_unitario]]</f>
        <v>55252</v>
      </c>
      <c r="H1073" t="str">
        <f>TEXT(TbReceitas[[#This Row],[data_transacao]], "aaaa-mm")</f>
        <v>2026-04</v>
      </c>
    </row>
    <row r="1074" spans="1:8">
      <c r="A1074">
        <v>1073</v>
      </c>
      <c r="B1074" s="1">
        <v>45940</v>
      </c>
      <c r="C1074" t="s">
        <v>1423</v>
      </c>
      <c r="D1074" t="s">
        <v>152</v>
      </c>
      <c r="E1074">
        <v>1</v>
      </c>
      <c r="F1074">
        <v>23714</v>
      </c>
      <c r="G1074">
        <f>TbReceitas[[#This Row],[quantidade]]*TbReceitas[[#This Row],[preco_unitario]]</f>
        <v>23714</v>
      </c>
      <c r="H1074" t="str">
        <f>TEXT(TbReceitas[[#This Row],[data_transacao]], "aaaa-mm")</f>
        <v>2025-10</v>
      </c>
    </row>
    <row r="1075" spans="1:8">
      <c r="A1075">
        <v>1074</v>
      </c>
      <c r="B1075" s="1">
        <v>46273</v>
      </c>
      <c r="C1075" t="s">
        <v>741</v>
      </c>
      <c r="D1075" t="s">
        <v>342</v>
      </c>
      <c r="E1075">
        <v>4</v>
      </c>
      <c r="F1075">
        <v>12967</v>
      </c>
      <c r="G1075">
        <f>TbReceitas[[#This Row],[quantidade]]*TbReceitas[[#This Row],[preco_unitario]]</f>
        <v>51868</v>
      </c>
      <c r="H1075" t="str">
        <f>TEXT(TbReceitas[[#This Row],[data_transacao]], "aaaa-mm")</f>
        <v>2026-09</v>
      </c>
    </row>
    <row r="1076" spans="1:8">
      <c r="A1076">
        <v>1075</v>
      </c>
      <c r="B1076" s="1">
        <v>45935</v>
      </c>
      <c r="C1076" t="s">
        <v>738</v>
      </c>
      <c r="D1076" t="s">
        <v>52</v>
      </c>
      <c r="E1076">
        <v>3</v>
      </c>
      <c r="F1076">
        <v>3572</v>
      </c>
      <c r="G1076">
        <f>TbReceitas[[#This Row],[quantidade]]*TbReceitas[[#This Row],[preco_unitario]]</f>
        <v>10716</v>
      </c>
      <c r="H1076" t="str">
        <f>TEXT(TbReceitas[[#This Row],[data_transacao]], "aaaa-mm")</f>
        <v>2025-10</v>
      </c>
    </row>
    <row r="1077" spans="1:8">
      <c r="A1077">
        <v>1076</v>
      </c>
      <c r="B1077" s="1">
        <v>45789</v>
      </c>
      <c r="C1077" t="s">
        <v>1214</v>
      </c>
      <c r="D1077" t="s">
        <v>16</v>
      </c>
      <c r="E1077">
        <v>4</v>
      </c>
      <c r="F1077">
        <v>19899</v>
      </c>
      <c r="G1077">
        <f>TbReceitas[[#This Row],[quantidade]]*TbReceitas[[#This Row],[preco_unitario]]</f>
        <v>79596</v>
      </c>
      <c r="H1077" t="str">
        <f>TEXT(TbReceitas[[#This Row],[data_transacao]], "aaaa-mm")</f>
        <v>2025-05</v>
      </c>
    </row>
    <row r="1078" spans="1:8">
      <c r="A1078">
        <v>1077</v>
      </c>
      <c r="B1078" s="1">
        <v>45597</v>
      </c>
      <c r="C1078" t="s">
        <v>721</v>
      </c>
      <c r="D1078" t="s">
        <v>627</v>
      </c>
      <c r="E1078">
        <v>1</v>
      </c>
      <c r="F1078">
        <v>8375</v>
      </c>
      <c r="G1078">
        <f>TbReceitas[[#This Row],[quantidade]]*TbReceitas[[#This Row],[preco_unitario]]</f>
        <v>8375</v>
      </c>
      <c r="H1078" t="str">
        <f>TEXT(TbReceitas[[#This Row],[data_transacao]], "aaaa-mm")</f>
        <v>2024-11</v>
      </c>
    </row>
    <row r="1079" spans="1:8">
      <c r="A1079">
        <v>1078</v>
      </c>
      <c r="B1079" s="1">
        <v>46065</v>
      </c>
      <c r="C1079" t="s">
        <v>1424</v>
      </c>
      <c r="D1079" t="s">
        <v>243</v>
      </c>
      <c r="E1079">
        <v>3</v>
      </c>
      <c r="F1079">
        <v>2685</v>
      </c>
      <c r="G1079">
        <f>TbReceitas[[#This Row],[quantidade]]*TbReceitas[[#This Row],[preco_unitario]]</f>
        <v>8055</v>
      </c>
      <c r="H1079" t="str">
        <f>TEXT(TbReceitas[[#This Row],[data_transacao]], "aaaa-mm")</f>
        <v>2026-02</v>
      </c>
    </row>
    <row r="1080" spans="1:8">
      <c r="A1080">
        <v>1079</v>
      </c>
      <c r="B1080" s="1">
        <v>45823</v>
      </c>
      <c r="C1080" t="s">
        <v>931</v>
      </c>
      <c r="D1080" t="s">
        <v>44</v>
      </c>
      <c r="E1080">
        <v>4</v>
      </c>
      <c r="F1080">
        <v>14599</v>
      </c>
      <c r="G1080">
        <f>TbReceitas[[#This Row],[quantidade]]*TbReceitas[[#This Row],[preco_unitario]]</f>
        <v>58396</v>
      </c>
      <c r="H1080" t="str">
        <f>TEXT(TbReceitas[[#This Row],[data_transacao]], "aaaa-mm")</f>
        <v>2025-06</v>
      </c>
    </row>
    <row r="1081" spans="1:8">
      <c r="A1081">
        <v>1080</v>
      </c>
      <c r="B1081" s="1">
        <v>46187</v>
      </c>
      <c r="C1081" t="s">
        <v>1425</v>
      </c>
      <c r="D1081" t="s">
        <v>1000</v>
      </c>
      <c r="E1081">
        <v>5</v>
      </c>
      <c r="F1081">
        <v>21329</v>
      </c>
      <c r="G1081">
        <f>TbReceitas[[#This Row],[quantidade]]*TbReceitas[[#This Row],[preco_unitario]]</f>
        <v>106645</v>
      </c>
      <c r="H1081" t="str">
        <f>TEXT(TbReceitas[[#This Row],[data_transacao]], "aaaa-mm")</f>
        <v>2026-06</v>
      </c>
    </row>
    <row r="1082" spans="1:8">
      <c r="A1082">
        <v>1081</v>
      </c>
      <c r="B1082" s="1">
        <v>46190</v>
      </c>
      <c r="C1082" t="s">
        <v>1182</v>
      </c>
      <c r="D1082" t="s">
        <v>348</v>
      </c>
      <c r="E1082">
        <v>2</v>
      </c>
      <c r="F1082">
        <v>14528</v>
      </c>
      <c r="G1082">
        <f>TbReceitas[[#This Row],[quantidade]]*TbReceitas[[#This Row],[preco_unitario]]</f>
        <v>29056</v>
      </c>
      <c r="H1082" t="str">
        <f>TEXT(TbReceitas[[#This Row],[data_transacao]], "aaaa-mm")</f>
        <v>2026-06</v>
      </c>
    </row>
    <row r="1083" spans="1:8">
      <c r="A1083">
        <v>1082</v>
      </c>
      <c r="B1083" s="1">
        <v>46275</v>
      </c>
      <c r="C1083" t="s">
        <v>1101</v>
      </c>
      <c r="D1083" t="s">
        <v>414</v>
      </c>
      <c r="E1083">
        <v>3</v>
      </c>
      <c r="F1083">
        <v>18008</v>
      </c>
      <c r="G1083">
        <f>TbReceitas[[#This Row],[quantidade]]*TbReceitas[[#This Row],[preco_unitario]]</f>
        <v>54024</v>
      </c>
      <c r="H1083" t="str">
        <f>TEXT(TbReceitas[[#This Row],[data_transacao]], "aaaa-mm")</f>
        <v>2026-09</v>
      </c>
    </row>
    <row r="1084" spans="1:8">
      <c r="A1084">
        <v>1083</v>
      </c>
      <c r="B1084" s="1">
        <v>45770</v>
      </c>
      <c r="C1084" t="s">
        <v>827</v>
      </c>
      <c r="D1084" t="s">
        <v>583</v>
      </c>
      <c r="E1084">
        <v>2</v>
      </c>
      <c r="F1084">
        <v>11009</v>
      </c>
      <c r="G1084">
        <f>TbReceitas[[#This Row],[quantidade]]*TbReceitas[[#This Row],[preco_unitario]]</f>
        <v>22018</v>
      </c>
      <c r="H1084" t="str">
        <f>TEXT(TbReceitas[[#This Row],[data_transacao]], "aaaa-mm")</f>
        <v>2025-04</v>
      </c>
    </row>
    <row r="1085" spans="1:8">
      <c r="A1085">
        <v>1084</v>
      </c>
      <c r="B1085" s="1">
        <v>45966</v>
      </c>
      <c r="C1085" t="s">
        <v>1043</v>
      </c>
      <c r="D1085" t="s">
        <v>203</v>
      </c>
      <c r="E1085">
        <v>5</v>
      </c>
      <c r="F1085">
        <v>1934</v>
      </c>
      <c r="G1085">
        <f>TbReceitas[[#This Row],[quantidade]]*TbReceitas[[#This Row],[preco_unitario]]</f>
        <v>9670</v>
      </c>
      <c r="H1085" t="str">
        <f>TEXT(TbReceitas[[#This Row],[data_transacao]], "aaaa-mm")</f>
        <v>2025-11</v>
      </c>
    </row>
    <row r="1086" spans="1:8">
      <c r="A1086">
        <v>1085</v>
      </c>
      <c r="B1086" s="1">
        <v>46126</v>
      </c>
      <c r="C1086" t="s">
        <v>1426</v>
      </c>
      <c r="D1086" t="s">
        <v>352</v>
      </c>
      <c r="E1086">
        <v>2</v>
      </c>
      <c r="F1086">
        <v>9748</v>
      </c>
      <c r="G1086">
        <f>TbReceitas[[#This Row],[quantidade]]*TbReceitas[[#This Row],[preco_unitario]]</f>
        <v>19496</v>
      </c>
      <c r="H1086" t="str">
        <f>TEXT(TbReceitas[[#This Row],[data_transacao]], "aaaa-mm")</f>
        <v>2026-04</v>
      </c>
    </row>
    <row r="1087" spans="1:8">
      <c r="A1087">
        <v>1086</v>
      </c>
      <c r="B1087" s="1">
        <v>45586</v>
      </c>
      <c r="C1087" t="s">
        <v>1427</v>
      </c>
      <c r="D1087" t="s">
        <v>902</v>
      </c>
      <c r="E1087">
        <v>1</v>
      </c>
      <c r="F1087">
        <v>14695</v>
      </c>
      <c r="G1087">
        <f>TbReceitas[[#This Row],[quantidade]]*TbReceitas[[#This Row],[preco_unitario]]</f>
        <v>14695</v>
      </c>
      <c r="H1087" t="str">
        <f>TEXT(TbReceitas[[#This Row],[data_transacao]], "aaaa-mm")</f>
        <v>2024-10</v>
      </c>
    </row>
    <row r="1088" spans="1:8">
      <c r="A1088">
        <v>1087</v>
      </c>
      <c r="B1088" s="1">
        <v>45880</v>
      </c>
      <c r="C1088" t="s">
        <v>1035</v>
      </c>
      <c r="D1088" t="s">
        <v>369</v>
      </c>
      <c r="E1088">
        <v>1</v>
      </c>
      <c r="F1088">
        <v>24982</v>
      </c>
      <c r="G1088">
        <f>TbReceitas[[#This Row],[quantidade]]*TbReceitas[[#This Row],[preco_unitario]]</f>
        <v>24982</v>
      </c>
      <c r="H1088" t="str">
        <f>TEXT(TbReceitas[[#This Row],[data_transacao]], "aaaa-mm")</f>
        <v>2025-08</v>
      </c>
    </row>
    <row r="1089" spans="1:8">
      <c r="A1089">
        <v>1088</v>
      </c>
      <c r="B1089" s="1">
        <v>45810</v>
      </c>
      <c r="C1089" t="s">
        <v>759</v>
      </c>
      <c r="D1089" t="s">
        <v>22</v>
      </c>
      <c r="E1089">
        <v>5</v>
      </c>
      <c r="F1089">
        <v>15801</v>
      </c>
      <c r="G1089">
        <f>TbReceitas[[#This Row],[quantidade]]*TbReceitas[[#This Row],[preco_unitario]]</f>
        <v>79005</v>
      </c>
      <c r="H1089" t="str">
        <f>TEXT(TbReceitas[[#This Row],[data_transacao]], "aaaa-mm")</f>
        <v>2025-06</v>
      </c>
    </row>
    <row r="1090" spans="1:8">
      <c r="A1090">
        <v>1089</v>
      </c>
      <c r="B1090" s="1">
        <v>46113</v>
      </c>
      <c r="C1090" t="s">
        <v>1428</v>
      </c>
      <c r="D1090" t="s">
        <v>425</v>
      </c>
      <c r="E1090">
        <v>5</v>
      </c>
      <c r="F1090">
        <v>24879</v>
      </c>
      <c r="G1090">
        <f>TbReceitas[[#This Row],[quantidade]]*TbReceitas[[#This Row],[preco_unitario]]</f>
        <v>124395</v>
      </c>
      <c r="H1090" t="str">
        <f>TEXT(TbReceitas[[#This Row],[data_transacao]], "aaaa-mm")</f>
        <v>2026-04</v>
      </c>
    </row>
    <row r="1091" spans="1:8">
      <c r="A1091">
        <v>1090</v>
      </c>
      <c r="B1091" s="1">
        <v>45607</v>
      </c>
      <c r="C1091" t="s">
        <v>1429</v>
      </c>
      <c r="D1091" t="s">
        <v>545</v>
      </c>
      <c r="E1091">
        <v>4</v>
      </c>
      <c r="F1091">
        <v>8394</v>
      </c>
      <c r="G1091">
        <f>TbReceitas[[#This Row],[quantidade]]*TbReceitas[[#This Row],[preco_unitario]]</f>
        <v>33576</v>
      </c>
      <c r="H1091" t="str">
        <f>TEXT(TbReceitas[[#This Row],[data_transacao]], "aaaa-mm")</f>
        <v>2024-11</v>
      </c>
    </row>
    <row r="1092" spans="1:8">
      <c r="A1092">
        <v>1091</v>
      </c>
      <c r="B1092" s="1">
        <v>45567</v>
      </c>
      <c r="C1092" t="s">
        <v>1430</v>
      </c>
      <c r="D1092" t="s">
        <v>58</v>
      </c>
      <c r="E1092">
        <v>5</v>
      </c>
      <c r="F1092">
        <v>7027</v>
      </c>
      <c r="G1092">
        <f>TbReceitas[[#This Row],[quantidade]]*TbReceitas[[#This Row],[preco_unitario]]</f>
        <v>35135</v>
      </c>
      <c r="H1092" t="str">
        <f>TEXT(TbReceitas[[#This Row],[data_transacao]], "aaaa-mm")</f>
        <v>2024-10</v>
      </c>
    </row>
    <row r="1093" spans="1:8">
      <c r="A1093">
        <v>1092</v>
      </c>
      <c r="B1093" s="1">
        <v>45600</v>
      </c>
      <c r="C1093" t="s">
        <v>1431</v>
      </c>
      <c r="D1093" t="s">
        <v>1313</v>
      </c>
      <c r="E1093">
        <v>2</v>
      </c>
      <c r="F1093">
        <v>4935</v>
      </c>
      <c r="G1093">
        <f>TbReceitas[[#This Row],[quantidade]]*TbReceitas[[#This Row],[preco_unitario]]</f>
        <v>9870</v>
      </c>
      <c r="H1093" t="str">
        <f>TEXT(TbReceitas[[#This Row],[data_transacao]], "aaaa-mm")</f>
        <v>2024-11</v>
      </c>
    </row>
    <row r="1094" spans="1:8">
      <c r="A1094">
        <v>1093</v>
      </c>
      <c r="B1094" s="1">
        <v>45908</v>
      </c>
      <c r="C1094" t="s">
        <v>970</v>
      </c>
      <c r="D1094" t="s">
        <v>500</v>
      </c>
      <c r="E1094">
        <v>5</v>
      </c>
      <c r="F1094">
        <v>1675</v>
      </c>
      <c r="G1094">
        <f>TbReceitas[[#This Row],[quantidade]]*TbReceitas[[#This Row],[preco_unitario]]</f>
        <v>8375</v>
      </c>
      <c r="H1094" t="str">
        <f>TEXT(TbReceitas[[#This Row],[data_transacao]], "aaaa-mm")</f>
        <v>2025-09</v>
      </c>
    </row>
    <row r="1095" spans="1:8">
      <c r="A1095">
        <v>1094</v>
      </c>
      <c r="B1095" s="1">
        <v>45882</v>
      </c>
      <c r="C1095" t="s">
        <v>742</v>
      </c>
      <c r="D1095" t="s">
        <v>299</v>
      </c>
      <c r="E1095">
        <v>5</v>
      </c>
      <c r="F1095">
        <v>2266</v>
      </c>
      <c r="G1095">
        <f>TbReceitas[[#This Row],[quantidade]]*TbReceitas[[#This Row],[preco_unitario]]</f>
        <v>11330</v>
      </c>
      <c r="H1095" t="str">
        <f>TEXT(TbReceitas[[#This Row],[data_transacao]], "aaaa-mm")</f>
        <v>2025-08</v>
      </c>
    </row>
    <row r="1096" spans="1:8">
      <c r="A1096">
        <v>1095</v>
      </c>
      <c r="B1096" s="1">
        <v>46018</v>
      </c>
      <c r="C1096" t="s">
        <v>1408</v>
      </c>
      <c r="D1096" t="s">
        <v>559</v>
      </c>
      <c r="E1096">
        <v>2</v>
      </c>
      <c r="F1096">
        <v>482</v>
      </c>
      <c r="G1096">
        <f>TbReceitas[[#This Row],[quantidade]]*TbReceitas[[#This Row],[preco_unitario]]</f>
        <v>964</v>
      </c>
      <c r="H1096" t="str">
        <f>TEXT(TbReceitas[[#This Row],[data_transacao]], "aaaa-mm")</f>
        <v>2025-12</v>
      </c>
    </row>
    <row r="1097" spans="1:8">
      <c r="A1097">
        <v>1096</v>
      </c>
      <c r="B1097" s="1">
        <v>46062</v>
      </c>
      <c r="C1097" t="s">
        <v>1432</v>
      </c>
      <c r="D1097" t="s">
        <v>563</v>
      </c>
      <c r="E1097">
        <v>5</v>
      </c>
      <c r="F1097">
        <v>3006</v>
      </c>
      <c r="G1097">
        <f>TbReceitas[[#This Row],[quantidade]]*TbReceitas[[#This Row],[preco_unitario]]</f>
        <v>15030</v>
      </c>
      <c r="H1097" t="str">
        <f>TEXT(TbReceitas[[#This Row],[data_transacao]], "aaaa-mm")</f>
        <v>2026-02</v>
      </c>
    </row>
    <row r="1098" spans="1:8">
      <c r="A1098">
        <v>1097</v>
      </c>
      <c r="B1098" s="1">
        <v>45639</v>
      </c>
      <c r="C1098" t="s">
        <v>942</v>
      </c>
      <c r="D1098" t="s">
        <v>229</v>
      </c>
      <c r="E1098">
        <v>5</v>
      </c>
      <c r="F1098">
        <v>6433</v>
      </c>
      <c r="G1098">
        <f>TbReceitas[[#This Row],[quantidade]]*TbReceitas[[#This Row],[preco_unitario]]</f>
        <v>32165</v>
      </c>
      <c r="H1098" t="str">
        <f>TEXT(TbReceitas[[#This Row],[data_transacao]], "aaaa-mm")</f>
        <v>2024-12</v>
      </c>
    </row>
    <row r="1099" spans="1:8">
      <c r="A1099">
        <v>1098</v>
      </c>
      <c r="B1099" s="1">
        <v>46081</v>
      </c>
      <c r="C1099" t="s">
        <v>1433</v>
      </c>
      <c r="D1099" t="s">
        <v>492</v>
      </c>
      <c r="E1099">
        <v>4</v>
      </c>
      <c r="F1099">
        <v>2615</v>
      </c>
      <c r="G1099">
        <f>TbReceitas[[#This Row],[quantidade]]*TbReceitas[[#This Row],[preco_unitario]]</f>
        <v>10460</v>
      </c>
      <c r="H1099" t="str">
        <f>TEXT(TbReceitas[[#This Row],[data_transacao]], "aaaa-mm")</f>
        <v>2026-02</v>
      </c>
    </row>
    <row r="1100" spans="1:8">
      <c r="A1100">
        <v>1099</v>
      </c>
      <c r="B1100" s="1">
        <v>45957</v>
      </c>
      <c r="C1100" t="s">
        <v>956</v>
      </c>
      <c r="D1100" t="s">
        <v>571</v>
      </c>
      <c r="E1100">
        <v>2</v>
      </c>
      <c r="F1100">
        <v>7293</v>
      </c>
      <c r="G1100">
        <f>TbReceitas[[#This Row],[quantidade]]*TbReceitas[[#This Row],[preco_unitario]]</f>
        <v>14586</v>
      </c>
      <c r="H1100" t="str">
        <f>TEXT(TbReceitas[[#This Row],[data_transacao]], "aaaa-mm")</f>
        <v>2025-10</v>
      </c>
    </row>
    <row r="1101" spans="1:8">
      <c r="A1101">
        <v>1100</v>
      </c>
      <c r="B1101" s="1">
        <v>46264</v>
      </c>
      <c r="C1101" t="s">
        <v>753</v>
      </c>
      <c r="D1101" t="s">
        <v>147</v>
      </c>
      <c r="E1101">
        <v>1</v>
      </c>
      <c r="F1101">
        <v>3654</v>
      </c>
      <c r="G1101">
        <f>TbReceitas[[#This Row],[quantidade]]*TbReceitas[[#This Row],[preco_unitario]]</f>
        <v>3654</v>
      </c>
      <c r="H1101" t="str">
        <f>TEXT(TbReceitas[[#This Row],[data_transacao]], "aaaa-mm")</f>
        <v>2026-08</v>
      </c>
    </row>
    <row r="1102" spans="1:8">
      <c r="A1102">
        <v>1101</v>
      </c>
      <c r="B1102" s="1">
        <v>45953</v>
      </c>
      <c r="C1102" t="s">
        <v>1434</v>
      </c>
      <c r="D1102" t="s">
        <v>205</v>
      </c>
      <c r="E1102">
        <v>3</v>
      </c>
      <c r="F1102">
        <v>1639</v>
      </c>
      <c r="G1102">
        <f>TbReceitas[[#This Row],[quantidade]]*TbReceitas[[#This Row],[preco_unitario]]</f>
        <v>4917</v>
      </c>
      <c r="H1102" t="str">
        <f>TEXT(TbReceitas[[#This Row],[data_transacao]], "aaaa-mm")</f>
        <v>2025-10</v>
      </c>
    </row>
    <row r="1103" spans="1:8">
      <c r="A1103">
        <v>1102</v>
      </c>
      <c r="B1103" s="1">
        <v>45645</v>
      </c>
      <c r="C1103" t="s">
        <v>756</v>
      </c>
      <c r="D1103" t="s">
        <v>363</v>
      </c>
      <c r="E1103">
        <v>5</v>
      </c>
      <c r="F1103">
        <v>452</v>
      </c>
      <c r="G1103">
        <f>TbReceitas[[#This Row],[quantidade]]*TbReceitas[[#This Row],[preco_unitario]]</f>
        <v>2260</v>
      </c>
      <c r="H1103" t="str">
        <f>TEXT(TbReceitas[[#This Row],[data_transacao]], "aaaa-mm")</f>
        <v>2024-12</v>
      </c>
    </row>
    <row r="1104" spans="1:8">
      <c r="A1104">
        <v>1103</v>
      </c>
      <c r="B1104" s="1">
        <v>45617</v>
      </c>
      <c r="C1104" t="s">
        <v>1435</v>
      </c>
      <c r="D1104" t="s">
        <v>620</v>
      </c>
      <c r="E1104">
        <v>1</v>
      </c>
      <c r="F1104">
        <v>1417</v>
      </c>
      <c r="G1104">
        <f>TbReceitas[[#This Row],[quantidade]]*TbReceitas[[#This Row],[preco_unitario]]</f>
        <v>1417</v>
      </c>
      <c r="H1104" t="str">
        <f>TEXT(TbReceitas[[#This Row],[data_transacao]], "aaaa-mm")</f>
        <v>2024-11</v>
      </c>
    </row>
    <row r="1105" spans="1:8">
      <c r="A1105">
        <v>1104</v>
      </c>
      <c r="B1105" s="1">
        <v>45675</v>
      </c>
      <c r="C1105" t="s">
        <v>1436</v>
      </c>
      <c r="D1105" t="s">
        <v>641</v>
      </c>
      <c r="E1105">
        <v>3</v>
      </c>
      <c r="F1105">
        <v>3128</v>
      </c>
      <c r="G1105">
        <f>TbReceitas[[#This Row],[quantidade]]*TbReceitas[[#This Row],[preco_unitario]]</f>
        <v>9384</v>
      </c>
      <c r="H1105" t="str">
        <f>TEXT(TbReceitas[[#This Row],[data_transacao]], "aaaa-mm")</f>
        <v>2025-01</v>
      </c>
    </row>
    <row r="1106" spans="1:8">
      <c r="A1106">
        <v>1105</v>
      </c>
      <c r="B1106" s="1">
        <v>45625</v>
      </c>
      <c r="C1106" t="s">
        <v>1432</v>
      </c>
      <c r="D1106" t="s">
        <v>507</v>
      </c>
      <c r="E1106">
        <v>1</v>
      </c>
      <c r="F1106">
        <v>7085</v>
      </c>
      <c r="G1106">
        <f>TbReceitas[[#This Row],[quantidade]]*TbReceitas[[#This Row],[preco_unitario]]</f>
        <v>7085</v>
      </c>
      <c r="H1106" t="str">
        <f>TEXT(TbReceitas[[#This Row],[data_transacao]], "aaaa-mm")</f>
        <v>2024-11</v>
      </c>
    </row>
    <row r="1107" spans="1:8">
      <c r="A1107">
        <v>1106</v>
      </c>
      <c r="B1107" s="1">
        <v>45671</v>
      </c>
      <c r="C1107" t="s">
        <v>1437</v>
      </c>
      <c r="D1107" t="s">
        <v>625</v>
      </c>
      <c r="E1107">
        <v>3</v>
      </c>
      <c r="F1107">
        <v>2485</v>
      </c>
      <c r="G1107">
        <f>TbReceitas[[#This Row],[quantidade]]*TbReceitas[[#This Row],[preco_unitario]]</f>
        <v>7455</v>
      </c>
      <c r="H1107" t="str">
        <f>TEXT(TbReceitas[[#This Row],[data_transacao]], "aaaa-mm")</f>
        <v>2025-01</v>
      </c>
    </row>
    <row r="1108" spans="1:8">
      <c r="A1108">
        <v>1107</v>
      </c>
      <c r="B1108" s="1">
        <v>45647</v>
      </c>
      <c r="C1108" t="s">
        <v>954</v>
      </c>
      <c r="D1108" t="s">
        <v>290</v>
      </c>
      <c r="E1108">
        <v>3</v>
      </c>
      <c r="F1108">
        <v>6755</v>
      </c>
      <c r="G1108">
        <f>TbReceitas[[#This Row],[quantidade]]*TbReceitas[[#This Row],[preco_unitario]]</f>
        <v>20265</v>
      </c>
      <c r="H1108" t="str">
        <f>TEXT(TbReceitas[[#This Row],[data_transacao]], "aaaa-mm")</f>
        <v>2024-12</v>
      </c>
    </row>
    <row r="1109" spans="1:8">
      <c r="A1109">
        <v>1108</v>
      </c>
      <c r="B1109" s="1">
        <v>45581</v>
      </c>
      <c r="C1109" t="s">
        <v>962</v>
      </c>
      <c r="D1109" t="s">
        <v>213</v>
      </c>
      <c r="E1109">
        <v>4</v>
      </c>
      <c r="F1109">
        <v>22847</v>
      </c>
      <c r="G1109">
        <f>TbReceitas[[#This Row],[quantidade]]*TbReceitas[[#This Row],[preco_unitario]]</f>
        <v>91388</v>
      </c>
      <c r="H1109" t="str">
        <f>TEXT(TbReceitas[[#This Row],[data_transacao]], "aaaa-mm")</f>
        <v>2024-10</v>
      </c>
    </row>
    <row r="1110" spans="1:8">
      <c r="A1110">
        <v>1109</v>
      </c>
      <c r="B1110" s="1">
        <v>46235</v>
      </c>
      <c r="C1110" t="s">
        <v>1438</v>
      </c>
      <c r="D1110" t="s">
        <v>302</v>
      </c>
      <c r="E1110">
        <v>3</v>
      </c>
      <c r="F1110">
        <v>3276</v>
      </c>
      <c r="G1110">
        <f>TbReceitas[[#This Row],[quantidade]]*TbReceitas[[#This Row],[preco_unitario]]</f>
        <v>9828</v>
      </c>
      <c r="H1110" t="str">
        <f>TEXT(TbReceitas[[#This Row],[data_transacao]], "aaaa-mm")</f>
        <v>2026-08</v>
      </c>
    </row>
    <row r="1111" spans="1:8">
      <c r="A1111">
        <v>1110</v>
      </c>
      <c r="B1111" s="1">
        <v>46228</v>
      </c>
      <c r="C1111" t="s">
        <v>1439</v>
      </c>
      <c r="D1111" t="s">
        <v>1440</v>
      </c>
      <c r="E1111">
        <v>5</v>
      </c>
      <c r="F1111">
        <v>17606</v>
      </c>
      <c r="G1111">
        <f>TbReceitas[[#This Row],[quantidade]]*TbReceitas[[#This Row],[preco_unitario]]</f>
        <v>88030</v>
      </c>
      <c r="H1111" t="str">
        <f>TEXT(TbReceitas[[#This Row],[data_transacao]], "aaaa-mm")</f>
        <v>2026-07</v>
      </c>
    </row>
    <row r="1112" spans="1:8">
      <c r="A1112">
        <v>1111</v>
      </c>
      <c r="B1112" s="1">
        <v>45880</v>
      </c>
      <c r="C1112" t="s">
        <v>1441</v>
      </c>
      <c r="D1112" t="s">
        <v>535</v>
      </c>
      <c r="E1112">
        <v>1</v>
      </c>
      <c r="F1112">
        <v>24784</v>
      </c>
      <c r="G1112">
        <f>TbReceitas[[#This Row],[quantidade]]*TbReceitas[[#This Row],[preco_unitario]]</f>
        <v>24784</v>
      </c>
      <c r="H1112" t="str">
        <f>TEXT(TbReceitas[[#This Row],[data_transacao]], "aaaa-mm")</f>
        <v>2025-08</v>
      </c>
    </row>
    <row r="1113" spans="1:8">
      <c r="A1113">
        <v>1112</v>
      </c>
      <c r="B1113" s="1">
        <v>45607</v>
      </c>
      <c r="C1113" t="s">
        <v>1442</v>
      </c>
      <c r="D1113" t="s">
        <v>481</v>
      </c>
      <c r="E1113">
        <v>3</v>
      </c>
      <c r="F1113">
        <v>23782</v>
      </c>
      <c r="G1113">
        <f>TbReceitas[[#This Row],[quantidade]]*TbReceitas[[#This Row],[preco_unitario]]</f>
        <v>71346</v>
      </c>
      <c r="H1113" t="str">
        <f>TEXT(TbReceitas[[#This Row],[data_transacao]], "aaaa-mm")</f>
        <v>2024-11</v>
      </c>
    </row>
    <row r="1114" spans="1:8">
      <c r="A1114">
        <v>1113</v>
      </c>
      <c r="B1114" s="1">
        <v>46276</v>
      </c>
      <c r="C1114" t="s">
        <v>1112</v>
      </c>
      <c r="D1114" t="s">
        <v>366</v>
      </c>
      <c r="E1114">
        <v>3</v>
      </c>
      <c r="F1114">
        <v>3486</v>
      </c>
      <c r="G1114">
        <f>TbReceitas[[#This Row],[quantidade]]*TbReceitas[[#This Row],[preco_unitario]]</f>
        <v>10458</v>
      </c>
      <c r="H1114" t="str">
        <f>TEXT(TbReceitas[[#This Row],[data_transacao]], "aaaa-mm")</f>
        <v>2026-09</v>
      </c>
    </row>
    <row r="1115" spans="1:8">
      <c r="A1115">
        <v>1114</v>
      </c>
      <c r="B1115" s="1">
        <v>46199</v>
      </c>
      <c r="C1115" t="s">
        <v>948</v>
      </c>
      <c r="D1115" t="s">
        <v>621</v>
      </c>
      <c r="E1115">
        <v>4</v>
      </c>
      <c r="F1115">
        <v>9823</v>
      </c>
      <c r="G1115">
        <f>TbReceitas[[#This Row],[quantidade]]*TbReceitas[[#This Row],[preco_unitario]]</f>
        <v>39292</v>
      </c>
      <c r="H1115" t="str">
        <f>TEXT(TbReceitas[[#This Row],[data_transacao]], "aaaa-mm")</f>
        <v>2026-06</v>
      </c>
    </row>
    <row r="1116" spans="1:8">
      <c r="A1116">
        <v>1115</v>
      </c>
      <c r="B1116" s="1">
        <v>45815</v>
      </c>
      <c r="C1116" t="s">
        <v>978</v>
      </c>
      <c r="D1116" t="s">
        <v>670</v>
      </c>
      <c r="E1116">
        <v>3</v>
      </c>
      <c r="F1116">
        <v>23664</v>
      </c>
      <c r="G1116">
        <f>TbReceitas[[#This Row],[quantidade]]*TbReceitas[[#This Row],[preco_unitario]]</f>
        <v>70992</v>
      </c>
      <c r="H1116" t="str">
        <f>TEXT(TbReceitas[[#This Row],[data_transacao]], "aaaa-mm")</f>
        <v>2025-06</v>
      </c>
    </row>
    <row r="1117" spans="1:8">
      <c r="A1117">
        <v>1116</v>
      </c>
      <c r="B1117" s="1">
        <v>46246</v>
      </c>
      <c r="C1117" t="s">
        <v>1443</v>
      </c>
      <c r="D1117" t="s">
        <v>528</v>
      </c>
      <c r="E1117">
        <v>3</v>
      </c>
      <c r="F1117">
        <v>17709</v>
      </c>
      <c r="G1117">
        <f>TbReceitas[[#This Row],[quantidade]]*TbReceitas[[#This Row],[preco_unitario]]</f>
        <v>53127</v>
      </c>
      <c r="H1117" t="str">
        <f>TEXT(TbReceitas[[#This Row],[data_transacao]], "aaaa-mm")</f>
        <v>2026-08</v>
      </c>
    </row>
    <row r="1118" spans="1:8">
      <c r="A1118">
        <v>1117</v>
      </c>
      <c r="B1118" s="1">
        <v>46082</v>
      </c>
      <c r="C1118" t="s">
        <v>1444</v>
      </c>
      <c r="D1118" t="s">
        <v>173</v>
      </c>
      <c r="E1118">
        <v>3</v>
      </c>
      <c r="F1118">
        <v>10965</v>
      </c>
      <c r="G1118">
        <f>TbReceitas[[#This Row],[quantidade]]*TbReceitas[[#This Row],[preco_unitario]]</f>
        <v>32895</v>
      </c>
      <c r="H1118" t="str">
        <f>TEXT(TbReceitas[[#This Row],[data_transacao]], "aaaa-mm")</f>
        <v>2026-03</v>
      </c>
    </row>
    <row r="1119" spans="1:8">
      <c r="A1119">
        <v>1118</v>
      </c>
      <c r="B1119" s="1">
        <v>46155</v>
      </c>
      <c r="C1119" t="s">
        <v>1445</v>
      </c>
      <c r="D1119" t="s">
        <v>212</v>
      </c>
      <c r="E1119">
        <v>5</v>
      </c>
      <c r="F1119">
        <v>6603</v>
      </c>
      <c r="G1119">
        <f>TbReceitas[[#This Row],[quantidade]]*TbReceitas[[#This Row],[preco_unitario]]</f>
        <v>33015</v>
      </c>
      <c r="H1119" t="str">
        <f>TEXT(TbReceitas[[#This Row],[data_transacao]], "aaaa-mm")</f>
        <v>2026-05</v>
      </c>
    </row>
    <row r="1120" spans="1:8">
      <c r="A1120">
        <v>1119</v>
      </c>
      <c r="B1120" s="1">
        <v>46098</v>
      </c>
      <c r="C1120" t="s">
        <v>1446</v>
      </c>
      <c r="D1120" t="s">
        <v>199</v>
      </c>
      <c r="E1120">
        <v>3</v>
      </c>
      <c r="F1120">
        <v>7038</v>
      </c>
      <c r="G1120">
        <f>TbReceitas[[#This Row],[quantidade]]*TbReceitas[[#This Row],[preco_unitario]]</f>
        <v>21114</v>
      </c>
      <c r="H1120" t="str">
        <f>TEXT(TbReceitas[[#This Row],[data_transacao]], "aaaa-mm")</f>
        <v>2026-03</v>
      </c>
    </row>
    <row r="1121" spans="1:8">
      <c r="A1121">
        <v>1120</v>
      </c>
      <c r="B1121" s="1">
        <v>46003</v>
      </c>
      <c r="C1121" t="s">
        <v>1361</v>
      </c>
      <c r="D1121" t="s">
        <v>366</v>
      </c>
      <c r="E1121">
        <v>1</v>
      </c>
      <c r="F1121">
        <v>3486</v>
      </c>
      <c r="G1121">
        <f>TbReceitas[[#This Row],[quantidade]]*TbReceitas[[#This Row],[preco_unitario]]</f>
        <v>3486</v>
      </c>
      <c r="H1121" t="str">
        <f>TEXT(TbReceitas[[#This Row],[data_transacao]], "aaaa-mm")</f>
        <v>2025-12</v>
      </c>
    </row>
    <row r="1122" spans="1:8">
      <c r="A1122">
        <v>1121</v>
      </c>
      <c r="B1122" s="1">
        <v>46183</v>
      </c>
      <c r="C1122" t="s">
        <v>946</v>
      </c>
      <c r="D1122" t="s">
        <v>1447</v>
      </c>
      <c r="E1122">
        <v>4</v>
      </c>
      <c r="F1122">
        <v>2613</v>
      </c>
      <c r="G1122">
        <f>TbReceitas[[#This Row],[quantidade]]*TbReceitas[[#This Row],[preco_unitario]]</f>
        <v>10452</v>
      </c>
      <c r="H1122" t="str">
        <f>TEXT(TbReceitas[[#This Row],[data_transacao]], "aaaa-mm")</f>
        <v>2026-06</v>
      </c>
    </row>
    <row r="1123" spans="1:8">
      <c r="A1123">
        <v>1122</v>
      </c>
      <c r="B1123" s="1">
        <v>45832</v>
      </c>
      <c r="C1123" t="s">
        <v>1448</v>
      </c>
      <c r="D1123" t="s">
        <v>579</v>
      </c>
      <c r="E1123">
        <v>1</v>
      </c>
      <c r="F1123">
        <v>4385</v>
      </c>
      <c r="G1123">
        <f>TbReceitas[[#This Row],[quantidade]]*TbReceitas[[#This Row],[preco_unitario]]</f>
        <v>4385</v>
      </c>
      <c r="H1123" t="str">
        <f>TEXT(TbReceitas[[#This Row],[data_transacao]], "aaaa-mm")</f>
        <v>2025-06</v>
      </c>
    </row>
    <row r="1124" spans="1:8">
      <c r="A1124">
        <v>1123</v>
      </c>
      <c r="B1124" s="1">
        <v>45720</v>
      </c>
      <c r="C1124" t="s">
        <v>743</v>
      </c>
      <c r="D1124" t="s">
        <v>543</v>
      </c>
      <c r="E1124">
        <v>3</v>
      </c>
      <c r="F1124">
        <v>1944</v>
      </c>
      <c r="G1124">
        <f>TbReceitas[[#This Row],[quantidade]]*TbReceitas[[#This Row],[preco_unitario]]</f>
        <v>5832</v>
      </c>
      <c r="H1124" t="str">
        <f>TEXT(TbReceitas[[#This Row],[data_transacao]], "aaaa-mm")</f>
        <v>2025-03</v>
      </c>
    </row>
    <row r="1125" spans="1:8">
      <c r="A1125">
        <v>1124</v>
      </c>
      <c r="B1125" s="1">
        <v>46114</v>
      </c>
      <c r="C1125" t="s">
        <v>1059</v>
      </c>
      <c r="D1125" t="s">
        <v>522</v>
      </c>
      <c r="E1125">
        <v>1</v>
      </c>
      <c r="F1125">
        <v>14004</v>
      </c>
      <c r="G1125">
        <f>TbReceitas[[#This Row],[quantidade]]*TbReceitas[[#This Row],[preco_unitario]]</f>
        <v>14004</v>
      </c>
      <c r="H1125" t="str">
        <f>TEXT(TbReceitas[[#This Row],[data_transacao]], "aaaa-mm")</f>
        <v>2026-04</v>
      </c>
    </row>
    <row r="1126" spans="1:8">
      <c r="A1126">
        <v>1125</v>
      </c>
      <c r="B1126" s="1">
        <v>45991</v>
      </c>
      <c r="C1126" t="s">
        <v>1449</v>
      </c>
      <c r="D1126" t="s">
        <v>35</v>
      </c>
      <c r="E1126">
        <v>4</v>
      </c>
      <c r="F1126">
        <v>132</v>
      </c>
      <c r="G1126">
        <f>TbReceitas[[#This Row],[quantidade]]*TbReceitas[[#This Row],[preco_unitario]]</f>
        <v>528</v>
      </c>
      <c r="H1126" t="str">
        <f>TEXT(TbReceitas[[#This Row],[data_transacao]], "aaaa-mm")</f>
        <v>2025-11</v>
      </c>
    </row>
    <row r="1127" spans="1:8">
      <c r="A1127">
        <v>1126</v>
      </c>
      <c r="B1127" s="1">
        <v>46087</v>
      </c>
      <c r="C1127" t="s">
        <v>1027</v>
      </c>
      <c r="D1127" t="s">
        <v>382</v>
      </c>
      <c r="E1127">
        <v>1</v>
      </c>
      <c r="F1127">
        <v>4188</v>
      </c>
      <c r="G1127">
        <f>TbReceitas[[#This Row],[quantidade]]*TbReceitas[[#This Row],[preco_unitario]]</f>
        <v>4188</v>
      </c>
      <c r="H1127" t="str">
        <f>TEXT(TbReceitas[[#This Row],[data_transacao]], "aaaa-mm")</f>
        <v>2026-03</v>
      </c>
    </row>
    <row r="1128" spans="1:8">
      <c r="A1128">
        <v>1127</v>
      </c>
      <c r="B1128" s="1">
        <v>45842</v>
      </c>
      <c r="C1128" t="s">
        <v>1450</v>
      </c>
      <c r="D1128" t="s">
        <v>493</v>
      </c>
      <c r="E1128">
        <v>5</v>
      </c>
      <c r="F1128">
        <v>13377</v>
      </c>
      <c r="G1128">
        <f>TbReceitas[[#This Row],[quantidade]]*TbReceitas[[#This Row],[preco_unitario]]</f>
        <v>66885</v>
      </c>
      <c r="H1128" t="str">
        <f>TEXT(TbReceitas[[#This Row],[data_transacao]], "aaaa-mm")</f>
        <v>2025-07</v>
      </c>
    </row>
    <row r="1129" spans="1:8">
      <c r="A1129">
        <v>1128</v>
      </c>
      <c r="B1129" s="1">
        <v>46061</v>
      </c>
      <c r="C1129" t="s">
        <v>1451</v>
      </c>
      <c r="D1129" t="s">
        <v>11</v>
      </c>
      <c r="E1129">
        <v>2</v>
      </c>
      <c r="F1129">
        <v>21599</v>
      </c>
      <c r="G1129">
        <f>TbReceitas[[#This Row],[quantidade]]*TbReceitas[[#This Row],[preco_unitario]]</f>
        <v>43198</v>
      </c>
      <c r="H1129" t="str">
        <f>TEXT(TbReceitas[[#This Row],[data_transacao]], "aaaa-mm")</f>
        <v>2026-02</v>
      </c>
    </row>
    <row r="1130" spans="1:8">
      <c r="A1130">
        <v>1129</v>
      </c>
      <c r="B1130" s="1">
        <v>45935</v>
      </c>
      <c r="C1130" t="s">
        <v>977</v>
      </c>
      <c r="D1130" t="s">
        <v>52</v>
      </c>
      <c r="E1130">
        <v>1</v>
      </c>
      <c r="F1130">
        <v>3572</v>
      </c>
      <c r="G1130">
        <f>TbReceitas[[#This Row],[quantidade]]*TbReceitas[[#This Row],[preco_unitario]]</f>
        <v>3572</v>
      </c>
      <c r="H1130" t="str">
        <f>TEXT(TbReceitas[[#This Row],[data_transacao]], "aaaa-mm")</f>
        <v>2025-10</v>
      </c>
    </row>
    <row r="1131" spans="1:8">
      <c r="A1131">
        <v>1130</v>
      </c>
      <c r="B1131" s="1">
        <v>45826</v>
      </c>
      <c r="C1131" t="s">
        <v>1322</v>
      </c>
      <c r="D1131" t="s">
        <v>494</v>
      </c>
      <c r="E1131">
        <v>3</v>
      </c>
      <c r="F1131">
        <v>2542</v>
      </c>
      <c r="G1131">
        <f>TbReceitas[[#This Row],[quantidade]]*TbReceitas[[#This Row],[preco_unitario]]</f>
        <v>7626</v>
      </c>
      <c r="H1131" t="str">
        <f>TEXT(TbReceitas[[#This Row],[data_transacao]], "aaaa-mm")</f>
        <v>2025-06</v>
      </c>
    </row>
    <row r="1132" spans="1:8">
      <c r="A1132">
        <v>1131</v>
      </c>
      <c r="B1132" s="1">
        <v>45901</v>
      </c>
      <c r="C1132" t="s">
        <v>1452</v>
      </c>
      <c r="D1132" t="s">
        <v>326</v>
      </c>
      <c r="E1132">
        <v>3</v>
      </c>
      <c r="F1132">
        <v>20049</v>
      </c>
      <c r="G1132">
        <f>TbReceitas[[#This Row],[quantidade]]*TbReceitas[[#This Row],[preco_unitario]]</f>
        <v>60147</v>
      </c>
      <c r="H1132" t="str">
        <f>TEXT(TbReceitas[[#This Row],[data_transacao]], "aaaa-mm")</f>
        <v>2025-09</v>
      </c>
    </row>
    <row r="1133" spans="1:8">
      <c r="A1133">
        <v>1132</v>
      </c>
      <c r="B1133" s="1">
        <v>45847</v>
      </c>
      <c r="C1133" t="s">
        <v>1453</v>
      </c>
      <c r="D1133" t="s">
        <v>181</v>
      </c>
      <c r="E1133">
        <v>5</v>
      </c>
      <c r="F1133">
        <v>1091</v>
      </c>
      <c r="G1133">
        <f>TbReceitas[[#This Row],[quantidade]]*TbReceitas[[#This Row],[preco_unitario]]</f>
        <v>5455</v>
      </c>
      <c r="H1133" t="str">
        <f>TEXT(TbReceitas[[#This Row],[data_transacao]], "aaaa-mm")</f>
        <v>2025-07</v>
      </c>
    </row>
    <row r="1134" spans="1:8">
      <c r="A1134">
        <v>1133</v>
      </c>
      <c r="B1134" s="1">
        <v>45692</v>
      </c>
      <c r="C1134" t="s">
        <v>878</v>
      </c>
      <c r="D1134" t="s">
        <v>628</v>
      </c>
      <c r="E1134">
        <v>1</v>
      </c>
      <c r="F1134">
        <v>4049</v>
      </c>
      <c r="G1134">
        <f>TbReceitas[[#This Row],[quantidade]]*TbReceitas[[#This Row],[preco_unitario]]</f>
        <v>4049</v>
      </c>
      <c r="H1134" t="str">
        <f>TEXT(TbReceitas[[#This Row],[data_transacao]], "aaaa-mm")</f>
        <v>2025-02</v>
      </c>
    </row>
    <row r="1135" spans="1:8">
      <c r="A1135">
        <v>1134</v>
      </c>
      <c r="B1135" s="1">
        <v>45980</v>
      </c>
      <c r="C1135" t="s">
        <v>1359</v>
      </c>
      <c r="D1135" t="s">
        <v>701</v>
      </c>
      <c r="E1135">
        <v>1</v>
      </c>
      <c r="F1135">
        <v>11243</v>
      </c>
      <c r="G1135">
        <f>TbReceitas[[#This Row],[quantidade]]*TbReceitas[[#This Row],[preco_unitario]]</f>
        <v>11243</v>
      </c>
      <c r="H1135" t="str">
        <f>TEXT(TbReceitas[[#This Row],[data_transacao]], "aaaa-mm")</f>
        <v>2025-11</v>
      </c>
    </row>
    <row r="1136" spans="1:8">
      <c r="A1136">
        <v>1135</v>
      </c>
      <c r="B1136" s="1">
        <v>46128</v>
      </c>
      <c r="C1136" t="s">
        <v>935</v>
      </c>
      <c r="D1136" t="s">
        <v>296</v>
      </c>
      <c r="E1136">
        <v>1</v>
      </c>
      <c r="F1136">
        <v>10483</v>
      </c>
      <c r="G1136">
        <f>TbReceitas[[#This Row],[quantidade]]*TbReceitas[[#This Row],[preco_unitario]]</f>
        <v>10483</v>
      </c>
      <c r="H1136" t="str">
        <f>TEXT(TbReceitas[[#This Row],[data_transacao]], "aaaa-mm")</f>
        <v>2026-04</v>
      </c>
    </row>
    <row r="1137" spans="1:8">
      <c r="A1137">
        <v>1136</v>
      </c>
      <c r="B1137" s="1">
        <v>45906</v>
      </c>
      <c r="C1137" t="s">
        <v>804</v>
      </c>
      <c r="D1137" t="s">
        <v>1454</v>
      </c>
      <c r="E1137">
        <v>5</v>
      </c>
      <c r="F1137">
        <v>10659</v>
      </c>
      <c r="G1137">
        <f>TbReceitas[[#This Row],[quantidade]]*TbReceitas[[#This Row],[preco_unitario]]</f>
        <v>53295</v>
      </c>
      <c r="H1137" t="str">
        <f>TEXT(TbReceitas[[#This Row],[data_transacao]], "aaaa-mm")</f>
        <v>2025-09</v>
      </c>
    </row>
    <row r="1138" spans="1:8">
      <c r="A1138">
        <v>1137</v>
      </c>
      <c r="B1138" s="1">
        <v>45679</v>
      </c>
      <c r="C1138" t="s">
        <v>1094</v>
      </c>
      <c r="D1138" t="s">
        <v>325</v>
      </c>
      <c r="E1138">
        <v>3</v>
      </c>
      <c r="F1138">
        <v>15415</v>
      </c>
      <c r="G1138">
        <f>TbReceitas[[#This Row],[quantidade]]*TbReceitas[[#This Row],[preco_unitario]]</f>
        <v>46245</v>
      </c>
      <c r="H1138" t="str">
        <f>TEXT(TbReceitas[[#This Row],[data_transacao]], "aaaa-mm")</f>
        <v>2025-01</v>
      </c>
    </row>
    <row r="1139" spans="1:8">
      <c r="A1139">
        <v>1138</v>
      </c>
      <c r="B1139" s="1">
        <v>45944</v>
      </c>
      <c r="C1139" t="s">
        <v>731</v>
      </c>
      <c r="D1139" t="s">
        <v>141</v>
      </c>
      <c r="E1139">
        <v>3</v>
      </c>
      <c r="F1139">
        <v>1235</v>
      </c>
      <c r="G1139">
        <f>TbReceitas[[#This Row],[quantidade]]*TbReceitas[[#This Row],[preco_unitario]]</f>
        <v>3705</v>
      </c>
      <c r="H1139" t="str">
        <f>TEXT(TbReceitas[[#This Row],[data_transacao]], "aaaa-mm")</f>
        <v>2025-10</v>
      </c>
    </row>
    <row r="1140" spans="1:8">
      <c r="A1140">
        <v>1139</v>
      </c>
      <c r="B1140" s="1">
        <v>46041</v>
      </c>
      <c r="C1140" t="s">
        <v>748</v>
      </c>
      <c r="D1140" t="s">
        <v>331</v>
      </c>
      <c r="E1140">
        <v>5</v>
      </c>
      <c r="F1140">
        <v>1809</v>
      </c>
      <c r="G1140">
        <f>TbReceitas[[#This Row],[quantidade]]*TbReceitas[[#This Row],[preco_unitario]]</f>
        <v>9045</v>
      </c>
      <c r="H1140" t="str">
        <f>TEXT(TbReceitas[[#This Row],[data_transacao]], "aaaa-mm")</f>
        <v>2026-01</v>
      </c>
    </row>
    <row r="1141" spans="1:8">
      <c r="A1141">
        <v>1140</v>
      </c>
      <c r="B1141" s="1">
        <v>46194</v>
      </c>
      <c r="C1141" t="s">
        <v>1149</v>
      </c>
      <c r="D1141" t="s">
        <v>25</v>
      </c>
      <c r="E1141">
        <v>2</v>
      </c>
      <c r="F1141">
        <v>15908</v>
      </c>
      <c r="G1141">
        <f>TbReceitas[[#This Row],[quantidade]]*TbReceitas[[#This Row],[preco_unitario]]</f>
        <v>31816</v>
      </c>
      <c r="H1141" t="str">
        <f>TEXT(TbReceitas[[#This Row],[data_transacao]], "aaaa-mm")</f>
        <v>2026-06</v>
      </c>
    </row>
    <row r="1142" spans="1:8">
      <c r="A1142">
        <v>1141</v>
      </c>
      <c r="B1142" s="1">
        <v>45574</v>
      </c>
      <c r="C1142" t="s">
        <v>1299</v>
      </c>
      <c r="D1142" t="s">
        <v>135</v>
      </c>
      <c r="E1142">
        <v>1</v>
      </c>
      <c r="F1142">
        <v>2344</v>
      </c>
      <c r="G1142">
        <f>TbReceitas[[#This Row],[quantidade]]*TbReceitas[[#This Row],[preco_unitario]]</f>
        <v>2344</v>
      </c>
      <c r="H1142" t="str">
        <f>TEXT(TbReceitas[[#This Row],[data_transacao]], "aaaa-mm")</f>
        <v>2024-10</v>
      </c>
    </row>
    <row r="1143" spans="1:8">
      <c r="A1143">
        <v>1142</v>
      </c>
      <c r="B1143" s="1">
        <v>45580</v>
      </c>
      <c r="C1143" t="s">
        <v>1029</v>
      </c>
      <c r="D1143" t="s">
        <v>43</v>
      </c>
      <c r="E1143">
        <v>1</v>
      </c>
      <c r="F1143">
        <v>24604</v>
      </c>
      <c r="G1143">
        <f>TbReceitas[[#This Row],[quantidade]]*TbReceitas[[#This Row],[preco_unitario]]</f>
        <v>24604</v>
      </c>
      <c r="H1143" t="str">
        <f>TEXT(TbReceitas[[#This Row],[data_transacao]], "aaaa-mm")</f>
        <v>2024-10</v>
      </c>
    </row>
    <row r="1144" spans="1:8">
      <c r="A1144">
        <v>1143</v>
      </c>
      <c r="B1144" s="1">
        <v>46198</v>
      </c>
      <c r="C1144" t="s">
        <v>1455</v>
      </c>
      <c r="D1144" t="s">
        <v>323</v>
      </c>
      <c r="E1144">
        <v>5</v>
      </c>
      <c r="F1144">
        <v>10232</v>
      </c>
      <c r="G1144">
        <f>TbReceitas[[#This Row],[quantidade]]*TbReceitas[[#This Row],[preco_unitario]]</f>
        <v>51160</v>
      </c>
      <c r="H1144" t="str">
        <f>TEXT(TbReceitas[[#This Row],[data_transacao]], "aaaa-mm")</f>
        <v>2026-06</v>
      </c>
    </row>
    <row r="1145" spans="1:8">
      <c r="A1145">
        <v>1144</v>
      </c>
      <c r="B1145" s="1">
        <v>45952</v>
      </c>
      <c r="C1145" t="s">
        <v>1298</v>
      </c>
      <c r="D1145" t="s">
        <v>282</v>
      </c>
      <c r="E1145">
        <v>4</v>
      </c>
      <c r="F1145">
        <v>2647</v>
      </c>
      <c r="G1145">
        <f>TbReceitas[[#This Row],[quantidade]]*TbReceitas[[#This Row],[preco_unitario]]</f>
        <v>10588</v>
      </c>
      <c r="H1145" t="str">
        <f>TEXT(TbReceitas[[#This Row],[data_transacao]], "aaaa-mm")</f>
        <v>2025-10</v>
      </c>
    </row>
    <row r="1146" spans="1:8">
      <c r="A1146">
        <v>1145</v>
      </c>
      <c r="B1146" s="1">
        <v>45755</v>
      </c>
      <c r="C1146" t="s">
        <v>1456</v>
      </c>
      <c r="D1146" t="s">
        <v>555</v>
      </c>
      <c r="E1146">
        <v>4</v>
      </c>
      <c r="F1146">
        <v>4984</v>
      </c>
      <c r="G1146">
        <f>TbReceitas[[#This Row],[quantidade]]*TbReceitas[[#This Row],[preco_unitario]]</f>
        <v>19936</v>
      </c>
      <c r="H1146" t="str">
        <f>TEXT(TbReceitas[[#This Row],[data_transacao]], "aaaa-mm")</f>
        <v>2025-04</v>
      </c>
    </row>
    <row r="1147" spans="1:8">
      <c r="A1147">
        <v>1146</v>
      </c>
      <c r="B1147" s="1">
        <v>45732</v>
      </c>
      <c r="C1147" t="s">
        <v>999</v>
      </c>
      <c r="D1147" t="s">
        <v>656</v>
      </c>
      <c r="E1147">
        <v>2</v>
      </c>
      <c r="F1147">
        <v>22049</v>
      </c>
      <c r="G1147">
        <f>TbReceitas[[#This Row],[quantidade]]*TbReceitas[[#This Row],[preco_unitario]]</f>
        <v>44098</v>
      </c>
      <c r="H1147" t="str">
        <f>TEXT(TbReceitas[[#This Row],[data_transacao]], "aaaa-mm")</f>
        <v>2025-03</v>
      </c>
    </row>
    <row r="1148" spans="1:8">
      <c r="A1148">
        <v>1147</v>
      </c>
      <c r="B1148" s="1">
        <v>45727</v>
      </c>
      <c r="C1148" t="s">
        <v>1338</v>
      </c>
      <c r="D1148" t="s">
        <v>511</v>
      </c>
      <c r="E1148">
        <v>2</v>
      </c>
      <c r="F1148">
        <v>17603</v>
      </c>
      <c r="G1148">
        <f>TbReceitas[[#This Row],[quantidade]]*TbReceitas[[#This Row],[preco_unitario]]</f>
        <v>35206</v>
      </c>
      <c r="H1148" t="str">
        <f>TEXT(TbReceitas[[#This Row],[data_transacao]], "aaaa-mm")</f>
        <v>2025-03</v>
      </c>
    </row>
    <row r="1149" spans="1:8">
      <c r="A1149">
        <v>1148</v>
      </c>
      <c r="B1149" s="1">
        <v>45750</v>
      </c>
      <c r="C1149" t="s">
        <v>1457</v>
      </c>
      <c r="D1149" t="s">
        <v>422</v>
      </c>
      <c r="E1149">
        <v>3</v>
      </c>
      <c r="F1149">
        <v>4061</v>
      </c>
      <c r="G1149">
        <f>TbReceitas[[#This Row],[quantidade]]*TbReceitas[[#This Row],[preco_unitario]]</f>
        <v>12183</v>
      </c>
      <c r="H1149" t="str">
        <f>TEXT(TbReceitas[[#This Row],[data_transacao]], "aaaa-mm")</f>
        <v>2025-04</v>
      </c>
    </row>
    <row r="1150" spans="1:8">
      <c r="A1150">
        <v>1149</v>
      </c>
      <c r="B1150" s="1">
        <v>46175</v>
      </c>
      <c r="C1150" t="s">
        <v>724</v>
      </c>
      <c r="D1150" t="s">
        <v>331</v>
      </c>
      <c r="E1150">
        <v>1</v>
      </c>
      <c r="F1150">
        <v>1809</v>
      </c>
      <c r="G1150">
        <f>TbReceitas[[#This Row],[quantidade]]*TbReceitas[[#This Row],[preco_unitario]]</f>
        <v>1809</v>
      </c>
      <c r="H1150" t="str">
        <f>TEXT(TbReceitas[[#This Row],[data_transacao]], "aaaa-mm")</f>
        <v>2026-06</v>
      </c>
    </row>
    <row r="1151" spans="1:8">
      <c r="A1151">
        <v>1150</v>
      </c>
      <c r="B1151" s="1">
        <v>46059</v>
      </c>
      <c r="C1151" t="s">
        <v>1441</v>
      </c>
      <c r="D1151" t="s">
        <v>511</v>
      </c>
      <c r="E1151">
        <v>1</v>
      </c>
      <c r="F1151">
        <v>17603</v>
      </c>
      <c r="G1151">
        <f>TbReceitas[[#This Row],[quantidade]]*TbReceitas[[#This Row],[preco_unitario]]</f>
        <v>17603</v>
      </c>
      <c r="H1151" t="str">
        <f>TEXT(TbReceitas[[#This Row],[data_transacao]], "aaaa-mm")</f>
        <v>2026-02</v>
      </c>
    </row>
    <row r="1152" spans="1:8">
      <c r="A1152">
        <v>1151</v>
      </c>
      <c r="B1152" s="1">
        <v>46224</v>
      </c>
      <c r="C1152" t="s">
        <v>787</v>
      </c>
      <c r="D1152" t="s">
        <v>620</v>
      </c>
      <c r="E1152">
        <v>5</v>
      </c>
      <c r="F1152">
        <v>1417</v>
      </c>
      <c r="G1152">
        <f>TbReceitas[[#This Row],[quantidade]]*TbReceitas[[#This Row],[preco_unitario]]</f>
        <v>7085</v>
      </c>
      <c r="H1152" t="str">
        <f>TEXT(TbReceitas[[#This Row],[data_transacao]], "aaaa-mm")</f>
        <v>2026-07</v>
      </c>
    </row>
    <row r="1153" spans="1:8">
      <c r="A1153">
        <v>1152</v>
      </c>
      <c r="B1153" s="1">
        <v>45593</v>
      </c>
      <c r="C1153" t="s">
        <v>1368</v>
      </c>
      <c r="D1153" t="s">
        <v>902</v>
      </c>
      <c r="E1153">
        <v>3</v>
      </c>
      <c r="F1153">
        <v>14695</v>
      </c>
      <c r="G1153">
        <f>TbReceitas[[#This Row],[quantidade]]*TbReceitas[[#This Row],[preco_unitario]]</f>
        <v>44085</v>
      </c>
      <c r="H1153" t="str">
        <f>TEXT(TbReceitas[[#This Row],[data_transacao]], "aaaa-mm")</f>
        <v>2024-10</v>
      </c>
    </row>
    <row r="1154" spans="1:8">
      <c r="A1154">
        <v>1153</v>
      </c>
      <c r="B1154" s="1">
        <v>45611</v>
      </c>
      <c r="C1154" t="s">
        <v>1458</v>
      </c>
      <c r="D1154" t="s">
        <v>172</v>
      </c>
      <c r="E1154">
        <v>1</v>
      </c>
      <c r="F1154">
        <v>9233</v>
      </c>
      <c r="G1154">
        <f>TbReceitas[[#This Row],[quantidade]]*TbReceitas[[#This Row],[preco_unitario]]</f>
        <v>9233</v>
      </c>
      <c r="H1154" t="str">
        <f>TEXT(TbReceitas[[#This Row],[data_transacao]], "aaaa-mm")</f>
        <v>2024-11</v>
      </c>
    </row>
    <row r="1155" spans="1:8">
      <c r="A1155">
        <v>1154</v>
      </c>
      <c r="B1155" s="1">
        <v>46135</v>
      </c>
      <c r="C1155" t="s">
        <v>1302</v>
      </c>
      <c r="D1155" t="s">
        <v>262</v>
      </c>
      <c r="E1155">
        <v>2</v>
      </c>
      <c r="F1155">
        <v>10217</v>
      </c>
      <c r="G1155">
        <f>TbReceitas[[#This Row],[quantidade]]*TbReceitas[[#This Row],[preco_unitario]]</f>
        <v>20434</v>
      </c>
      <c r="H1155" t="str">
        <f>TEXT(TbReceitas[[#This Row],[data_transacao]], "aaaa-mm")</f>
        <v>2026-04</v>
      </c>
    </row>
    <row r="1156" spans="1:8">
      <c r="A1156">
        <v>1155</v>
      </c>
      <c r="B1156" s="1">
        <v>46160</v>
      </c>
      <c r="C1156" t="s">
        <v>1310</v>
      </c>
      <c r="D1156" t="s">
        <v>172</v>
      </c>
      <c r="E1156">
        <v>3</v>
      </c>
      <c r="F1156">
        <v>9233</v>
      </c>
      <c r="G1156">
        <f>TbReceitas[[#This Row],[quantidade]]*TbReceitas[[#This Row],[preco_unitario]]</f>
        <v>27699</v>
      </c>
      <c r="H1156" t="str">
        <f>TEXT(TbReceitas[[#This Row],[data_transacao]], "aaaa-mm")</f>
        <v>2026-05</v>
      </c>
    </row>
    <row r="1157" spans="1:8">
      <c r="A1157">
        <v>1156</v>
      </c>
      <c r="B1157" s="1">
        <v>45617</v>
      </c>
      <c r="C1157" t="s">
        <v>970</v>
      </c>
      <c r="D1157" t="s">
        <v>467</v>
      </c>
      <c r="E1157">
        <v>4</v>
      </c>
      <c r="F1157">
        <v>14848</v>
      </c>
      <c r="G1157">
        <f>TbReceitas[[#This Row],[quantidade]]*TbReceitas[[#This Row],[preco_unitario]]</f>
        <v>59392</v>
      </c>
      <c r="H1157" t="str">
        <f>TEXT(TbReceitas[[#This Row],[data_transacao]], "aaaa-mm")</f>
        <v>2024-11</v>
      </c>
    </row>
    <row r="1158" spans="1:8">
      <c r="A1158">
        <v>1157</v>
      </c>
      <c r="B1158" s="1">
        <v>46143</v>
      </c>
      <c r="C1158" t="s">
        <v>1222</v>
      </c>
      <c r="D1158" t="s">
        <v>516</v>
      </c>
      <c r="E1158">
        <v>3</v>
      </c>
      <c r="F1158">
        <v>4039</v>
      </c>
      <c r="G1158">
        <f>TbReceitas[[#This Row],[quantidade]]*TbReceitas[[#This Row],[preco_unitario]]</f>
        <v>12117</v>
      </c>
      <c r="H1158" t="str">
        <f>TEXT(TbReceitas[[#This Row],[data_transacao]], "aaaa-mm")</f>
        <v>2026-05</v>
      </c>
    </row>
    <row r="1159" spans="1:8">
      <c r="A1159">
        <v>1158</v>
      </c>
      <c r="B1159" s="1">
        <v>46138</v>
      </c>
      <c r="C1159" t="s">
        <v>1221</v>
      </c>
      <c r="D1159" t="s">
        <v>67</v>
      </c>
      <c r="E1159">
        <v>4</v>
      </c>
      <c r="F1159">
        <v>13019</v>
      </c>
      <c r="G1159">
        <f>TbReceitas[[#This Row],[quantidade]]*TbReceitas[[#This Row],[preco_unitario]]</f>
        <v>52076</v>
      </c>
      <c r="H1159" t="str">
        <f>TEXT(TbReceitas[[#This Row],[data_transacao]], "aaaa-mm")</f>
        <v>2026-04</v>
      </c>
    </row>
    <row r="1160" spans="1:8">
      <c r="A1160">
        <v>1159</v>
      </c>
      <c r="B1160" s="1">
        <v>45815</v>
      </c>
      <c r="C1160" t="s">
        <v>931</v>
      </c>
      <c r="D1160" t="s">
        <v>232</v>
      </c>
      <c r="E1160">
        <v>5</v>
      </c>
      <c r="F1160">
        <v>17502</v>
      </c>
      <c r="G1160">
        <f>TbReceitas[[#This Row],[quantidade]]*TbReceitas[[#This Row],[preco_unitario]]</f>
        <v>87510</v>
      </c>
      <c r="H1160" t="str">
        <f>TEXT(TbReceitas[[#This Row],[data_transacao]], "aaaa-mm")</f>
        <v>2025-06</v>
      </c>
    </row>
    <row r="1161" spans="1:8">
      <c r="A1161">
        <v>1160</v>
      </c>
      <c r="B1161" s="1">
        <v>46253</v>
      </c>
      <c r="C1161" t="s">
        <v>1459</v>
      </c>
      <c r="D1161" t="s">
        <v>364</v>
      </c>
      <c r="E1161">
        <v>4</v>
      </c>
      <c r="F1161">
        <v>176</v>
      </c>
      <c r="G1161">
        <f>TbReceitas[[#This Row],[quantidade]]*TbReceitas[[#This Row],[preco_unitario]]</f>
        <v>704</v>
      </c>
      <c r="H1161" t="str">
        <f>TEXT(TbReceitas[[#This Row],[data_transacao]], "aaaa-mm")</f>
        <v>2026-08</v>
      </c>
    </row>
    <row r="1162" spans="1:8">
      <c r="A1162">
        <v>1161</v>
      </c>
      <c r="B1162" s="1">
        <v>45593</v>
      </c>
      <c r="C1162" t="s">
        <v>1040</v>
      </c>
      <c r="D1162" t="s">
        <v>562</v>
      </c>
      <c r="E1162">
        <v>4</v>
      </c>
      <c r="F1162">
        <v>1203</v>
      </c>
      <c r="G1162">
        <f>TbReceitas[[#This Row],[quantidade]]*TbReceitas[[#This Row],[preco_unitario]]</f>
        <v>4812</v>
      </c>
      <c r="H1162" t="str">
        <f>TEXT(TbReceitas[[#This Row],[data_transacao]], "aaaa-mm")</f>
        <v>2024-10</v>
      </c>
    </row>
    <row r="1163" spans="1:8">
      <c r="A1163">
        <v>1162</v>
      </c>
      <c r="B1163" s="1">
        <v>45732</v>
      </c>
      <c r="C1163" t="s">
        <v>1460</v>
      </c>
      <c r="D1163" t="s">
        <v>700</v>
      </c>
      <c r="E1163">
        <v>4</v>
      </c>
      <c r="F1163">
        <v>17759</v>
      </c>
      <c r="G1163">
        <f>TbReceitas[[#This Row],[quantidade]]*TbReceitas[[#This Row],[preco_unitario]]</f>
        <v>71036</v>
      </c>
      <c r="H1163" t="str">
        <f>TEXT(TbReceitas[[#This Row],[data_transacao]], "aaaa-mm")</f>
        <v>2025-03</v>
      </c>
    </row>
    <row r="1164" spans="1:8">
      <c r="A1164">
        <v>1163</v>
      </c>
      <c r="B1164" s="1">
        <v>46080</v>
      </c>
      <c r="C1164" t="s">
        <v>751</v>
      </c>
      <c r="D1164" t="s">
        <v>425</v>
      </c>
      <c r="E1164">
        <v>4</v>
      </c>
      <c r="F1164">
        <v>24879</v>
      </c>
      <c r="G1164">
        <f>TbReceitas[[#This Row],[quantidade]]*TbReceitas[[#This Row],[preco_unitario]]</f>
        <v>99516</v>
      </c>
      <c r="H1164" t="str">
        <f>TEXT(TbReceitas[[#This Row],[data_transacao]], "aaaa-mm")</f>
        <v>2026-02</v>
      </c>
    </row>
    <row r="1165" spans="1:8">
      <c r="A1165">
        <v>1164</v>
      </c>
      <c r="B1165" s="1">
        <v>45674</v>
      </c>
      <c r="C1165" t="s">
        <v>1461</v>
      </c>
      <c r="D1165" t="s">
        <v>156</v>
      </c>
      <c r="E1165">
        <v>3</v>
      </c>
      <c r="F1165">
        <v>20451</v>
      </c>
      <c r="G1165">
        <f>TbReceitas[[#This Row],[quantidade]]*TbReceitas[[#This Row],[preco_unitario]]</f>
        <v>61353</v>
      </c>
      <c r="H1165" t="str">
        <f>TEXT(TbReceitas[[#This Row],[data_transacao]], "aaaa-mm")</f>
        <v>2025-01</v>
      </c>
    </row>
    <row r="1166" spans="1:8">
      <c r="A1166">
        <v>1165</v>
      </c>
      <c r="B1166" s="1">
        <v>45949</v>
      </c>
      <c r="C1166" t="s">
        <v>1462</v>
      </c>
      <c r="D1166" t="s">
        <v>141</v>
      </c>
      <c r="E1166">
        <v>2</v>
      </c>
      <c r="F1166">
        <v>1235</v>
      </c>
      <c r="G1166">
        <f>TbReceitas[[#This Row],[quantidade]]*TbReceitas[[#This Row],[preco_unitario]]</f>
        <v>2470</v>
      </c>
      <c r="H1166" t="str">
        <f>TEXT(TbReceitas[[#This Row],[data_transacao]], "aaaa-mm")</f>
        <v>2025-10</v>
      </c>
    </row>
    <row r="1167" spans="1:8">
      <c r="A1167">
        <v>1166</v>
      </c>
      <c r="B1167" s="1">
        <v>45696</v>
      </c>
      <c r="C1167" t="s">
        <v>924</v>
      </c>
      <c r="D1167" t="s">
        <v>108</v>
      </c>
      <c r="E1167">
        <v>2</v>
      </c>
      <c r="F1167">
        <v>6891</v>
      </c>
      <c r="G1167">
        <f>TbReceitas[[#This Row],[quantidade]]*TbReceitas[[#This Row],[preco_unitario]]</f>
        <v>13782</v>
      </c>
      <c r="H1167" t="str">
        <f>TEXT(TbReceitas[[#This Row],[data_transacao]], "aaaa-mm")</f>
        <v>2025-02</v>
      </c>
    </row>
    <row r="1168" spans="1:8">
      <c r="A1168">
        <v>1167</v>
      </c>
      <c r="B1168" s="1">
        <v>46128</v>
      </c>
      <c r="C1168" t="s">
        <v>909</v>
      </c>
      <c r="D1168" t="s">
        <v>457</v>
      </c>
      <c r="E1168">
        <v>2</v>
      </c>
      <c r="F1168">
        <v>19353</v>
      </c>
      <c r="G1168">
        <f>TbReceitas[[#This Row],[quantidade]]*TbReceitas[[#This Row],[preco_unitario]]</f>
        <v>38706</v>
      </c>
      <c r="H1168" t="str">
        <f>TEXT(TbReceitas[[#This Row],[data_transacao]], "aaaa-mm")</f>
        <v>2026-04</v>
      </c>
    </row>
    <row r="1169" spans="1:8">
      <c r="A1169">
        <v>1168</v>
      </c>
      <c r="B1169" s="1">
        <v>45611</v>
      </c>
      <c r="C1169" t="s">
        <v>1194</v>
      </c>
      <c r="D1169" t="s">
        <v>644</v>
      </c>
      <c r="E1169">
        <v>3</v>
      </c>
      <c r="F1169">
        <v>19389</v>
      </c>
      <c r="G1169">
        <f>TbReceitas[[#This Row],[quantidade]]*TbReceitas[[#This Row],[preco_unitario]]</f>
        <v>58167</v>
      </c>
      <c r="H1169" t="str">
        <f>TEXT(TbReceitas[[#This Row],[data_transacao]], "aaaa-mm")</f>
        <v>2024-11</v>
      </c>
    </row>
    <row r="1170" spans="1:8">
      <c r="A1170">
        <v>1169</v>
      </c>
      <c r="B1170" s="1">
        <v>45627</v>
      </c>
      <c r="C1170" t="s">
        <v>806</v>
      </c>
      <c r="D1170" t="s">
        <v>700</v>
      </c>
      <c r="E1170">
        <v>4</v>
      </c>
      <c r="F1170">
        <v>17759</v>
      </c>
      <c r="G1170">
        <f>TbReceitas[[#This Row],[quantidade]]*TbReceitas[[#This Row],[preco_unitario]]</f>
        <v>71036</v>
      </c>
      <c r="H1170" t="str">
        <f>TEXT(TbReceitas[[#This Row],[data_transacao]], "aaaa-mm")</f>
        <v>2024-12</v>
      </c>
    </row>
    <row r="1171" spans="1:8">
      <c r="A1171">
        <v>1170</v>
      </c>
      <c r="B1171" s="1">
        <v>46164</v>
      </c>
      <c r="C1171" t="s">
        <v>897</v>
      </c>
      <c r="D1171" t="s">
        <v>1313</v>
      </c>
      <c r="E1171">
        <v>1</v>
      </c>
      <c r="F1171">
        <v>4935</v>
      </c>
      <c r="G1171">
        <f>TbReceitas[[#This Row],[quantidade]]*TbReceitas[[#This Row],[preco_unitario]]</f>
        <v>4935</v>
      </c>
      <c r="H1171" t="str">
        <f>TEXT(TbReceitas[[#This Row],[data_transacao]], "aaaa-mm")</f>
        <v>2026-05</v>
      </c>
    </row>
    <row r="1172" spans="1:8">
      <c r="A1172">
        <v>1171</v>
      </c>
      <c r="B1172" s="1">
        <v>45926</v>
      </c>
      <c r="C1172" t="s">
        <v>1463</v>
      </c>
      <c r="D1172" t="s">
        <v>529</v>
      </c>
      <c r="E1172">
        <v>5</v>
      </c>
      <c r="F1172">
        <v>18056</v>
      </c>
      <c r="G1172">
        <f>TbReceitas[[#This Row],[quantidade]]*TbReceitas[[#This Row],[preco_unitario]]</f>
        <v>90280</v>
      </c>
      <c r="H1172" t="str">
        <f>TEXT(TbReceitas[[#This Row],[data_transacao]], "aaaa-mm")</f>
        <v>2025-09</v>
      </c>
    </row>
    <row r="1173" spans="1:8">
      <c r="A1173">
        <v>1172</v>
      </c>
      <c r="B1173" s="1">
        <v>45667</v>
      </c>
      <c r="C1173" t="s">
        <v>1464</v>
      </c>
      <c r="D1173" t="s">
        <v>558</v>
      </c>
      <c r="E1173">
        <v>3</v>
      </c>
      <c r="F1173">
        <v>616</v>
      </c>
      <c r="G1173">
        <f>TbReceitas[[#This Row],[quantidade]]*TbReceitas[[#This Row],[preco_unitario]]</f>
        <v>1848</v>
      </c>
      <c r="H1173" t="str">
        <f>TEXT(TbReceitas[[#This Row],[data_transacao]], "aaaa-mm")</f>
        <v>2025-01</v>
      </c>
    </row>
    <row r="1174" spans="1:8">
      <c r="A1174">
        <v>1173</v>
      </c>
      <c r="B1174" s="1">
        <v>45946</v>
      </c>
      <c r="C1174" t="s">
        <v>1403</v>
      </c>
      <c r="D1174" t="s">
        <v>665</v>
      </c>
      <c r="E1174">
        <v>3</v>
      </c>
      <c r="F1174">
        <v>2409</v>
      </c>
      <c r="G1174">
        <f>TbReceitas[[#This Row],[quantidade]]*TbReceitas[[#This Row],[preco_unitario]]</f>
        <v>7227</v>
      </c>
      <c r="H1174" t="str">
        <f>TEXT(TbReceitas[[#This Row],[data_transacao]], "aaaa-mm")</f>
        <v>2025-10</v>
      </c>
    </row>
    <row r="1175" spans="1:8">
      <c r="A1175">
        <v>1174</v>
      </c>
      <c r="B1175" s="1">
        <v>45829</v>
      </c>
      <c r="C1175" t="s">
        <v>901</v>
      </c>
      <c r="D1175" t="s">
        <v>601</v>
      </c>
      <c r="E1175">
        <v>1</v>
      </c>
      <c r="F1175">
        <v>24408</v>
      </c>
      <c r="G1175">
        <f>TbReceitas[[#This Row],[quantidade]]*TbReceitas[[#This Row],[preco_unitario]]</f>
        <v>24408</v>
      </c>
      <c r="H1175" t="str">
        <f>TEXT(TbReceitas[[#This Row],[data_transacao]], "aaaa-mm")</f>
        <v>2025-06</v>
      </c>
    </row>
    <row r="1176" spans="1:8">
      <c r="A1176">
        <v>1175</v>
      </c>
      <c r="B1176" s="1">
        <v>45672</v>
      </c>
      <c r="C1176" t="s">
        <v>1436</v>
      </c>
      <c r="D1176" t="s">
        <v>692</v>
      </c>
      <c r="E1176">
        <v>4</v>
      </c>
      <c r="F1176">
        <v>14519</v>
      </c>
      <c r="G1176">
        <f>TbReceitas[[#This Row],[quantidade]]*TbReceitas[[#This Row],[preco_unitario]]</f>
        <v>58076</v>
      </c>
      <c r="H1176" t="str">
        <f>TEXT(TbReceitas[[#This Row],[data_transacao]], "aaaa-mm")</f>
        <v>2025-01</v>
      </c>
    </row>
    <row r="1177" spans="1:8">
      <c r="A1177">
        <v>1176</v>
      </c>
      <c r="B1177" s="1">
        <v>45746</v>
      </c>
      <c r="C1177" t="s">
        <v>996</v>
      </c>
      <c r="D1177" t="s">
        <v>15</v>
      </c>
      <c r="E1177">
        <v>2</v>
      </c>
      <c r="F1177">
        <v>15605</v>
      </c>
      <c r="G1177">
        <f>TbReceitas[[#This Row],[quantidade]]*TbReceitas[[#This Row],[preco_unitario]]</f>
        <v>31210</v>
      </c>
      <c r="H1177" t="str">
        <f>TEXT(TbReceitas[[#This Row],[data_transacao]], "aaaa-mm")</f>
        <v>2025-03</v>
      </c>
    </row>
    <row r="1178" spans="1:8">
      <c r="A1178">
        <v>1177</v>
      </c>
      <c r="B1178" s="1">
        <v>46165</v>
      </c>
      <c r="C1178" t="s">
        <v>1465</v>
      </c>
      <c r="D1178" t="s">
        <v>77</v>
      </c>
      <c r="E1178">
        <v>1</v>
      </c>
      <c r="F1178">
        <v>23733</v>
      </c>
      <c r="G1178">
        <f>TbReceitas[[#This Row],[quantidade]]*TbReceitas[[#This Row],[preco_unitario]]</f>
        <v>23733</v>
      </c>
      <c r="H1178" t="str">
        <f>TEXT(TbReceitas[[#This Row],[data_transacao]], "aaaa-mm")</f>
        <v>2026-05</v>
      </c>
    </row>
    <row r="1179" spans="1:8">
      <c r="A1179">
        <v>1178</v>
      </c>
      <c r="B1179" s="1">
        <v>46064</v>
      </c>
      <c r="C1179" t="s">
        <v>906</v>
      </c>
      <c r="D1179" t="s">
        <v>588</v>
      </c>
      <c r="E1179">
        <v>5</v>
      </c>
      <c r="F1179">
        <v>15168</v>
      </c>
      <c r="G1179">
        <f>TbReceitas[[#This Row],[quantidade]]*TbReceitas[[#This Row],[preco_unitario]]</f>
        <v>75840</v>
      </c>
      <c r="H1179" t="str">
        <f>TEXT(TbReceitas[[#This Row],[data_transacao]], "aaaa-mm")</f>
        <v>2026-02</v>
      </c>
    </row>
    <row r="1180" spans="1:8">
      <c r="A1180">
        <v>1179</v>
      </c>
      <c r="B1180" s="1">
        <v>45638</v>
      </c>
      <c r="C1180" t="s">
        <v>1450</v>
      </c>
      <c r="D1180" t="s">
        <v>39</v>
      </c>
      <c r="E1180">
        <v>4</v>
      </c>
      <c r="F1180">
        <v>12748</v>
      </c>
      <c r="G1180">
        <f>TbReceitas[[#This Row],[quantidade]]*TbReceitas[[#This Row],[preco_unitario]]</f>
        <v>50992</v>
      </c>
      <c r="H1180" t="str">
        <f>TEXT(TbReceitas[[#This Row],[data_transacao]], "aaaa-mm")</f>
        <v>2024-12</v>
      </c>
    </row>
    <row r="1181" spans="1:8">
      <c r="A1181">
        <v>1180</v>
      </c>
      <c r="B1181" s="1">
        <v>45999</v>
      </c>
      <c r="C1181" t="s">
        <v>1287</v>
      </c>
      <c r="D1181" t="s">
        <v>380</v>
      </c>
      <c r="E1181">
        <v>3</v>
      </c>
      <c r="F1181">
        <v>18227</v>
      </c>
      <c r="G1181">
        <f>TbReceitas[[#This Row],[quantidade]]*TbReceitas[[#This Row],[preco_unitario]]</f>
        <v>54681</v>
      </c>
      <c r="H1181" t="str">
        <f>TEXT(TbReceitas[[#This Row],[data_transacao]], "aaaa-mm")</f>
        <v>2025-12</v>
      </c>
    </row>
    <row r="1182" spans="1:8">
      <c r="A1182">
        <v>1181</v>
      </c>
      <c r="B1182" s="1">
        <v>46259</v>
      </c>
      <c r="C1182" t="s">
        <v>763</v>
      </c>
      <c r="D1182" t="s">
        <v>115</v>
      </c>
      <c r="E1182">
        <v>3</v>
      </c>
      <c r="F1182">
        <v>10588</v>
      </c>
      <c r="G1182">
        <f>TbReceitas[[#This Row],[quantidade]]*TbReceitas[[#This Row],[preco_unitario]]</f>
        <v>31764</v>
      </c>
      <c r="H1182" t="str">
        <f>TEXT(TbReceitas[[#This Row],[data_transacao]], "aaaa-mm")</f>
        <v>2026-08</v>
      </c>
    </row>
    <row r="1183" spans="1:8">
      <c r="A1183">
        <v>1182</v>
      </c>
      <c r="B1183" s="1">
        <v>46075</v>
      </c>
      <c r="C1183" t="s">
        <v>1307</v>
      </c>
      <c r="D1183" t="s">
        <v>611</v>
      </c>
      <c r="E1183">
        <v>3</v>
      </c>
      <c r="F1183">
        <v>20719</v>
      </c>
      <c r="G1183">
        <f>TbReceitas[[#This Row],[quantidade]]*TbReceitas[[#This Row],[preco_unitario]]</f>
        <v>62157</v>
      </c>
      <c r="H1183" t="str">
        <f>TEXT(TbReceitas[[#This Row],[data_transacao]], "aaaa-mm")</f>
        <v>2026-02</v>
      </c>
    </row>
    <row r="1184" spans="1:8">
      <c r="A1184">
        <v>1183</v>
      </c>
      <c r="B1184" s="1">
        <v>45827</v>
      </c>
      <c r="C1184" t="s">
        <v>1056</v>
      </c>
      <c r="D1184" t="s">
        <v>424</v>
      </c>
      <c r="E1184">
        <v>1</v>
      </c>
      <c r="F1184">
        <v>7332</v>
      </c>
      <c r="G1184">
        <f>TbReceitas[[#This Row],[quantidade]]*TbReceitas[[#This Row],[preco_unitario]]</f>
        <v>7332</v>
      </c>
      <c r="H1184" t="str">
        <f>TEXT(TbReceitas[[#This Row],[data_transacao]], "aaaa-mm")</f>
        <v>2025-06</v>
      </c>
    </row>
    <row r="1185" spans="1:8">
      <c r="A1185">
        <v>1184</v>
      </c>
      <c r="B1185" s="1">
        <v>45638</v>
      </c>
      <c r="C1185" t="s">
        <v>1466</v>
      </c>
      <c r="D1185" t="s">
        <v>382</v>
      </c>
      <c r="E1185">
        <v>2</v>
      </c>
      <c r="F1185">
        <v>4188</v>
      </c>
      <c r="G1185">
        <f>TbReceitas[[#This Row],[quantidade]]*TbReceitas[[#This Row],[preco_unitario]]</f>
        <v>8376</v>
      </c>
      <c r="H1185" t="str">
        <f>TEXT(TbReceitas[[#This Row],[data_transacao]], "aaaa-mm")</f>
        <v>2024-12</v>
      </c>
    </row>
    <row r="1186" spans="1:8">
      <c r="A1186">
        <v>1185</v>
      </c>
      <c r="B1186" s="1">
        <v>46251</v>
      </c>
      <c r="C1186" t="s">
        <v>760</v>
      </c>
      <c r="D1186" t="s">
        <v>562</v>
      </c>
      <c r="E1186">
        <v>5</v>
      </c>
      <c r="F1186">
        <v>1203</v>
      </c>
      <c r="G1186">
        <f>TbReceitas[[#This Row],[quantidade]]*TbReceitas[[#This Row],[preco_unitario]]</f>
        <v>6015</v>
      </c>
      <c r="H1186" t="str">
        <f>TEXT(TbReceitas[[#This Row],[data_transacao]], "aaaa-mm")</f>
        <v>2026-08</v>
      </c>
    </row>
    <row r="1187" spans="1:8">
      <c r="A1187">
        <v>1186</v>
      </c>
      <c r="B1187" s="1">
        <v>45723</v>
      </c>
      <c r="C1187" t="s">
        <v>910</v>
      </c>
      <c r="D1187" t="s">
        <v>81</v>
      </c>
      <c r="E1187">
        <v>2</v>
      </c>
      <c r="F1187">
        <v>9521</v>
      </c>
      <c r="G1187">
        <f>TbReceitas[[#This Row],[quantidade]]*TbReceitas[[#This Row],[preco_unitario]]</f>
        <v>19042</v>
      </c>
      <c r="H1187" t="str">
        <f>TEXT(TbReceitas[[#This Row],[data_transacao]], "aaaa-mm")</f>
        <v>2025-03</v>
      </c>
    </row>
    <row r="1188" spans="1:8">
      <c r="A1188">
        <v>1187</v>
      </c>
      <c r="B1188" s="1">
        <v>45767</v>
      </c>
      <c r="C1188" t="s">
        <v>775</v>
      </c>
      <c r="D1188" t="s">
        <v>646</v>
      </c>
      <c r="E1188">
        <v>4</v>
      </c>
      <c r="F1188">
        <v>14906</v>
      </c>
      <c r="G1188">
        <f>TbReceitas[[#This Row],[quantidade]]*TbReceitas[[#This Row],[preco_unitario]]</f>
        <v>59624</v>
      </c>
      <c r="H1188" t="str">
        <f>TEXT(TbReceitas[[#This Row],[data_transacao]], "aaaa-mm")</f>
        <v>2025-04</v>
      </c>
    </row>
    <row r="1189" spans="1:8">
      <c r="A1189">
        <v>1188</v>
      </c>
      <c r="B1189" s="1">
        <v>45770</v>
      </c>
      <c r="C1189" t="s">
        <v>1467</v>
      </c>
      <c r="D1189" t="s">
        <v>229</v>
      </c>
      <c r="E1189">
        <v>3</v>
      </c>
      <c r="F1189">
        <v>6433</v>
      </c>
      <c r="G1189">
        <f>TbReceitas[[#This Row],[quantidade]]*TbReceitas[[#This Row],[preco_unitario]]</f>
        <v>19299</v>
      </c>
      <c r="H1189" t="str">
        <f>TEXT(TbReceitas[[#This Row],[data_transacao]], "aaaa-mm")</f>
        <v>2025-04</v>
      </c>
    </row>
    <row r="1190" spans="1:8">
      <c r="A1190">
        <v>1189</v>
      </c>
      <c r="B1190" s="1">
        <v>46094</v>
      </c>
      <c r="C1190" t="s">
        <v>1468</v>
      </c>
      <c r="D1190" t="s">
        <v>496</v>
      </c>
      <c r="E1190">
        <v>3</v>
      </c>
      <c r="F1190">
        <v>2496</v>
      </c>
      <c r="G1190">
        <f>TbReceitas[[#This Row],[quantidade]]*TbReceitas[[#This Row],[preco_unitario]]</f>
        <v>7488</v>
      </c>
      <c r="H1190" t="str">
        <f>TEXT(TbReceitas[[#This Row],[data_transacao]], "aaaa-mm")</f>
        <v>2026-03</v>
      </c>
    </row>
    <row r="1191" spans="1:8">
      <c r="A1191">
        <v>1190</v>
      </c>
      <c r="B1191" s="1">
        <v>45856</v>
      </c>
      <c r="C1191" t="s">
        <v>1318</v>
      </c>
      <c r="D1191" t="s">
        <v>614</v>
      </c>
      <c r="E1191">
        <v>3</v>
      </c>
      <c r="F1191">
        <v>24548</v>
      </c>
      <c r="G1191">
        <f>TbReceitas[[#This Row],[quantidade]]*TbReceitas[[#This Row],[preco_unitario]]</f>
        <v>73644</v>
      </c>
      <c r="H1191" t="str">
        <f>TEXT(TbReceitas[[#This Row],[data_transacao]], "aaaa-mm")</f>
        <v>2025-07</v>
      </c>
    </row>
    <row r="1192" spans="1:8">
      <c r="A1192">
        <v>1191</v>
      </c>
      <c r="B1192" s="1">
        <v>46105</v>
      </c>
      <c r="C1192" t="s">
        <v>1417</v>
      </c>
      <c r="D1192" t="s">
        <v>190</v>
      </c>
      <c r="E1192">
        <v>1</v>
      </c>
      <c r="F1192">
        <v>5094</v>
      </c>
      <c r="G1192">
        <f>TbReceitas[[#This Row],[quantidade]]*TbReceitas[[#This Row],[preco_unitario]]</f>
        <v>5094</v>
      </c>
      <c r="H1192" t="str">
        <f>TEXT(TbReceitas[[#This Row],[data_transacao]], "aaaa-mm")</f>
        <v>2026-03</v>
      </c>
    </row>
    <row r="1193" spans="1:8">
      <c r="A1193">
        <v>1192</v>
      </c>
      <c r="B1193" s="1">
        <v>46039</v>
      </c>
      <c r="C1193" t="s">
        <v>1415</v>
      </c>
      <c r="D1193" t="s">
        <v>153</v>
      </c>
      <c r="E1193">
        <v>1</v>
      </c>
      <c r="F1193">
        <v>7366</v>
      </c>
      <c r="G1193">
        <f>TbReceitas[[#This Row],[quantidade]]*TbReceitas[[#This Row],[preco_unitario]]</f>
        <v>7366</v>
      </c>
      <c r="H1193" t="str">
        <f>TEXT(TbReceitas[[#This Row],[data_transacao]], "aaaa-mm")</f>
        <v>2026-01</v>
      </c>
    </row>
    <row r="1194" spans="1:8">
      <c r="A1194">
        <v>1193</v>
      </c>
      <c r="B1194" s="1">
        <v>45861</v>
      </c>
      <c r="C1194" t="s">
        <v>958</v>
      </c>
      <c r="D1194" t="s">
        <v>105</v>
      </c>
      <c r="E1194">
        <v>2</v>
      </c>
      <c r="F1194">
        <v>11041</v>
      </c>
      <c r="G1194">
        <f>TbReceitas[[#This Row],[quantidade]]*TbReceitas[[#This Row],[preco_unitario]]</f>
        <v>22082</v>
      </c>
      <c r="H1194" t="str">
        <f>TEXT(TbReceitas[[#This Row],[data_transacao]], "aaaa-mm")</f>
        <v>2025-07</v>
      </c>
    </row>
    <row r="1195" spans="1:8">
      <c r="A1195">
        <v>1194</v>
      </c>
      <c r="B1195" s="1">
        <v>45638</v>
      </c>
      <c r="C1195" t="s">
        <v>1268</v>
      </c>
      <c r="D1195" t="s">
        <v>666</v>
      </c>
      <c r="E1195">
        <v>5</v>
      </c>
      <c r="F1195">
        <v>17061</v>
      </c>
      <c r="G1195">
        <f>TbReceitas[[#This Row],[quantidade]]*TbReceitas[[#This Row],[preco_unitario]]</f>
        <v>85305</v>
      </c>
      <c r="H1195" t="str">
        <f>TEXT(TbReceitas[[#This Row],[data_transacao]], "aaaa-mm")</f>
        <v>2024-12</v>
      </c>
    </row>
    <row r="1196" spans="1:8">
      <c r="A1196">
        <v>1195</v>
      </c>
      <c r="B1196" s="1">
        <v>45731</v>
      </c>
      <c r="C1196" t="s">
        <v>1469</v>
      </c>
      <c r="D1196" t="s">
        <v>404</v>
      </c>
      <c r="E1196">
        <v>3</v>
      </c>
      <c r="F1196">
        <v>23298</v>
      </c>
      <c r="G1196">
        <f>TbReceitas[[#This Row],[quantidade]]*TbReceitas[[#This Row],[preco_unitario]]</f>
        <v>69894</v>
      </c>
      <c r="H1196" t="str">
        <f>TEXT(TbReceitas[[#This Row],[data_transacao]], "aaaa-mm")</f>
        <v>2025-03</v>
      </c>
    </row>
    <row r="1197" spans="1:8">
      <c r="A1197">
        <v>1196</v>
      </c>
      <c r="B1197" s="1">
        <v>46135</v>
      </c>
      <c r="C1197" t="s">
        <v>1470</v>
      </c>
      <c r="D1197" t="s">
        <v>187</v>
      </c>
      <c r="E1197">
        <v>3</v>
      </c>
      <c r="F1197">
        <v>497</v>
      </c>
      <c r="G1197">
        <f>TbReceitas[[#This Row],[quantidade]]*TbReceitas[[#This Row],[preco_unitario]]</f>
        <v>1491</v>
      </c>
      <c r="H1197" t="str">
        <f>TEXT(TbReceitas[[#This Row],[data_transacao]], "aaaa-mm")</f>
        <v>2026-04</v>
      </c>
    </row>
    <row r="1198" spans="1:8">
      <c r="A1198">
        <v>1197</v>
      </c>
      <c r="B1198" s="1">
        <v>45823</v>
      </c>
      <c r="C1198" t="s">
        <v>734</v>
      </c>
      <c r="D1198" t="s">
        <v>568</v>
      </c>
      <c r="E1198">
        <v>1</v>
      </c>
      <c r="F1198">
        <v>9027</v>
      </c>
      <c r="G1198">
        <f>TbReceitas[[#This Row],[quantidade]]*TbReceitas[[#This Row],[preco_unitario]]</f>
        <v>9027</v>
      </c>
      <c r="H1198" t="str">
        <f>TEXT(TbReceitas[[#This Row],[data_transacao]], "aaaa-mm")</f>
        <v>2025-06</v>
      </c>
    </row>
    <row r="1199" spans="1:8">
      <c r="A1199">
        <v>1198</v>
      </c>
      <c r="B1199" s="1">
        <v>45610</v>
      </c>
      <c r="C1199" t="s">
        <v>726</v>
      </c>
      <c r="D1199" t="s">
        <v>340</v>
      </c>
      <c r="E1199">
        <v>5</v>
      </c>
      <c r="F1199">
        <v>13813</v>
      </c>
      <c r="G1199">
        <f>TbReceitas[[#This Row],[quantidade]]*TbReceitas[[#This Row],[preco_unitario]]</f>
        <v>69065</v>
      </c>
      <c r="H1199" t="str">
        <f>TEXT(TbReceitas[[#This Row],[data_transacao]], "aaaa-mm")</f>
        <v>2024-11</v>
      </c>
    </row>
    <row r="1200" spans="1:8">
      <c r="A1200">
        <v>1199</v>
      </c>
      <c r="B1200" s="1">
        <v>45943</v>
      </c>
      <c r="C1200" t="s">
        <v>1471</v>
      </c>
      <c r="D1200" t="s">
        <v>483</v>
      </c>
      <c r="E1200">
        <v>5</v>
      </c>
      <c r="F1200">
        <v>19339</v>
      </c>
      <c r="G1200">
        <f>TbReceitas[[#This Row],[quantidade]]*TbReceitas[[#This Row],[preco_unitario]]</f>
        <v>96695</v>
      </c>
      <c r="H1200" t="str">
        <f>TEXT(TbReceitas[[#This Row],[data_transacao]], "aaaa-mm")</f>
        <v>2025-10</v>
      </c>
    </row>
    <row r="1201" spans="1:8">
      <c r="A1201">
        <v>1200</v>
      </c>
      <c r="B1201" s="1">
        <v>45779</v>
      </c>
      <c r="C1201" t="s">
        <v>1472</v>
      </c>
      <c r="D1201" t="s">
        <v>503</v>
      </c>
      <c r="E1201">
        <v>2</v>
      </c>
      <c r="F1201">
        <v>6899</v>
      </c>
      <c r="G1201">
        <f>TbReceitas[[#This Row],[quantidade]]*TbReceitas[[#This Row],[preco_unitario]]</f>
        <v>13798</v>
      </c>
      <c r="H1201" t="str">
        <f>TEXT(TbReceitas[[#This Row],[data_transacao]], "aaaa-mm")</f>
        <v>2025-05</v>
      </c>
    </row>
    <row r="1202" spans="1:8">
      <c r="A1202">
        <v>1201</v>
      </c>
      <c r="B1202" s="1">
        <v>45801</v>
      </c>
      <c r="C1202" t="s">
        <v>1473</v>
      </c>
      <c r="D1202" t="s">
        <v>722</v>
      </c>
      <c r="E1202">
        <v>3</v>
      </c>
      <c r="F1202">
        <v>1511</v>
      </c>
      <c r="G1202">
        <f>TbReceitas[[#This Row],[quantidade]]*TbReceitas[[#This Row],[preco_unitario]]</f>
        <v>4533</v>
      </c>
      <c r="H1202" t="str">
        <f>TEXT(TbReceitas[[#This Row],[data_transacao]], "aaaa-mm")</f>
        <v>2025-05</v>
      </c>
    </row>
    <row r="1203" spans="1:8">
      <c r="A1203">
        <v>1202</v>
      </c>
      <c r="B1203" s="1">
        <v>45934</v>
      </c>
      <c r="C1203" t="s">
        <v>724</v>
      </c>
      <c r="D1203" t="s">
        <v>16</v>
      </c>
      <c r="E1203">
        <v>5</v>
      </c>
      <c r="F1203">
        <v>19899</v>
      </c>
      <c r="G1203">
        <f>TbReceitas[[#This Row],[quantidade]]*TbReceitas[[#This Row],[preco_unitario]]</f>
        <v>99495</v>
      </c>
      <c r="H1203" t="str">
        <f>TEXT(TbReceitas[[#This Row],[data_transacao]], "aaaa-mm")</f>
        <v>2025-10</v>
      </c>
    </row>
    <row r="1204" spans="1:8">
      <c r="A1204">
        <v>1203</v>
      </c>
      <c r="B1204" s="1">
        <v>45681</v>
      </c>
      <c r="C1204" t="s">
        <v>1474</v>
      </c>
      <c r="D1204" t="s">
        <v>165</v>
      </c>
      <c r="E1204">
        <v>2</v>
      </c>
      <c r="F1204">
        <v>16789</v>
      </c>
      <c r="G1204">
        <f>TbReceitas[[#This Row],[quantidade]]*TbReceitas[[#This Row],[preco_unitario]]</f>
        <v>33578</v>
      </c>
      <c r="H1204" t="str">
        <f>TEXT(TbReceitas[[#This Row],[data_transacao]], "aaaa-mm")</f>
        <v>2025-01</v>
      </c>
    </row>
    <row r="1205" spans="1:8">
      <c r="A1205">
        <v>1204</v>
      </c>
      <c r="B1205" s="1">
        <v>45657</v>
      </c>
      <c r="C1205" t="s">
        <v>1475</v>
      </c>
      <c r="D1205" t="s">
        <v>94</v>
      </c>
      <c r="E1205">
        <v>5</v>
      </c>
      <c r="F1205">
        <v>11961</v>
      </c>
      <c r="G1205">
        <f>TbReceitas[[#This Row],[quantidade]]*TbReceitas[[#This Row],[preco_unitario]]</f>
        <v>59805</v>
      </c>
      <c r="H1205" t="str">
        <f>TEXT(TbReceitas[[#This Row],[data_transacao]], "aaaa-mm")</f>
        <v>2024-12</v>
      </c>
    </row>
    <row r="1206" spans="1:8">
      <c r="A1206">
        <v>1205</v>
      </c>
      <c r="B1206" s="1">
        <v>45928</v>
      </c>
      <c r="C1206" t="s">
        <v>942</v>
      </c>
      <c r="D1206" t="s">
        <v>152</v>
      </c>
      <c r="E1206">
        <v>1</v>
      </c>
      <c r="F1206">
        <v>23714</v>
      </c>
      <c r="G1206">
        <f>TbReceitas[[#This Row],[quantidade]]*TbReceitas[[#This Row],[preco_unitario]]</f>
        <v>23714</v>
      </c>
      <c r="H1206" t="str">
        <f>TEXT(TbReceitas[[#This Row],[data_transacao]], "aaaa-mm")</f>
        <v>2025-09</v>
      </c>
    </row>
    <row r="1207" spans="1:8">
      <c r="A1207">
        <v>1206</v>
      </c>
      <c r="B1207" s="1">
        <v>45658</v>
      </c>
      <c r="C1207" t="s">
        <v>1476</v>
      </c>
      <c r="D1207" t="s">
        <v>239</v>
      </c>
      <c r="E1207">
        <v>1</v>
      </c>
      <c r="F1207">
        <v>3369</v>
      </c>
      <c r="G1207">
        <f>TbReceitas[[#This Row],[quantidade]]*TbReceitas[[#This Row],[preco_unitario]]</f>
        <v>3369</v>
      </c>
      <c r="H1207" t="str">
        <f>TEXT(TbReceitas[[#This Row],[data_transacao]], "aaaa-mm")</f>
        <v>2025-01</v>
      </c>
    </row>
    <row r="1208" spans="1:8">
      <c r="A1208">
        <v>1207</v>
      </c>
      <c r="B1208" s="1">
        <v>45561</v>
      </c>
      <c r="C1208" t="s">
        <v>776</v>
      </c>
      <c r="D1208" t="s">
        <v>212</v>
      </c>
      <c r="E1208">
        <v>5</v>
      </c>
      <c r="F1208">
        <v>6603</v>
      </c>
      <c r="G1208">
        <f>TbReceitas[[#This Row],[quantidade]]*TbReceitas[[#This Row],[preco_unitario]]</f>
        <v>33015</v>
      </c>
      <c r="H1208" t="str">
        <f>TEXT(TbReceitas[[#This Row],[data_transacao]], "aaaa-mm")</f>
        <v>2024-09</v>
      </c>
    </row>
    <row r="1209" spans="1:8">
      <c r="A1209">
        <v>1208</v>
      </c>
      <c r="B1209" s="1">
        <v>45674</v>
      </c>
      <c r="C1209" t="s">
        <v>714</v>
      </c>
      <c r="D1209" t="s">
        <v>140</v>
      </c>
      <c r="E1209">
        <v>2</v>
      </c>
      <c r="F1209">
        <v>7855</v>
      </c>
      <c r="G1209">
        <f>TbReceitas[[#This Row],[quantidade]]*TbReceitas[[#This Row],[preco_unitario]]</f>
        <v>15710</v>
      </c>
      <c r="H1209" t="str">
        <f>TEXT(TbReceitas[[#This Row],[data_transacao]], "aaaa-mm")</f>
        <v>2025-01</v>
      </c>
    </row>
    <row r="1210" spans="1:8">
      <c r="A1210">
        <v>1209</v>
      </c>
      <c r="B1210" s="1">
        <v>45938</v>
      </c>
      <c r="C1210" t="s">
        <v>1238</v>
      </c>
      <c r="D1210" t="s">
        <v>565</v>
      </c>
      <c r="E1210">
        <v>3</v>
      </c>
      <c r="F1210">
        <v>21555</v>
      </c>
      <c r="G1210">
        <f>TbReceitas[[#This Row],[quantidade]]*TbReceitas[[#This Row],[preco_unitario]]</f>
        <v>64665</v>
      </c>
      <c r="H1210" t="str">
        <f>TEXT(TbReceitas[[#This Row],[data_transacao]], "aaaa-mm")</f>
        <v>2025-10</v>
      </c>
    </row>
    <row r="1211" spans="1:8">
      <c r="A1211">
        <v>1210</v>
      </c>
      <c r="B1211" s="1">
        <v>45971</v>
      </c>
      <c r="C1211" t="s">
        <v>991</v>
      </c>
      <c r="D1211" t="s">
        <v>573</v>
      </c>
      <c r="E1211">
        <v>3</v>
      </c>
      <c r="F1211">
        <v>1212</v>
      </c>
      <c r="G1211">
        <f>TbReceitas[[#This Row],[quantidade]]*TbReceitas[[#This Row],[preco_unitario]]</f>
        <v>3636</v>
      </c>
      <c r="H1211" t="str">
        <f>TEXT(TbReceitas[[#This Row],[data_transacao]], "aaaa-mm")</f>
        <v>2025-11</v>
      </c>
    </row>
    <row r="1212" spans="1:8">
      <c r="A1212">
        <v>1211</v>
      </c>
      <c r="B1212" s="1">
        <v>45885</v>
      </c>
      <c r="C1212" t="s">
        <v>796</v>
      </c>
      <c r="D1212" t="s">
        <v>146</v>
      </c>
      <c r="E1212">
        <v>2</v>
      </c>
      <c r="F1212">
        <v>2346</v>
      </c>
      <c r="G1212">
        <f>TbReceitas[[#This Row],[quantidade]]*TbReceitas[[#This Row],[preco_unitario]]</f>
        <v>4692</v>
      </c>
      <c r="H1212" t="str">
        <f>TEXT(TbReceitas[[#This Row],[data_transacao]], "aaaa-mm")</f>
        <v>2025-08</v>
      </c>
    </row>
    <row r="1213" spans="1:8">
      <c r="A1213">
        <v>1212</v>
      </c>
      <c r="B1213" s="1">
        <v>45684</v>
      </c>
      <c r="C1213" t="s">
        <v>920</v>
      </c>
      <c r="D1213" t="s">
        <v>307</v>
      </c>
      <c r="E1213">
        <v>2</v>
      </c>
      <c r="F1213">
        <v>1722</v>
      </c>
      <c r="G1213">
        <f>TbReceitas[[#This Row],[quantidade]]*TbReceitas[[#This Row],[preco_unitario]]</f>
        <v>3444</v>
      </c>
      <c r="H1213" t="str">
        <f>TEXT(TbReceitas[[#This Row],[data_transacao]], "aaaa-mm")</f>
        <v>2025-01</v>
      </c>
    </row>
    <row r="1214" spans="1:8">
      <c r="A1214">
        <v>1213</v>
      </c>
      <c r="B1214" s="1">
        <v>45712</v>
      </c>
      <c r="C1214" t="s">
        <v>1477</v>
      </c>
      <c r="D1214" t="s">
        <v>233</v>
      </c>
      <c r="E1214">
        <v>3</v>
      </c>
      <c r="F1214">
        <v>17951</v>
      </c>
      <c r="G1214">
        <f>TbReceitas[[#This Row],[quantidade]]*TbReceitas[[#This Row],[preco_unitario]]</f>
        <v>53853</v>
      </c>
      <c r="H1214" t="str">
        <f>TEXT(TbReceitas[[#This Row],[data_transacao]], "aaaa-mm")</f>
        <v>2025-02</v>
      </c>
    </row>
    <row r="1215" spans="1:8">
      <c r="A1215">
        <v>1214</v>
      </c>
      <c r="B1215" s="1">
        <v>45657</v>
      </c>
      <c r="C1215" t="s">
        <v>962</v>
      </c>
      <c r="D1215" t="s">
        <v>42</v>
      </c>
      <c r="E1215">
        <v>4</v>
      </c>
      <c r="F1215">
        <v>23918</v>
      </c>
      <c r="G1215">
        <f>TbReceitas[[#This Row],[quantidade]]*TbReceitas[[#This Row],[preco_unitario]]</f>
        <v>95672</v>
      </c>
      <c r="H1215" t="str">
        <f>TEXT(TbReceitas[[#This Row],[data_transacao]], "aaaa-mm")</f>
        <v>2024-12</v>
      </c>
    </row>
    <row r="1216" spans="1:8">
      <c r="A1216">
        <v>1215</v>
      </c>
      <c r="B1216" s="1">
        <v>45805</v>
      </c>
      <c r="C1216" t="s">
        <v>1478</v>
      </c>
      <c r="D1216" t="s">
        <v>627</v>
      </c>
      <c r="E1216">
        <v>5</v>
      </c>
      <c r="F1216">
        <v>8375</v>
      </c>
      <c r="G1216">
        <f>TbReceitas[[#This Row],[quantidade]]*TbReceitas[[#This Row],[preco_unitario]]</f>
        <v>41875</v>
      </c>
      <c r="H1216" t="str">
        <f>TEXT(TbReceitas[[#This Row],[data_transacao]], "aaaa-mm")</f>
        <v>2025-05</v>
      </c>
    </row>
    <row r="1217" spans="1:8">
      <c r="A1217">
        <v>1216</v>
      </c>
      <c r="B1217" s="1">
        <v>46055</v>
      </c>
      <c r="C1217" t="s">
        <v>1192</v>
      </c>
      <c r="D1217" t="s">
        <v>703</v>
      </c>
      <c r="E1217">
        <v>2</v>
      </c>
      <c r="F1217">
        <v>5102</v>
      </c>
      <c r="G1217">
        <f>TbReceitas[[#This Row],[quantidade]]*TbReceitas[[#This Row],[preco_unitario]]</f>
        <v>10204</v>
      </c>
      <c r="H1217" t="str">
        <f>TEXT(TbReceitas[[#This Row],[data_transacao]], "aaaa-mm")</f>
        <v>2026-02</v>
      </c>
    </row>
    <row r="1218" spans="1:8">
      <c r="A1218">
        <v>1217</v>
      </c>
      <c r="B1218" s="1">
        <v>45889</v>
      </c>
      <c r="C1218" t="s">
        <v>799</v>
      </c>
      <c r="D1218" t="s">
        <v>540</v>
      </c>
      <c r="E1218">
        <v>1</v>
      </c>
      <c r="F1218">
        <v>10156</v>
      </c>
      <c r="G1218">
        <f>TbReceitas[[#This Row],[quantidade]]*TbReceitas[[#This Row],[preco_unitario]]</f>
        <v>10156</v>
      </c>
      <c r="H1218" t="str">
        <f>TEXT(TbReceitas[[#This Row],[data_transacao]], "aaaa-mm")</f>
        <v>2025-08</v>
      </c>
    </row>
    <row r="1219" spans="1:8">
      <c r="A1219">
        <v>1218</v>
      </c>
      <c r="B1219" s="1">
        <v>45935</v>
      </c>
      <c r="C1219" t="s">
        <v>1479</v>
      </c>
      <c r="D1219" t="s">
        <v>141</v>
      </c>
      <c r="E1219">
        <v>2</v>
      </c>
      <c r="F1219">
        <v>1235</v>
      </c>
      <c r="G1219">
        <f>TbReceitas[[#This Row],[quantidade]]*TbReceitas[[#This Row],[preco_unitario]]</f>
        <v>2470</v>
      </c>
      <c r="H1219" t="str">
        <f>TEXT(TbReceitas[[#This Row],[data_transacao]], "aaaa-mm")</f>
        <v>2025-10</v>
      </c>
    </row>
    <row r="1220" spans="1:8">
      <c r="A1220">
        <v>1219</v>
      </c>
      <c r="B1220" s="1">
        <v>45843</v>
      </c>
      <c r="C1220" t="s">
        <v>1192</v>
      </c>
      <c r="D1220" t="s">
        <v>598</v>
      </c>
      <c r="E1220">
        <v>4</v>
      </c>
      <c r="F1220">
        <v>17325</v>
      </c>
      <c r="G1220">
        <f>TbReceitas[[#This Row],[quantidade]]*TbReceitas[[#This Row],[preco_unitario]]</f>
        <v>69300</v>
      </c>
      <c r="H1220" t="str">
        <f>TEXT(TbReceitas[[#This Row],[data_transacao]], "aaaa-mm")</f>
        <v>2025-07</v>
      </c>
    </row>
    <row r="1221" spans="1:8">
      <c r="A1221">
        <v>1220</v>
      </c>
      <c r="B1221" s="1">
        <v>45773</v>
      </c>
      <c r="C1221" t="s">
        <v>1137</v>
      </c>
      <c r="D1221" t="s">
        <v>328</v>
      </c>
      <c r="E1221">
        <v>4</v>
      </c>
      <c r="F1221">
        <v>23333</v>
      </c>
      <c r="G1221">
        <f>TbReceitas[[#This Row],[quantidade]]*TbReceitas[[#This Row],[preco_unitario]]</f>
        <v>93332</v>
      </c>
      <c r="H1221" t="str">
        <f>TEXT(TbReceitas[[#This Row],[data_transacao]], "aaaa-mm")</f>
        <v>2025-04</v>
      </c>
    </row>
    <row r="1222" spans="1:8">
      <c r="A1222">
        <v>1221</v>
      </c>
      <c r="B1222" s="1">
        <v>45747</v>
      </c>
      <c r="C1222" t="s">
        <v>832</v>
      </c>
      <c r="D1222" t="s">
        <v>375</v>
      </c>
      <c r="E1222">
        <v>5</v>
      </c>
      <c r="F1222">
        <v>3952</v>
      </c>
      <c r="G1222">
        <f>TbReceitas[[#This Row],[quantidade]]*TbReceitas[[#This Row],[preco_unitario]]</f>
        <v>19760</v>
      </c>
      <c r="H1222" t="str">
        <f>TEXT(TbReceitas[[#This Row],[data_transacao]], "aaaa-mm")</f>
        <v>2025-03</v>
      </c>
    </row>
    <row r="1223" spans="1:8">
      <c r="A1223">
        <v>1222</v>
      </c>
      <c r="B1223" s="1">
        <v>46220</v>
      </c>
      <c r="C1223" t="s">
        <v>785</v>
      </c>
      <c r="D1223" t="s">
        <v>155</v>
      </c>
      <c r="E1223">
        <v>4</v>
      </c>
      <c r="F1223">
        <v>4712</v>
      </c>
      <c r="G1223">
        <f>TbReceitas[[#This Row],[quantidade]]*TbReceitas[[#This Row],[preco_unitario]]</f>
        <v>18848</v>
      </c>
      <c r="H1223" t="str">
        <f>TEXT(TbReceitas[[#This Row],[data_transacao]], "aaaa-mm")</f>
        <v>2026-07</v>
      </c>
    </row>
    <row r="1224" spans="1:8">
      <c r="A1224">
        <v>1223</v>
      </c>
      <c r="B1224" s="1">
        <v>45776</v>
      </c>
      <c r="C1224" t="s">
        <v>1129</v>
      </c>
      <c r="D1224" t="s">
        <v>666</v>
      </c>
      <c r="E1224">
        <v>1</v>
      </c>
      <c r="F1224">
        <v>17061</v>
      </c>
      <c r="G1224">
        <f>TbReceitas[[#This Row],[quantidade]]*TbReceitas[[#This Row],[preco_unitario]]</f>
        <v>17061</v>
      </c>
      <c r="H1224" t="str">
        <f>TEXT(TbReceitas[[#This Row],[data_transacao]], "aaaa-mm")</f>
        <v>2025-04</v>
      </c>
    </row>
    <row r="1225" spans="1:8">
      <c r="A1225">
        <v>1224</v>
      </c>
      <c r="B1225" s="1">
        <v>46147</v>
      </c>
      <c r="C1225" t="s">
        <v>1480</v>
      </c>
      <c r="D1225" t="s">
        <v>147</v>
      </c>
      <c r="E1225">
        <v>1</v>
      </c>
      <c r="F1225">
        <v>3654</v>
      </c>
      <c r="G1225">
        <f>TbReceitas[[#This Row],[quantidade]]*TbReceitas[[#This Row],[preco_unitario]]</f>
        <v>3654</v>
      </c>
      <c r="H1225" t="str">
        <f>TEXT(TbReceitas[[#This Row],[data_transacao]], "aaaa-mm")</f>
        <v>2026-05</v>
      </c>
    </row>
    <row r="1226" spans="1:8">
      <c r="A1226">
        <v>1225</v>
      </c>
      <c r="B1226" s="1">
        <v>45982</v>
      </c>
      <c r="C1226" t="s">
        <v>1168</v>
      </c>
      <c r="D1226" t="s">
        <v>616</v>
      </c>
      <c r="E1226">
        <v>5</v>
      </c>
      <c r="F1226">
        <v>23118</v>
      </c>
      <c r="G1226">
        <f>TbReceitas[[#This Row],[quantidade]]*TbReceitas[[#This Row],[preco_unitario]]</f>
        <v>115590</v>
      </c>
      <c r="H1226" t="str">
        <f>TEXT(TbReceitas[[#This Row],[data_transacao]], "aaaa-mm")</f>
        <v>2025-11</v>
      </c>
    </row>
    <row r="1227" spans="1:8">
      <c r="A1227">
        <v>1226</v>
      </c>
      <c r="B1227" s="1">
        <v>46252</v>
      </c>
      <c r="C1227" t="s">
        <v>931</v>
      </c>
      <c r="D1227" t="s">
        <v>597</v>
      </c>
      <c r="E1227">
        <v>5</v>
      </c>
      <c r="F1227">
        <v>24195</v>
      </c>
      <c r="G1227">
        <f>TbReceitas[[#This Row],[quantidade]]*TbReceitas[[#This Row],[preco_unitario]]</f>
        <v>120975</v>
      </c>
      <c r="H1227" t="str">
        <f>TEXT(TbReceitas[[#This Row],[data_transacao]], "aaaa-mm")</f>
        <v>2026-08</v>
      </c>
    </row>
    <row r="1228" spans="1:8">
      <c r="A1228">
        <v>1227</v>
      </c>
      <c r="B1228" s="1">
        <v>45592</v>
      </c>
      <c r="C1228" t="s">
        <v>1481</v>
      </c>
      <c r="D1228" t="s">
        <v>191</v>
      </c>
      <c r="E1228">
        <v>2</v>
      </c>
      <c r="F1228">
        <v>18422</v>
      </c>
      <c r="G1228">
        <f>TbReceitas[[#This Row],[quantidade]]*TbReceitas[[#This Row],[preco_unitario]]</f>
        <v>36844</v>
      </c>
      <c r="H1228" t="str">
        <f>TEXT(TbReceitas[[#This Row],[data_transacao]], "aaaa-mm")</f>
        <v>2024-10</v>
      </c>
    </row>
    <row r="1229" spans="1:8">
      <c r="A1229">
        <v>1228</v>
      </c>
      <c r="B1229" s="1">
        <v>45600</v>
      </c>
      <c r="C1229" t="s">
        <v>1482</v>
      </c>
      <c r="D1229" t="s">
        <v>1447</v>
      </c>
      <c r="E1229">
        <v>2</v>
      </c>
      <c r="F1229">
        <v>2613</v>
      </c>
      <c r="G1229">
        <f>TbReceitas[[#This Row],[quantidade]]*TbReceitas[[#This Row],[preco_unitario]]</f>
        <v>5226</v>
      </c>
      <c r="H1229" t="str">
        <f>TEXT(TbReceitas[[#This Row],[data_transacao]], "aaaa-mm")</f>
        <v>2024-11</v>
      </c>
    </row>
    <row r="1230" spans="1:8">
      <c r="A1230">
        <v>1229</v>
      </c>
      <c r="B1230" s="1">
        <v>46192</v>
      </c>
      <c r="C1230" t="s">
        <v>1483</v>
      </c>
      <c r="D1230" t="s">
        <v>451</v>
      </c>
      <c r="E1230">
        <v>3</v>
      </c>
      <c r="F1230">
        <v>17205</v>
      </c>
      <c r="G1230">
        <f>TbReceitas[[#This Row],[quantidade]]*TbReceitas[[#This Row],[preco_unitario]]</f>
        <v>51615</v>
      </c>
      <c r="H1230" t="str">
        <f>TEXT(TbReceitas[[#This Row],[data_transacao]], "aaaa-mm")</f>
        <v>2026-06</v>
      </c>
    </row>
    <row r="1231" spans="1:8">
      <c r="A1231">
        <v>1230</v>
      </c>
      <c r="B1231" s="1">
        <v>46017</v>
      </c>
      <c r="C1231" t="s">
        <v>1308</v>
      </c>
      <c r="D1231" t="s">
        <v>388</v>
      </c>
      <c r="E1231">
        <v>3</v>
      </c>
      <c r="F1231">
        <v>5518</v>
      </c>
      <c r="G1231">
        <f>TbReceitas[[#This Row],[quantidade]]*TbReceitas[[#This Row],[preco_unitario]]</f>
        <v>16554</v>
      </c>
      <c r="H1231" t="str">
        <f>TEXT(TbReceitas[[#This Row],[data_transacao]], "aaaa-mm")</f>
        <v>2025-12</v>
      </c>
    </row>
    <row r="1232" spans="1:8">
      <c r="A1232">
        <v>1231</v>
      </c>
      <c r="B1232" s="1">
        <v>45795</v>
      </c>
      <c r="C1232" t="s">
        <v>1484</v>
      </c>
      <c r="D1232" t="s">
        <v>298</v>
      </c>
      <c r="E1232">
        <v>1</v>
      </c>
      <c r="F1232">
        <v>9609</v>
      </c>
      <c r="G1232">
        <f>TbReceitas[[#This Row],[quantidade]]*TbReceitas[[#This Row],[preco_unitario]]</f>
        <v>9609</v>
      </c>
      <c r="H1232" t="str">
        <f>TEXT(TbReceitas[[#This Row],[data_transacao]], "aaaa-mm")</f>
        <v>2025-05</v>
      </c>
    </row>
    <row r="1233" spans="1:8">
      <c r="A1233">
        <v>1232</v>
      </c>
      <c r="B1233" s="1">
        <v>46151</v>
      </c>
      <c r="C1233" t="s">
        <v>1114</v>
      </c>
      <c r="D1233" t="s">
        <v>670</v>
      </c>
      <c r="E1233">
        <v>3</v>
      </c>
      <c r="F1233">
        <v>23664</v>
      </c>
      <c r="G1233">
        <f>TbReceitas[[#This Row],[quantidade]]*TbReceitas[[#This Row],[preco_unitario]]</f>
        <v>70992</v>
      </c>
      <c r="H1233" t="str">
        <f>TEXT(TbReceitas[[#This Row],[data_transacao]], "aaaa-mm")</f>
        <v>2026-05</v>
      </c>
    </row>
    <row r="1234" spans="1:8">
      <c r="A1234">
        <v>1233</v>
      </c>
      <c r="B1234" s="1">
        <v>46060</v>
      </c>
      <c r="C1234" t="s">
        <v>1485</v>
      </c>
      <c r="D1234" t="s">
        <v>14</v>
      </c>
      <c r="E1234">
        <v>4</v>
      </c>
      <c r="F1234">
        <v>11529</v>
      </c>
      <c r="G1234">
        <f>TbReceitas[[#This Row],[quantidade]]*TbReceitas[[#This Row],[preco_unitario]]</f>
        <v>46116</v>
      </c>
      <c r="H1234" t="str">
        <f>TEXT(TbReceitas[[#This Row],[data_transacao]], "aaaa-mm")</f>
        <v>2026-02</v>
      </c>
    </row>
    <row r="1235" spans="1:8">
      <c r="A1235">
        <v>1234</v>
      </c>
      <c r="B1235" s="1">
        <v>45920</v>
      </c>
      <c r="C1235" t="s">
        <v>792</v>
      </c>
      <c r="D1235" t="s">
        <v>10</v>
      </c>
      <c r="E1235">
        <v>5</v>
      </c>
      <c r="F1235">
        <v>9876</v>
      </c>
      <c r="G1235">
        <f>TbReceitas[[#This Row],[quantidade]]*TbReceitas[[#This Row],[preco_unitario]]</f>
        <v>49380</v>
      </c>
      <c r="H1235" t="str">
        <f>TEXT(TbReceitas[[#This Row],[data_transacao]], "aaaa-mm")</f>
        <v>2025-09</v>
      </c>
    </row>
    <row r="1236" spans="1:8">
      <c r="A1236">
        <v>1235</v>
      </c>
      <c r="B1236" s="1">
        <v>45981</v>
      </c>
      <c r="C1236" t="s">
        <v>1306</v>
      </c>
      <c r="D1236" t="s">
        <v>167</v>
      </c>
      <c r="E1236">
        <v>1</v>
      </c>
      <c r="F1236">
        <v>13706</v>
      </c>
      <c r="G1236">
        <f>TbReceitas[[#This Row],[quantidade]]*TbReceitas[[#This Row],[preco_unitario]]</f>
        <v>13706</v>
      </c>
      <c r="H1236" t="str">
        <f>TEXT(TbReceitas[[#This Row],[data_transacao]], "aaaa-mm")</f>
        <v>2025-11</v>
      </c>
    </row>
    <row r="1237" spans="1:8">
      <c r="A1237">
        <v>1236</v>
      </c>
      <c r="B1237" s="1">
        <v>46079</v>
      </c>
      <c r="C1237" t="s">
        <v>1486</v>
      </c>
      <c r="D1237" t="s">
        <v>183</v>
      </c>
      <c r="E1237">
        <v>5</v>
      </c>
      <c r="F1237">
        <v>21471</v>
      </c>
      <c r="G1237">
        <f>TbReceitas[[#This Row],[quantidade]]*TbReceitas[[#This Row],[preco_unitario]]</f>
        <v>107355</v>
      </c>
      <c r="H1237" t="str">
        <f>TEXT(TbReceitas[[#This Row],[data_transacao]], "aaaa-mm")</f>
        <v>2026-02</v>
      </c>
    </row>
    <row r="1238" spans="1:8">
      <c r="A1238">
        <v>1237</v>
      </c>
      <c r="B1238" s="1">
        <v>46136</v>
      </c>
      <c r="C1238" t="s">
        <v>1036</v>
      </c>
      <c r="D1238" t="s">
        <v>417</v>
      </c>
      <c r="E1238">
        <v>2</v>
      </c>
      <c r="F1238">
        <v>6345</v>
      </c>
      <c r="G1238">
        <f>TbReceitas[[#This Row],[quantidade]]*TbReceitas[[#This Row],[preco_unitario]]</f>
        <v>12690</v>
      </c>
      <c r="H1238" t="str">
        <f>TEXT(TbReceitas[[#This Row],[data_transacao]], "aaaa-mm")</f>
        <v>2026-04</v>
      </c>
    </row>
    <row r="1239" spans="1:8">
      <c r="A1239">
        <v>1238</v>
      </c>
      <c r="B1239" s="1">
        <v>45592</v>
      </c>
      <c r="C1239" t="s">
        <v>818</v>
      </c>
      <c r="D1239" t="s">
        <v>332</v>
      </c>
      <c r="E1239">
        <v>4</v>
      </c>
      <c r="F1239">
        <v>2135</v>
      </c>
      <c r="G1239">
        <f>TbReceitas[[#This Row],[quantidade]]*TbReceitas[[#This Row],[preco_unitario]]</f>
        <v>8540</v>
      </c>
      <c r="H1239" t="str">
        <f>TEXT(TbReceitas[[#This Row],[data_transacao]], "aaaa-mm")</f>
        <v>2024-10</v>
      </c>
    </row>
    <row r="1240" spans="1:8">
      <c r="A1240">
        <v>1239</v>
      </c>
      <c r="B1240" s="1">
        <v>45633</v>
      </c>
      <c r="C1240" t="s">
        <v>1487</v>
      </c>
      <c r="D1240" t="s">
        <v>533</v>
      </c>
      <c r="E1240">
        <v>3</v>
      </c>
      <c r="F1240">
        <v>7628</v>
      </c>
      <c r="G1240">
        <f>TbReceitas[[#This Row],[quantidade]]*TbReceitas[[#This Row],[preco_unitario]]</f>
        <v>22884</v>
      </c>
      <c r="H1240" t="str">
        <f>TEXT(TbReceitas[[#This Row],[data_transacao]], "aaaa-mm")</f>
        <v>2024-12</v>
      </c>
    </row>
    <row r="1241" spans="1:8">
      <c r="A1241">
        <v>1240</v>
      </c>
      <c r="B1241" s="1">
        <v>45690</v>
      </c>
      <c r="C1241" t="s">
        <v>865</v>
      </c>
      <c r="D1241" t="s">
        <v>461</v>
      </c>
      <c r="E1241">
        <v>2</v>
      </c>
      <c r="F1241">
        <v>1535</v>
      </c>
      <c r="G1241">
        <f>TbReceitas[[#This Row],[quantidade]]*TbReceitas[[#This Row],[preco_unitario]]</f>
        <v>3070</v>
      </c>
      <c r="H1241" t="str">
        <f>TEXT(TbReceitas[[#This Row],[data_transacao]], "aaaa-mm")</f>
        <v>2025-02</v>
      </c>
    </row>
    <row r="1242" spans="1:8">
      <c r="A1242">
        <v>1241</v>
      </c>
      <c r="B1242" s="1">
        <v>45799</v>
      </c>
      <c r="C1242" t="s">
        <v>1425</v>
      </c>
      <c r="D1242" t="s">
        <v>700</v>
      </c>
      <c r="E1242">
        <v>5</v>
      </c>
      <c r="F1242">
        <v>17759</v>
      </c>
      <c r="G1242">
        <f>TbReceitas[[#This Row],[quantidade]]*TbReceitas[[#This Row],[preco_unitario]]</f>
        <v>88795</v>
      </c>
      <c r="H1242" t="str">
        <f>TEXT(TbReceitas[[#This Row],[data_transacao]], "aaaa-mm")</f>
        <v>2025-05</v>
      </c>
    </row>
    <row r="1243" spans="1:8">
      <c r="A1243">
        <v>1242</v>
      </c>
      <c r="B1243" s="1">
        <v>46117</v>
      </c>
      <c r="C1243" t="s">
        <v>1488</v>
      </c>
      <c r="D1243" t="s">
        <v>401</v>
      </c>
      <c r="E1243">
        <v>2</v>
      </c>
      <c r="F1243">
        <v>5058</v>
      </c>
      <c r="G1243">
        <f>TbReceitas[[#This Row],[quantidade]]*TbReceitas[[#This Row],[preco_unitario]]</f>
        <v>10116</v>
      </c>
      <c r="H1243" t="str">
        <f>TEXT(TbReceitas[[#This Row],[data_transacao]], "aaaa-mm")</f>
        <v>2026-04</v>
      </c>
    </row>
    <row r="1244" spans="1:8">
      <c r="A1244">
        <v>1243</v>
      </c>
      <c r="B1244" s="1">
        <v>45860</v>
      </c>
      <c r="C1244" t="s">
        <v>1093</v>
      </c>
      <c r="D1244" t="s">
        <v>331</v>
      </c>
      <c r="E1244">
        <v>3</v>
      </c>
      <c r="F1244">
        <v>1809</v>
      </c>
      <c r="G1244">
        <f>TbReceitas[[#This Row],[quantidade]]*TbReceitas[[#This Row],[preco_unitario]]</f>
        <v>5427</v>
      </c>
      <c r="H1244" t="str">
        <f>TEXT(TbReceitas[[#This Row],[data_transacao]], "aaaa-mm")</f>
        <v>2025-07</v>
      </c>
    </row>
    <row r="1245" spans="1:8">
      <c r="A1245">
        <v>1244</v>
      </c>
      <c r="B1245" s="1">
        <v>45985</v>
      </c>
      <c r="C1245" t="s">
        <v>1414</v>
      </c>
      <c r="D1245" t="s">
        <v>274</v>
      </c>
      <c r="E1245">
        <v>3</v>
      </c>
      <c r="F1245">
        <v>1178</v>
      </c>
      <c r="G1245">
        <f>TbReceitas[[#This Row],[quantidade]]*TbReceitas[[#This Row],[preco_unitario]]</f>
        <v>3534</v>
      </c>
      <c r="H1245" t="str">
        <f>TEXT(TbReceitas[[#This Row],[data_transacao]], "aaaa-mm")</f>
        <v>2025-11</v>
      </c>
    </row>
    <row r="1246" spans="1:8">
      <c r="A1246">
        <v>1245</v>
      </c>
      <c r="B1246" s="1">
        <v>46232</v>
      </c>
      <c r="C1246" t="s">
        <v>1448</v>
      </c>
      <c r="D1246" t="s">
        <v>448</v>
      </c>
      <c r="E1246">
        <v>4</v>
      </c>
      <c r="F1246">
        <v>20644</v>
      </c>
      <c r="G1246">
        <f>TbReceitas[[#This Row],[quantidade]]*TbReceitas[[#This Row],[preco_unitario]]</f>
        <v>82576</v>
      </c>
      <c r="H1246" t="str">
        <f>TEXT(TbReceitas[[#This Row],[data_transacao]], "aaaa-mm")</f>
        <v>2026-07</v>
      </c>
    </row>
    <row r="1247" spans="1:8">
      <c r="A1247">
        <v>1246</v>
      </c>
      <c r="B1247" s="1">
        <v>45958</v>
      </c>
      <c r="C1247" t="s">
        <v>1060</v>
      </c>
      <c r="D1247" t="s">
        <v>543</v>
      </c>
      <c r="E1247">
        <v>4</v>
      </c>
      <c r="F1247">
        <v>1944</v>
      </c>
      <c r="G1247">
        <f>TbReceitas[[#This Row],[quantidade]]*TbReceitas[[#This Row],[preco_unitario]]</f>
        <v>7776</v>
      </c>
      <c r="H1247" t="str">
        <f>TEXT(TbReceitas[[#This Row],[data_transacao]], "aaaa-mm")</f>
        <v>2025-10</v>
      </c>
    </row>
    <row r="1248" spans="1:8">
      <c r="A1248">
        <v>1247</v>
      </c>
      <c r="B1248" s="1">
        <v>45931</v>
      </c>
      <c r="C1248" t="s">
        <v>1489</v>
      </c>
      <c r="D1248" t="s">
        <v>419</v>
      </c>
      <c r="E1248">
        <v>2</v>
      </c>
      <c r="F1248">
        <v>22234</v>
      </c>
      <c r="G1248">
        <f>TbReceitas[[#This Row],[quantidade]]*TbReceitas[[#This Row],[preco_unitario]]</f>
        <v>44468</v>
      </c>
      <c r="H1248" t="str">
        <f>TEXT(TbReceitas[[#This Row],[data_transacao]], "aaaa-mm")</f>
        <v>2025-10</v>
      </c>
    </row>
    <row r="1249" spans="1:8">
      <c r="A1249">
        <v>1248</v>
      </c>
      <c r="B1249" s="1">
        <v>46161</v>
      </c>
      <c r="C1249" t="s">
        <v>1490</v>
      </c>
      <c r="D1249" t="s">
        <v>134</v>
      </c>
      <c r="E1249">
        <v>2</v>
      </c>
      <c r="F1249">
        <v>12384</v>
      </c>
      <c r="G1249">
        <f>TbReceitas[[#This Row],[quantidade]]*TbReceitas[[#This Row],[preco_unitario]]</f>
        <v>24768</v>
      </c>
      <c r="H1249" t="str">
        <f>TEXT(TbReceitas[[#This Row],[data_transacao]], "aaaa-mm")</f>
        <v>2026-05</v>
      </c>
    </row>
    <row r="1250" spans="1:8">
      <c r="A1250">
        <v>1249</v>
      </c>
      <c r="B1250" s="1">
        <v>46009</v>
      </c>
      <c r="C1250" t="s">
        <v>1388</v>
      </c>
      <c r="D1250" t="s">
        <v>679</v>
      </c>
      <c r="E1250">
        <v>3</v>
      </c>
      <c r="F1250">
        <v>327</v>
      </c>
      <c r="G1250">
        <f>TbReceitas[[#This Row],[quantidade]]*TbReceitas[[#This Row],[preco_unitario]]</f>
        <v>981</v>
      </c>
      <c r="H1250" t="str">
        <f>TEXT(TbReceitas[[#This Row],[data_transacao]], "aaaa-mm")</f>
        <v>2025-12</v>
      </c>
    </row>
    <row r="1251" spans="1:8">
      <c r="A1251">
        <v>1250</v>
      </c>
      <c r="B1251" s="1">
        <v>46185</v>
      </c>
      <c r="C1251" t="s">
        <v>1157</v>
      </c>
      <c r="D1251" t="s">
        <v>640</v>
      </c>
      <c r="E1251">
        <v>5</v>
      </c>
      <c r="F1251">
        <v>9499</v>
      </c>
      <c r="G1251">
        <f>TbReceitas[[#This Row],[quantidade]]*TbReceitas[[#This Row],[preco_unitario]]</f>
        <v>47495</v>
      </c>
      <c r="H1251" t="str">
        <f>TEXT(TbReceitas[[#This Row],[data_transacao]], "aaaa-mm")</f>
        <v>2026-06</v>
      </c>
    </row>
    <row r="1252" spans="1:8">
      <c r="A1252">
        <v>1251</v>
      </c>
      <c r="B1252" s="1">
        <v>45571</v>
      </c>
      <c r="C1252" t="s">
        <v>1142</v>
      </c>
      <c r="D1252" t="s">
        <v>326</v>
      </c>
      <c r="E1252">
        <v>4</v>
      </c>
      <c r="F1252">
        <v>20049</v>
      </c>
      <c r="G1252">
        <f>TbReceitas[[#This Row],[quantidade]]*TbReceitas[[#This Row],[preco_unitario]]</f>
        <v>80196</v>
      </c>
      <c r="H1252" t="str">
        <f>TEXT(TbReceitas[[#This Row],[data_transacao]], "aaaa-mm")</f>
        <v>2024-10</v>
      </c>
    </row>
    <row r="1253" spans="1:8">
      <c r="A1253">
        <v>1252</v>
      </c>
      <c r="B1253" s="1">
        <v>45606</v>
      </c>
      <c r="C1253" t="s">
        <v>1491</v>
      </c>
      <c r="D1253" t="s">
        <v>114</v>
      </c>
      <c r="E1253">
        <v>3</v>
      </c>
      <c r="F1253">
        <v>677</v>
      </c>
      <c r="G1253">
        <f>TbReceitas[[#This Row],[quantidade]]*TbReceitas[[#This Row],[preco_unitario]]</f>
        <v>2031</v>
      </c>
      <c r="H1253" t="str">
        <f>TEXT(TbReceitas[[#This Row],[data_transacao]], "aaaa-mm")</f>
        <v>2024-11</v>
      </c>
    </row>
    <row r="1254" spans="1:8">
      <c r="A1254">
        <v>1253</v>
      </c>
      <c r="B1254" s="1">
        <v>45557</v>
      </c>
      <c r="C1254" t="s">
        <v>1042</v>
      </c>
      <c r="D1254" t="s">
        <v>323</v>
      </c>
      <c r="E1254">
        <v>4</v>
      </c>
      <c r="F1254">
        <v>10232</v>
      </c>
      <c r="G1254">
        <f>TbReceitas[[#This Row],[quantidade]]*TbReceitas[[#This Row],[preco_unitario]]</f>
        <v>40928</v>
      </c>
      <c r="H1254" t="str">
        <f>TEXT(TbReceitas[[#This Row],[data_transacao]], "aaaa-mm")</f>
        <v>2024-09</v>
      </c>
    </row>
    <row r="1255" spans="1:8">
      <c r="A1255">
        <v>1254</v>
      </c>
      <c r="B1255" s="1">
        <v>45817</v>
      </c>
      <c r="C1255" t="s">
        <v>944</v>
      </c>
      <c r="D1255" t="s">
        <v>1447</v>
      </c>
      <c r="E1255">
        <v>3</v>
      </c>
      <c r="F1255">
        <v>2613</v>
      </c>
      <c r="G1255">
        <f>TbReceitas[[#This Row],[quantidade]]*TbReceitas[[#This Row],[preco_unitario]]</f>
        <v>7839</v>
      </c>
      <c r="H1255" t="str">
        <f>TEXT(TbReceitas[[#This Row],[data_transacao]], "aaaa-mm")</f>
        <v>2025-06</v>
      </c>
    </row>
    <row r="1256" spans="1:8">
      <c r="A1256">
        <v>1255</v>
      </c>
      <c r="B1256" s="1">
        <v>45982</v>
      </c>
      <c r="C1256" t="s">
        <v>1492</v>
      </c>
      <c r="D1256" t="s">
        <v>423</v>
      </c>
      <c r="E1256">
        <v>3</v>
      </c>
      <c r="F1256">
        <v>334</v>
      </c>
      <c r="G1256">
        <f>TbReceitas[[#This Row],[quantidade]]*TbReceitas[[#This Row],[preco_unitario]]</f>
        <v>1002</v>
      </c>
      <c r="H1256" t="str">
        <f>TEXT(TbReceitas[[#This Row],[data_transacao]], "aaaa-mm")</f>
        <v>2025-11</v>
      </c>
    </row>
    <row r="1257" spans="1:8">
      <c r="A1257">
        <v>1256</v>
      </c>
      <c r="B1257" s="1">
        <v>45648</v>
      </c>
      <c r="C1257" t="s">
        <v>850</v>
      </c>
      <c r="D1257" t="s">
        <v>291</v>
      </c>
      <c r="E1257">
        <v>4</v>
      </c>
      <c r="F1257">
        <v>24715</v>
      </c>
      <c r="G1257">
        <f>TbReceitas[[#This Row],[quantidade]]*TbReceitas[[#This Row],[preco_unitario]]</f>
        <v>98860</v>
      </c>
      <c r="H1257" t="str">
        <f>TEXT(TbReceitas[[#This Row],[data_transacao]], "aaaa-mm")</f>
        <v>2024-12</v>
      </c>
    </row>
    <row r="1258" spans="1:8">
      <c r="A1258">
        <v>1257</v>
      </c>
      <c r="B1258" s="1">
        <v>45679</v>
      </c>
      <c r="C1258" t="s">
        <v>1493</v>
      </c>
      <c r="D1258" t="s">
        <v>620</v>
      </c>
      <c r="E1258">
        <v>5</v>
      </c>
      <c r="F1258">
        <v>1417</v>
      </c>
      <c r="G1258">
        <f>TbReceitas[[#This Row],[quantidade]]*TbReceitas[[#This Row],[preco_unitario]]</f>
        <v>7085</v>
      </c>
      <c r="H1258" t="str">
        <f>TEXT(TbReceitas[[#This Row],[data_transacao]], "aaaa-mm")</f>
        <v>2025-01</v>
      </c>
    </row>
    <row r="1259" spans="1:8">
      <c r="A1259">
        <v>1258</v>
      </c>
      <c r="B1259" s="1">
        <v>46072</v>
      </c>
      <c r="C1259" t="s">
        <v>1198</v>
      </c>
      <c r="D1259" t="s">
        <v>566</v>
      </c>
      <c r="E1259">
        <v>4</v>
      </c>
      <c r="F1259">
        <v>23772</v>
      </c>
      <c r="G1259">
        <f>TbReceitas[[#This Row],[quantidade]]*TbReceitas[[#This Row],[preco_unitario]]</f>
        <v>95088</v>
      </c>
      <c r="H1259" t="str">
        <f>TEXT(TbReceitas[[#This Row],[data_transacao]], "aaaa-mm")</f>
        <v>2026-02</v>
      </c>
    </row>
    <row r="1260" spans="1:8">
      <c r="A1260">
        <v>1259</v>
      </c>
      <c r="B1260" s="1">
        <v>46144</v>
      </c>
      <c r="C1260" t="s">
        <v>1030</v>
      </c>
      <c r="D1260" t="s">
        <v>114</v>
      </c>
      <c r="E1260">
        <v>1</v>
      </c>
      <c r="F1260">
        <v>677</v>
      </c>
      <c r="G1260">
        <f>TbReceitas[[#This Row],[quantidade]]*TbReceitas[[#This Row],[preco_unitario]]</f>
        <v>677</v>
      </c>
      <c r="H1260" t="str">
        <f>TEXT(TbReceitas[[#This Row],[data_transacao]], "aaaa-mm")</f>
        <v>2026-05</v>
      </c>
    </row>
    <row r="1261" spans="1:8">
      <c r="A1261">
        <v>1260</v>
      </c>
      <c r="B1261" s="1">
        <v>45944</v>
      </c>
      <c r="C1261" t="s">
        <v>725</v>
      </c>
      <c r="D1261" t="s">
        <v>229</v>
      </c>
      <c r="E1261">
        <v>5</v>
      </c>
      <c r="F1261">
        <v>6433</v>
      </c>
      <c r="G1261">
        <f>TbReceitas[[#This Row],[quantidade]]*TbReceitas[[#This Row],[preco_unitario]]</f>
        <v>32165</v>
      </c>
      <c r="H1261" t="str">
        <f>TEXT(TbReceitas[[#This Row],[data_transacao]], "aaaa-mm")</f>
        <v>2025-10</v>
      </c>
    </row>
    <row r="1262" spans="1:8">
      <c r="A1262">
        <v>1261</v>
      </c>
      <c r="B1262" s="1">
        <v>46017</v>
      </c>
      <c r="C1262" t="s">
        <v>1123</v>
      </c>
      <c r="D1262" t="s">
        <v>20</v>
      </c>
      <c r="E1262">
        <v>2</v>
      </c>
      <c r="F1262">
        <v>5319</v>
      </c>
      <c r="G1262">
        <f>TbReceitas[[#This Row],[quantidade]]*TbReceitas[[#This Row],[preco_unitario]]</f>
        <v>10638</v>
      </c>
      <c r="H1262" t="str">
        <f>TEXT(TbReceitas[[#This Row],[data_transacao]], "aaaa-mm")</f>
        <v>2025-12</v>
      </c>
    </row>
    <row r="1263" spans="1:8">
      <c r="A1263">
        <v>1262</v>
      </c>
      <c r="B1263" s="1">
        <v>45996</v>
      </c>
      <c r="C1263" t="s">
        <v>1494</v>
      </c>
      <c r="D1263" t="s">
        <v>79</v>
      </c>
      <c r="E1263">
        <v>1</v>
      </c>
      <c r="F1263">
        <v>7278</v>
      </c>
      <c r="G1263">
        <f>TbReceitas[[#This Row],[quantidade]]*TbReceitas[[#This Row],[preco_unitario]]</f>
        <v>7278</v>
      </c>
      <c r="H1263" t="str">
        <f>TEXT(TbReceitas[[#This Row],[data_transacao]], "aaaa-mm")</f>
        <v>2025-12</v>
      </c>
    </row>
    <row r="1264" spans="1:8">
      <c r="A1264">
        <v>1263</v>
      </c>
      <c r="B1264" s="1">
        <v>46002</v>
      </c>
      <c r="C1264" t="s">
        <v>1281</v>
      </c>
      <c r="D1264" t="s">
        <v>375</v>
      </c>
      <c r="E1264">
        <v>5</v>
      </c>
      <c r="F1264">
        <v>3952</v>
      </c>
      <c r="G1264">
        <f>TbReceitas[[#This Row],[quantidade]]*TbReceitas[[#This Row],[preco_unitario]]</f>
        <v>19760</v>
      </c>
      <c r="H1264" t="str">
        <f>TEXT(TbReceitas[[#This Row],[data_transacao]], "aaaa-mm")</f>
        <v>2025-12</v>
      </c>
    </row>
    <row r="1265" spans="1:8">
      <c r="A1265">
        <v>1264</v>
      </c>
      <c r="B1265" s="1">
        <v>45797</v>
      </c>
      <c r="C1265" t="s">
        <v>843</v>
      </c>
      <c r="D1265" t="s">
        <v>1321</v>
      </c>
      <c r="E1265">
        <v>3</v>
      </c>
      <c r="F1265">
        <v>12315</v>
      </c>
      <c r="G1265">
        <f>TbReceitas[[#This Row],[quantidade]]*TbReceitas[[#This Row],[preco_unitario]]</f>
        <v>36945</v>
      </c>
      <c r="H1265" t="str">
        <f>TEXT(TbReceitas[[#This Row],[data_transacao]], "aaaa-mm")</f>
        <v>2025-05</v>
      </c>
    </row>
    <row r="1266" spans="1:8">
      <c r="A1266">
        <v>1265</v>
      </c>
      <c r="B1266" s="1">
        <v>45918</v>
      </c>
      <c r="C1266" t="s">
        <v>1290</v>
      </c>
      <c r="D1266" t="s">
        <v>507</v>
      </c>
      <c r="E1266">
        <v>5</v>
      </c>
      <c r="F1266">
        <v>7085</v>
      </c>
      <c r="G1266">
        <f>TbReceitas[[#This Row],[quantidade]]*TbReceitas[[#This Row],[preco_unitario]]</f>
        <v>35425</v>
      </c>
      <c r="H1266" t="str">
        <f>TEXT(TbReceitas[[#This Row],[data_transacao]], "aaaa-mm")</f>
        <v>2025-09</v>
      </c>
    </row>
    <row r="1267" spans="1:8">
      <c r="A1267">
        <v>1266</v>
      </c>
      <c r="B1267" s="1">
        <v>45970</v>
      </c>
      <c r="C1267" t="s">
        <v>1495</v>
      </c>
      <c r="D1267" t="s">
        <v>243</v>
      </c>
      <c r="E1267">
        <v>5</v>
      </c>
      <c r="F1267">
        <v>2685</v>
      </c>
      <c r="G1267">
        <f>TbReceitas[[#This Row],[quantidade]]*TbReceitas[[#This Row],[preco_unitario]]</f>
        <v>13425</v>
      </c>
      <c r="H1267" t="str">
        <f>TEXT(TbReceitas[[#This Row],[data_transacao]], "aaaa-mm")</f>
        <v>2025-11</v>
      </c>
    </row>
    <row r="1268" spans="1:8">
      <c r="A1268">
        <v>1267</v>
      </c>
      <c r="B1268" s="1">
        <v>46104</v>
      </c>
      <c r="C1268" t="s">
        <v>1278</v>
      </c>
      <c r="D1268" t="s">
        <v>100</v>
      </c>
      <c r="E1268">
        <v>3</v>
      </c>
      <c r="F1268">
        <v>12034</v>
      </c>
      <c r="G1268">
        <f>TbReceitas[[#This Row],[quantidade]]*TbReceitas[[#This Row],[preco_unitario]]</f>
        <v>36102</v>
      </c>
      <c r="H1268" t="str">
        <f>TEXT(TbReceitas[[#This Row],[data_transacao]], "aaaa-mm")</f>
        <v>2026-03</v>
      </c>
    </row>
    <row r="1269" spans="1:8">
      <c r="A1269">
        <v>1268</v>
      </c>
      <c r="B1269" s="1">
        <v>45703</v>
      </c>
      <c r="C1269" t="s">
        <v>1496</v>
      </c>
      <c r="D1269" t="s">
        <v>139</v>
      </c>
      <c r="E1269">
        <v>3</v>
      </c>
      <c r="F1269">
        <v>21405</v>
      </c>
      <c r="G1269">
        <f>TbReceitas[[#This Row],[quantidade]]*TbReceitas[[#This Row],[preco_unitario]]</f>
        <v>64215</v>
      </c>
      <c r="H1269" t="str">
        <f>TEXT(TbReceitas[[#This Row],[data_transacao]], "aaaa-mm")</f>
        <v>2025-02</v>
      </c>
    </row>
    <row r="1270" spans="1:8">
      <c r="A1270">
        <v>1269</v>
      </c>
      <c r="B1270" s="1">
        <v>45548</v>
      </c>
      <c r="C1270" t="s">
        <v>1423</v>
      </c>
      <c r="D1270" t="s">
        <v>507</v>
      </c>
      <c r="E1270">
        <v>2</v>
      </c>
      <c r="F1270">
        <v>7085</v>
      </c>
      <c r="G1270">
        <f>TbReceitas[[#This Row],[quantidade]]*TbReceitas[[#This Row],[preco_unitario]]</f>
        <v>14170</v>
      </c>
      <c r="H1270" t="str">
        <f>TEXT(TbReceitas[[#This Row],[data_transacao]], "aaaa-mm")</f>
        <v>2024-09</v>
      </c>
    </row>
    <row r="1271" spans="1:8">
      <c r="A1271">
        <v>1270</v>
      </c>
      <c r="B1271" s="1">
        <v>45581</v>
      </c>
      <c r="C1271" t="s">
        <v>1074</v>
      </c>
      <c r="D1271" t="s">
        <v>60</v>
      </c>
      <c r="E1271">
        <v>3</v>
      </c>
      <c r="F1271">
        <v>11989</v>
      </c>
      <c r="G1271">
        <f>TbReceitas[[#This Row],[quantidade]]*TbReceitas[[#This Row],[preco_unitario]]</f>
        <v>35967</v>
      </c>
      <c r="H1271" t="str">
        <f>TEXT(TbReceitas[[#This Row],[data_transacao]], "aaaa-mm")</f>
        <v>2024-10</v>
      </c>
    </row>
    <row r="1272" spans="1:8">
      <c r="A1272">
        <v>1271</v>
      </c>
      <c r="B1272" s="1">
        <v>45942</v>
      </c>
      <c r="C1272" t="s">
        <v>1196</v>
      </c>
      <c r="D1272" t="s">
        <v>680</v>
      </c>
      <c r="E1272">
        <v>4</v>
      </c>
      <c r="F1272">
        <v>7316</v>
      </c>
      <c r="G1272">
        <f>TbReceitas[[#This Row],[quantidade]]*TbReceitas[[#This Row],[preco_unitario]]</f>
        <v>29264</v>
      </c>
      <c r="H1272" t="str">
        <f>TEXT(TbReceitas[[#This Row],[data_transacao]], "aaaa-mm")</f>
        <v>2025-10</v>
      </c>
    </row>
    <row r="1273" spans="1:8">
      <c r="A1273">
        <v>1272</v>
      </c>
      <c r="B1273" s="1">
        <v>45572</v>
      </c>
      <c r="C1273" t="s">
        <v>1497</v>
      </c>
      <c r="D1273" t="s">
        <v>50</v>
      </c>
      <c r="E1273">
        <v>5</v>
      </c>
      <c r="F1273">
        <v>24763</v>
      </c>
      <c r="G1273">
        <f>TbReceitas[[#This Row],[quantidade]]*TbReceitas[[#This Row],[preco_unitario]]</f>
        <v>123815</v>
      </c>
      <c r="H1273" t="str">
        <f>TEXT(TbReceitas[[#This Row],[data_transacao]], "aaaa-mm")</f>
        <v>2024-10</v>
      </c>
    </row>
    <row r="1274" spans="1:8">
      <c r="A1274">
        <v>1273</v>
      </c>
      <c r="B1274" s="1">
        <v>45730</v>
      </c>
      <c r="C1274" t="s">
        <v>954</v>
      </c>
      <c r="D1274" t="s">
        <v>669</v>
      </c>
      <c r="E1274">
        <v>1</v>
      </c>
      <c r="F1274">
        <v>2838</v>
      </c>
      <c r="G1274">
        <f>TbReceitas[[#This Row],[quantidade]]*TbReceitas[[#This Row],[preco_unitario]]</f>
        <v>2838</v>
      </c>
      <c r="H1274" t="str">
        <f>TEXT(TbReceitas[[#This Row],[data_transacao]], "aaaa-mm")</f>
        <v>2025-03</v>
      </c>
    </row>
    <row r="1275" spans="1:8">
      <c r="A1275">
        <v>1274</v>
      </c>
      <c r="B1275" s="1">
        <v>45746</v>
      </c>
      <c r="C1275" t="s">
        <v>1252</v>
      </c>
      <c r="D1275" t="s">
        <v>182</v>
      </c>
      <c r="E1275">
        <v>3</v>
      </c>
      <c r="F1275">
        <v>19777</v>
      </c>
      <c r="G1275">
        <f>TbReceitas[[#This Row],[quantidade]]*TbReceitas[[#This Row],[preco_unitario]]</f>
        <v>59331</v>
      </c>
      <c r="H1275" t="str">
        <f>TEXT(TbReceitas[[#This Row],[data_transacao]], "aaaa-mm")</f>
        <v>2025-03</v>
      </c>
    </row>
    <row r="1276" spans="1:8">
      <c r="A1276">
        <v>1275</v>
      </c>
      <c r="B1276" s="1">
        <v>46266</v>
      </c>
      <c r="C1276" t="s">
        <v>754</v>
      </c>
      <c r="D1276" t="s">
        <v>249</v>
      </c>
      <c r="E1276">
        <v>2</v>
      </c>
      <c r="F1276">
        <v>12387</v>
      </c>
      <c r="G1276">
        <f>TbReceitas[[#This Row],[quantidade]]*TbReceitas[[#This Row],[preco_unitario]]</f>
        <v>24774</v>
      </c>
      <c r="H1276" t="str">
        <f>TEXT(TbReceitas[[#This Row],[data_transacao]], "aaaa-mm")</f>
        <v>2026-09</v>
      </c>
    </row>
    <row r="1277" spans="1:8">
      <c r="A1277">
        <v>1276</v>
      </c>
      <c r="B1277" s="1">
        <v>46063</v>
      </c>
      <c r="C1277" t="s">
        <v>1028</v>
      </c>
      <c r="D1277" t="s">
        <v>207</v>
      </c>
      <c r="E1277">
        <v>3</v>
      </c>
      <c r="F1277">
        <v>17156</v>
      </c>
      <c r="G1277">
        <f>TbReceitas[[#This Row],[quantidade]]*TbReceitas[[#This Row],[preco_unitario]]</f>
        <v>51468</v>
      </c>
      <c r="H1277" t="str">
        <f>TEXT(TbReceitas[[#This Row],[data_transacao]], "aaaa-mm")</f>
        <v>2026-02</v>
      </c>
    </row>
    <row r="1278" spans="1:8">
      <c r="A1278">
        <v>1277</v>
      </c>
      <c r="B1278" s="1">
        <v>45746</v>
      </c>
      <c r="C1278" t="s">
        <v>1285</v>
      </c>
      <c r="D1278" t="s">
        <v>62</v>
      </c>
      <c r="E1278">
        <v>1</v>
      </c>
      <c r="F1278">
        <v>1833</v>
      </c>
      <c r="G1278">
        <f>TbReceitas[[#This Row],[quantidade]]*TbReceitas[[#This Row],[preco_unitario]]</f>
        <v>1833</v>
      </c>
      <c r="H1278" t="str">
        <f>TEXT(TbReceitas[[#This Row],[data_transacao]], "aaaa-mm")</f>
        <v>2025-03</v>
      </c>
    </row>
    <row r="1279" spans="1:8">
      <c r="A1279">
        <v>1278</v>
      </c>
      <c r="B1279" s="1">
        <v>46257</v>
      </c>
      <c r="C1279" t="s">
        <v>1498</v>
      </c>
      <c r="D1279" t="s">
        <v>1321</v>
      </c>
      <c r="E1279">
        <v>3</v>
      </c>
      <c r="F1279">
        <v>12315</v>
      </c>
      <c r="G1279">
        <f>TbReceitas[[#This Row],[quantidade]]*TbReceitas[[#This Row],[preco_unitario]]</f>
        <v>36945</v>
      </c>
      <c r="H1279" t="str">
        <f>TEXT(TbReceitas[[#This Row],[data_transacao]], "aaaa-mm")</f>
        <v>2026-08</v>
      </c>
    </row>
    <row r="1280" spans="1:8">
      <c r="A1280">
        <v>1279</v>
      </c>
      <c r="B1280" s="1">
        <v>45667</v>
      </c>
      <c r="C1280" t="s">
        <v>761</v>
      </c>
      <c r="D1280" t="s">
        <v>398</v>
      </c>
      <c r="E1280">
        <v>5</v>
      </c>
      <c r="F1280">
        <v>8993</v>
      </c>
      <c r="G1280">
        <f>TbReceitas[[#This Row],[quantidade]]*TbReceitas[[#This Row],[preco_unitario]]</f>
        <v>44965</v>
      </c>
      <c r="H1280" t="str">
        <f>TEXT(TbReceitas[[#This Row],[data_transacao]], "aaaa-mm")</f>
        <v>2025-01</v>
      </c>
    </row>
    <row r="1281" spans="1:8">
      <c r="A1281">
        <v>1280</v>
      </c>
      <c r="B1281" s="1">
        <v>46019</v>
      </c>
      <c r="C1281" t="s">
        <v>1021</v>
      </c>
      <c r="D1281" t="s">
        <v>112</v>
      </c>
      <c r="E1281">
        <v>1</v>
      </c>
      <c r="F1281">
        <v>19319</v>
      </c>
      <c r="G1281">
        <f>TbReceitas[[#This Row],[quantidade]]*TbReceitas[[#This Row],[preco_unitario]]</f>
        <v>19319</v>
      </c>
      <c r="H1281" t="str">
        <f>TEXT(TbReceitas[[#This Row],[data_transacao]], "aaaa-mm")</f>
        <v>2025-12</v>
      </c>
    </row>
    <row r="1282" spans="1:8">
      <c r="A1282">
        <v>1281</v>
      </c>
      <c r="B1282" s="1">
        <v>46246</v>
      </c>
      <c r="C1282" t="s">
        <v>746</v>
      </c>
      <c r="D1282" t="s">
        <v>333</v>
      </c>
      <c r="E1282">
        <v>1</v>
      </c>
      <c r="F1282">
        <v>6799</v>
      </c>
      <c r="G1282">
        <f>TbReceitas[[#This Row],[quantidade]]*TbReceitas[[#This Row],[preco_unitario]]</f>
        <v>6799</v>
      </c>
      <c r="H1282" t="str">
        <f>TEXT(TbReceitas[[#This Row],[data_transacao]], "aaaa-mm")</f>
        <v>2026-08</v>
      </c>
    </row>
    <row r="1283" spans="1:8">
      <c r="A1283">
        <v>1282</v>
      </c>
      <c r="B1283" s="1">
        <v>46034</v>
      </c>
      <c r="C1283" t="s">
        <v>1048</v>
      </c>
      <c r="D1283" t="s">
        <v>214</v>
      </c>
      <c r="E1283">
        <v>3</v>
      </c>
      <c r="F1283">
        <v>11351</v>
      </c>
      <c r="G1283">
        <f>TbReceitas[[#This Row],[quantidade]]*TbReceitas[[#This Row],[preco_unitario]]</f>
        <v>34053</v>
      </c>
      <c r="H1283" t="str">
        <f>TEXT(TbReceitas[[#This Row],[data_transacao]], "aaaa-mm")</f>
        <v>2026-01</v>
      </c>
    </row>
    <row r="1284" spans="1:8">
      <c r="A1284">
        <v>1283</v>
      </c>
      <c r="B1284" s="1">
        <v>45623</v>
      </c>
      <c r="C1284" t="s">
        <v>1305</v>
      </c>
      <c r="D1284" t="s">
        <v>345</v>
      </c>
      <c r="E1284">
        <v>5</v>
      </c>
      <c r="F1284">
        <v>2298</v>
      </c>
      <c r="G1284">
        <f>TbReceitas[[#This Row],[quantidade]]*TbReceitas[[#This Row],[preco_unitario]]</f>
        <v>11490</v>
      </c>
      <c r="H1284" t="str">
        <f>TEXT(TbReceitas[[#This Row],[data_transacao]], "aaaa-mm")</f>
        <v>2024-11</v>
      </c>
    </row>
    <row r="1285" spans="1:8">
      <c r="A1285">
        <v>1284</v>
      </c>
      <c r="B1285" s="1">
        <v>45632</v>
      </c>
      <c r="C1285" t="s">
        <v>714</v>
      </c>
      <c r="D1285" t="s">
        <v>604</v>
      </c>
      <c r="E1285">
        <v>3</v>
      </c>
      <c r="F1285">
        <v>17604</v>
      </c>
      <c r="G1285">
        <f>TbReceitas[[#This Row],[quantidade]]*TbReceitas[[#This Row],[preco_unitario]]</f>
        <v>52812</v>
      </c>
      <c r="H1285" t="str">
        <f>TEXT(TbReceitas[[#This Row],[data_transacao]], "aaaa-mm")</f>
        <v>2024-12</v>
      </c>
    </row>
    <row r="1286" spans="1:8">
      <c r="A1286">
        <v>1285</v>
      </c>
      <c r="B1286" s="1">
        <v>46110</v>
      </c>
      <c r="C1286" t="s">
        <v>1116</v>
      </c>
      <c r="D1286" t="s">
        <v>493</v>
      </c>
      <c r="E1286">
        <v>4</v>
      </c>
      <c r="F1286">
        <v>13377</v>
      </c>
      <c r="G1286">
        <f>TbReceitas[[#This Row],[quantidade]]*TbReceitas[[#This Row],[preco_unitario]]</f>
        <v>53508</v>
      </c>
      <c r="H1286" t="str">
        <f>TEXT(TbReceitas[[#This Row],[data_transacao]], "aaaa-mm")</f>
        <v>2026-03</v>
      </c>
    </row>
    <row r="1287" spans="1:8">
      <c r="A1287">
        <v>1286</v>
      </c>
      <c r="B1287" s="1">
        <v>46200</v>
      </c>
      <c r="C1287" t="s">
        <v>1499</v>
      </c>
      <c r="D1287" t="s">
        <v>590</v>
      </c>
      <c r="E1287">
        <v>5</v>
      </c>
      <c r="F1287">
        <v>195</v>
      </c>
      <c r="G1287">
        <f>TbReceitas[[#This Row],[quantidade]]*TbReceitas[[#This Row],[preco_unitario]]</f>
        <v>975</v>
      </c>
      <c r="H1287" t="str">
        <f>TEXT(TbReceitas[[#This Row],[data_transacao]], "aaaa-mm")</f>
        <v>2026-06</v>
      </c>
    </row>
    <row r="1288" spans="1:8">
      <c r="A1288">
        <v>1287</v>
      </c>
      <c r="B1288" s="1">
        <v>45906</v>
      </c>
      <c r="C1288" t="s">
        <v>1306</v>
      </c>
      <c r="D1288" t="s">
        <v>139</v>
      </c>
      <c r="E1288">
        <v>2</v>
      </c>
      <c r="F1288">
        <v>21405</v>
      </c>
      <c r="G1288">
        <f>TbReceitas[[#This Row],[quantidade]]*TbReceitas[[#This Row],[preco_unitario]]</f>
        <v>42810</v>
      </c>
      <c r="H1288" t="str">
        <f>TEXT(TbReceitas[[#This Row],[data_transacao]], "aaaa-mm")</f>
        <v>2025-09</v>
      </c>
    </row>
    <row r="1289" spans="1:8">
      <c r="A1289">
        <v>1288</v>
      </c>
      <c r="B1289" s="1">
        <v>45600</v>
      </c>
      <c r="C1289" t="s">
        <v>714</v>
      </c>
      <c r="D1289" t="s">
        <v>111</v>
      </c>
      <c r="E1289">
        <v>1</v>
      </c>
      <c r="F1289">
        <v>22417</v>
      </c>
      <c r="G1289">
        <f>TbReceitas[[#This Row],[quantidade]]*TbReceitas[[#This Row],[preco_unitario]]</f>
        <v>22417</v>
      </c>
      <c r="H1289" t="str">
        <f>TEXT(TbReceitas[[#This Row],[data_transacao]], "aaaa-mm")</f>
        <v>2024-11</v>
      </c>
    </row>
    <row r="1290" spans="1:8">
      <c r="A1290">
        <v>1289</v>
      </c>
      <c r="B1290" s="1">
        <v>45719</v>
      </c>
      <c r="C1290" t="s">
        <v>1458</v>
      </c>
      <c r="D1290" t="s">
        <v>476</v>
      </c>
      <c r="E1290">
        <v>5</v>
      </c>
      <c r="F1290">
        <v>17524</v>
      </c>
      <c r="G1290">
        <f>TbReceitas[[#This Row],[quantidade]]*TbReceitas[[#This Row],[preco_unitario]]</f>
        <v>87620</v>
      </c>
      <c r="H1290" t="str">
        <f>TEXT(TbReceitas[[#This Row],[data_transacao]], "aaaa-mm")</f>
        <v>2025-03</v>
      </c>
    </row>
    <row r="1291" spans="1:8">
      <c r="A1291">
        <v>1290</v>
      </c>
      <c r="B1291" s="1">
        <v>46184</v>
      </c>
      <c r="C1291" t="s">
        <v>1058</v>
      </c>
      <c r="D1291" t="s">
        <v>612</v>
      </c>
      <c r="E1291">
        <v>5</v>
      </c>
      <c r="F1291">
        <v>20797</v>
      </c>
      <c r="G1291">
        <f>TbReceitas[[#This Row],[quantidade]]*TbReceitas[[#This Row],[preco_unitario]]</f>
        <v>103985</v>
      </c>
      <c r="H1291" t="str">
        <f>TEXT(TbReceitas[[#This Row],[data_transacao]], "aaaa-mm")</f>
        <v>2026-06</v>
      </c>
    </row>
    <row r="1292" spans="1:8">
      <c r="A1292">
        <v>1291</v>
      </c>
      <c r="B1292" s="1">
        <v>46186</v>
      </c>
      <c r="C1292" t="s">
        <v>1233</v>
      </c>
      <c r="D1292" t="s">
        <v>132</v>
      </c>
      <c r="E1292">
        <v>1</v>
      </c>
      <c r="F1292">
        <v>14526</v>
      </c>
      <c r="G1292">
        <f>TbReceitas[[#This Row],[quantidade]]*TbReceitas[[#This Row],[preco_unitario]]</f>
        <v>14526</v>
      </c>
      <c r="H1292" t="str">
        <f>TEXT(TbReceitas[[#This Row],[data_transacao]], "aaaa-mm")</f>
        <v>2026-06</v>
      </c>
    </row>
    <row r="1293" spans="1:8">
      <c r="A1293">
        <v>1292</v>
      </c>
      <c r="B1293" s="1">
        <v>46222</v>
      </c>
      <c r="C1293" t="s">
        <v>1500</v>
      </c>
      <c r="D1293" t="s">
        <v>618</v>
      </c>
      <c r="E1293">
        <v>1</v>
      </c>
      <c r="F1293">
        <v>19479</v>
      </c>
      <c r="G1293">
        <f>TbReceitas[[#This Row],[quantidade]]*TbReceitas[[#This Row],[preco_unitario]]</f>
        <v>19479</v>
      </c>
      <c r="H1293" t="str">
        <f>TEXT(TbReceitas[[#This Row],[data_transacao]], "aaaa-mm")</f>
        <v>2026-07</v>
      </c>
    </row>
    <row r="1294" spans="1:8">
      <c r="A1294">
        <v>1293</v>
      </c>
      <c r="B1294" s="1">
        <v>46204</v>
      </c>
      <c r="C1294" t="s">
        <v>1501</v>
      </c>
      <c r="D1294" t="s">
        <v>269</v>
      </c>
      <c r="E1294">
        <v>5</v>
      </c>
      <c r="F1294">
        <v>12528</v>
      </c>
      <c r="G1294">
        <f>TbReceitas[[#This Row],[quantidade]]*TbReceitas[[#This Row],[preco_unitario]]</f>
        <v>62640</v>
      </c>
      <c r="H1294" t="str">
        <f>TEXT(TbReceitas[[#This Row],[data_transacao]], "aaaa-mm")</f>
        <v>2026-07</v>
      </c>
    </row>
    <row r="1295" spans="1:8">
      <c r="A1295">
        <v>1294</v>
      </c>
      <c r="B1295" s="1">
        <v>46166</v>
      </c>
      <c r="C1295" t="s">
        <v>764</v>
      </c>
      <c r="D1295" t="s">
        <v>318</v>
      </c>
      <c r="E1295">
        <v>3</v>
      </c>
      <c r="F1295">
        <v>17558</v>
      </c>
      <c r="G1295">
        <f>TbReceitas[[#This Row],[quantidade]]*TbReceitas[[#This Row],[preco_unitario]]</f>
        <v>52674</v>
      </c>
      <c r="H1295" t="str">
        <f>TEXT(TbReceitas[[#This Row],[data_transacao]], "aaaa-mm")</f>
        <v>2026-05</v>
      </c>
    </row>
    <row r="1296" spans="1:8">
      <c r="A1296">
        <v>1295</v>
      </c>
      <c r="B1296" s="1">
        <v>45954</v>
      </c>
      <c r="C1296" t="s">
        <v>757</v>
      </c>
      <c r="D1296" t="s">
        <v>235</v>
      </c>
      <c r="E1296">
        <v>4</v>
      </c>
      <c r="F1296">
        <v>3762</v>
      </c>
      <c r="G1296">
        <f>TbReceitas[[#This Row],[quantidade]]*TbReceitas[[#This Row],[preco_unitario]]</f>
        <v>15048</v>
      </c>
      <c r="H1296" t="str">
        <f>TEXT(TbReceitas[[#This Row],[data_transacao]], "aaaa-mm")</f>
        <v>2025-10</v>
      </c>
    </row>
    <row r="1297" spans="1:8">
      <c r="A1297">
        <v>1296</v>
      </c>
      <c r="B1297" s="1">
        <v>46040</v>
      </c>
      <c r="C1297" t="s">
        <v>1218</v>
      </c>
      <c r="D1297" t="s">
        <v>468</v>
      </c>
      <c r="E1297">
        <v>1</v>
      </c>
      <c r="F1297">
        <v>2924</v>
      </c>
      <c r="G1297">
        <f>TbReceitas[[#This Row],[quantidade]]*TbReceitas[[#This Row],[preco_unitario]]</f>
        <v>2924</v>
      </c>
      <c r="H1297" t="str">
        <f>TEXT(TbReceitas[[#This Row],[data_transacao]], "aaaa-mm")</f>
        <v>2026-01</v>
      </c>
    </row>
    <row r="1298" spans="1:8">
      <c r="A1298">
        <v>1297</v>
      </c>
      <c r="B1298" s="1">
        <v>46147</v>
      </c>
      <c r="C1298" t="s">
        <v>718</v>
      </c>
      <c r="D1298" t="s">
        <v>357</v>
      </c>
      <c r="E1298">
        <v>1</v>
      </c>
      <c r="F1298">
        <v>7516</v>
      </c>
      <c r="G1298">
        <f>TbReceitas[[#This Row],[quantidade]]*TbReceitas[[#This Row],[preco_unitario]]</f>
        <v>7516</v>
      </c>
      <c r="H1298" t="str">
        <f>TEXT(TbReceitas[[#This Row],[data_transacao]], "aaaa-mm")</f>
        <v>2026-05</v>
      </c>
    </row>
    <row r="1299" spans="1:8">
      <c r="A1299">
        <v>1298</v>
      </c>
      <c r="B1299" s="1">
        <v>45996</v>
      </c>
      <c r="C1299" t="s">
        <v>1502</v>
      </c>
      <c r="D1299" t="s">
        <v>312</v>
      </c>
      <c r="E1299">
        <v>2</v>
      </c>
      <c r="F1299">
        <v>24217</v>
      </c>
      <c r="G1299">
        <f>TbReceitas[[#This Row],[quantidade]]*TbReceitas[[#This Row],[preco_unitario]]</f>
        <v>48434</v>
      </c>
      <c r="H1299" t="str">
        <f>TEXT(TbReceitas[[#This Row],[data_transacao]], "aaaa-mm")</f>
        <v>2025-12</v>
      </c>
    </row>
    <row r="1300" spans="1:8">
      <c r="A1300">
        <v>1299</v>
      </c>
      <c r="B1300" s="1">
        <v>45733</v>
      </c>
      <c r="C1300" t="s">
        <v>1141</v>
      </c>
      <c r="D1300" t="s">
        <v>1279</v>
      </c>
      <c r="E1300">
        <v>2</v>
      </c>
      <c r="F1300">
        <v>11256</v>
      </c>
      <c r="G1300">
        <f>TbReceitas[[#This Row],[quantidade]]*TbReceitas[[#This Row],[preco_unitario]]</f>
        <v>22512</v>
      </c>
      <c r="H1300" t="str">
        <f>TEXT(TbReceitas[[#This Row],[data_transacao]], "aaaa-mm")</f>
        <v>2025-03</v>
      </c>
    </row>
    <row r="1301" spans="1:8">
      <c r="A1301">
        <v>1300</v>
      </c>
      <c r="B1301" s="1">
        <v>45816</v>
      </c>
      <c r="C1301" t="s">
        <v>1137</v>
      </c>
      <c r="D1301" t="s">
        <v>89</v>
      </c>
      <c r="E1301">
        <v>5</v>
      </c>
      <c r="F1301">
        <v>2978</v>
      </c>
      <c r="G1301">
        <f>TbReceitas[[#This Row],[quantidade]]*TbReceitas[[#This Row],[preco_unitario]]</f>
        <v>14890</v>
      </c>
      <c r="H1301" t="str">
        <f>TEXT(TbReceitas[[#This Row],[data_transacao]], "aaaa-mm")</f>
        <v>2025-06</v>
      </c>
    </row>
    <row r="1302" spans="1:8">
      <c r="A1302">
        <v>1301</v>
      </c>
      <c r="B1302" s="1">
        <v>46024</v>
      </c>
      <c r="C1302" t="s">
        <v>1503</v>
      </c>
      <c r="D1302" t="s">
        <v>609</v>
      </c>
      <c r="E1302">
        <v>3</v>
      </c>
      <c r="F1302">
        <v>6953</v>
      </c>
      <c r="G1302">
        <f>TbReceitas[[#This Row],[quantidade]]*TbReceitas[[#This Row],[preco_unitario]]</f>
        <v>20859</v>
      </c>
      <c r="H1302" t="str">
        <f>TEXT(TbReceitas[[#This Row],[data_transacao]], "aaaa-mm")</f>
        <v>2026-01</v>
      </c>
    </row>
    <row r="1303" spans="1:8">
      <c r="A1303">
        <v>1302</v>
      </c>
      <c r="B1303" s="1">
        <v>45884</v>
      </c>
      <c r="C1303" t="s">
        <v>1504</v>
      </c>
      <c r="D1303" t="s">
        <v>619</v>
      </c>
      <c r="E1303">
        <v>4</v>
      </c>
      <c r="F1303">
        <v>8101</v>
      </c>
      <c r="G1303">
        <f>TbReceitas[[#This Row],[quantidade]]*TbReceitas[[#This Row],[preco_unitario]]</f>
        <v>32404</v>
      </c>
      <c r="H1303" t="str">
        <f>TEXT(TbReceitas[[#This Row],[data_transacao]], "aaaa-mm")</f>
        <v>2025-08</v>
      </c>
    </row>
    <row r="1304" spans="1:8">
      <c r="A1304">
        <v>1303</v>
      </c>
      <c r="B1304" s="1">
        <v>46082</v>
      </c>
      <c r="C1304" t="s">
        <v>1505</v>
      </c>
      <c r="D1304" t="s">
        <v>37</v>
      </c>
      <c r="E1304">
        <v>4</v>
      </c>
      <c r="F1304">
        <v>15145</v>
      </c>
      <c r="G1304">
        <f>TbReceitas[[#This Row],[quantidade]]*TbReceitas[[#This Row],[preco_unitario]]</f>
        <v>60580</v>
      </c>
      <c r="H1304" t="str">
        <f>TEXT(TbReceitas[[#This Row],[data_transacao]], "aaaa-mm")</f>
        <v>2026-03</v>
      </c>
    </row>
    <row r="1305" spans="1:8">
      <c r="A1305">
        <v>1304</v>
      </c>
      <c r="B1305" s="1">
        <v>45880</v>
      </c>
      <c r="C1305" t="s">
        <v>1096</v>
      </c>
      <c r="D1305" t="s">
        <v>160</v>
      </c>
      <c r="E1305">
        <v>3</v>
      </c>
      <c r="F1305">
        <v>22066</v>
      </c>
      <c r="G1305">
        <f>TbReceitas[[#This Row],[quantidade]]*TbReceitas[[#This Row],[preco_unitario]]</f>
        <v>66198</v>
      </c>
      <c r="H1305" t="str">
        <f>TEXT(TbReceitas[[#This Row],[data_transacao]], "aaaa-mm")</f>
        <v>2025-08</v>
      </c>
    </row>
    <row r="1306" spans="1:8">
      <c r="A1306">
        <v>1305</v>
      </c>
      <c r="B1306" s="1">
        <v>46062</v>
      </c>
      <c r="C1306" t="s">
        <v>1411</v>
      </c>
      <c r="D1306" t="s">
        <v>425</v>
      </c>
      <c r="E1306">
        <v>3</v>
      </c>
      <c r="F1306">
        <v>24879</v>
      </c>
      <c r="G1306">
        <f>TbReceitas[[#This Row],[quantidade]]*TbReceitas[[#This Row],[preco_unitario]]</f>
        <v>74637</v>
      </c>
      <c r="H1306" t="str">
        <f>TEXT(TbReceitas[[#This Row],[data_transacao]], "aaaa-mm")</f>
        <v>2026-02</v>
      </c>
    </row>
    <row r="1307" spans="1:8">
      <c r="A1307">
        <v>1306</v>
      </c>
      <c r="B1307" s="1">
        <v>45995</v>
      </c>
      <c r="C1307" t="s">
        <v>1506</v>
      </c>
      <c r="D1307" t="s">
        <v>321</v>
      </c>
      <c r="E1307">
        <v>1</v>
      </c>
      <c r="F1307">
        <v>8412</v>
      </c>
      <c r="G1307">
        <f>TbReceitas[[#This Row],[quantidade]]*TbReceitas[[#This Row],[preco_unitario]]</f>
        <v>8412</v>
      </c>
      <c r="H1307" t="str">
        <f>TEXT(TbReceitas[[#This Row],[data_transacao]], "aaaa-mm")</f>
        <v>2025-12</v>
      </c>
    </row>
    <row r="1308" spans="1:8">
      <c r="A1308">
        <v>1307</v>
      </c>
      <c r="B1308" s="1">
        <v>46162</v>
      </c>
      <c r="C1308" t="s">
        <v>1507</v>
      </c>
      <c r="D1308" t="s">
        <v>422</v>
      </c>
      <c r="E1308">
        <v>2</v>
      </c>
      <c r="F1308">
        <v>4061</v>
      </c>
      <c r="G1308">
        <f>TbReceitas[[#This Row],[quantidade]]*TbReceitas[[#This Row],[preco_unitario]]</f>
        <v>8122</v>
      </c>
      <c r="H1308" t="str">
        <f>TEXT(TbReceitas[[#This Row],[data_transacao]], "aaaa-mm")</f>
        <v>2026-05</v>
      </c>
    </row>
    <row r="1309" spans="1:8">
      <c r="A1309">
        <v>1308</v>
      </c>
      <c r="B1309" s="1">
        <v>45833</v>
      </c>
      <c r="C1309" t="s">
        <v>1508</v>
      </c>
      <c r="D1309" t="s">
        <v>528</v>
      </c>
      <c r="E1309">
        <v>4</v>
      </c>
      <c r="F1309">
        <v>17709</v>
      </c>
      <c r="G1309">
        <f>TbReceitas[[#This Row],[quantidade]]*TbReceitas[[#This Row],[preco_unitario]]</f>
        <v>70836</v>
      </c>
      <c r="H1309" t="str">
        <f>TEXT(TbReceitas[[#This Row],[data_transacao]], "aaaa-mm")</f>
        <v>2025-06</v>
      </c>
    </row>
    <row r="1310" spans="1:8">
      <c r="A1310">
        <v>1309</v>
      </c>
      <c r="B1310" s="1">
        <v>45981</v>
      </c>
      <c r="C1310" t="s">
        <v>1391</v>
      </c>
      <c r="D1310" t="s">
        <v>619</v>
      </c>
      <c r="E1310">
        <v>1</v>
      </c>
      <c r="F1310">
        <v>8101</v>
      </c>
      <c r="G1310">
        <f>TbReceitas[[#This Row],[quantidade]]*TbReceitas[[#This Row],[preco_unitario]]</f>
        <v>8101</v>
      </c>
      <c r="H1310" t="str">
        <f>TEXT(TbReceitas[[#This Row],[data_transacao]], "aaaa-mm")</f>
        <v>2025-11</v>
      </c>
    </row>
    <row r="1311" spans="1:8">
      <c r="A1311">
        <v>1310</v>
      </c>
      <c r="B1311" s="1">
        <v>45749</v>
      </c>
      <c r="C1311" t="s">
        <v>1509</v>
      </c>
      <c r="D1311" t="s">
        <v>638</v>
      </c>
      <c r="E1311">
        <v>3</v>
      </c>
      <c r="F1311">
        <v>9817</v>
      </c>
      <c r="G1311">
        <f>TbReceitas[[#This Row],[quantidade]]*TbReceitas[[#This Row],[preco_unitario]]</f>
        <v>29451</v>
      </c>
      <c r="H1311" t="str">
        <f>TEXT(TbReceitas[[#This Row],[data_transacao]], "aaaa-mm")</f>
        <v>2025-04</v>
      </c>
    </row>
    <row r="1312" spans="1:8">
      <c r="A1312">
        <v>1311</v>
      </c>
      <c r="B1312" s="1">
        <v>45938</v>
      </c>
      <c r="C1312" t="s">
        <v>1510</v>
      </c>
      <c r="D1312" t="s">
        <v>456</v>
      </c>
      <c r="E1312">
        <v>2</v>
      </c>
      <c r="F1312">
        <v>4361</v>
      </c>
      <c r="G1312">
        <f>TbReceitas[[#This Row],[quantidade]]*TbReceitas[[#This Row],[preco_unitario]]</f>
        <v>8722</v>
      </c>
      <c r="H1312" t="str">
        <f>TEXT(TbReceitas[[#This Row],[data_transacao]], "aaaa-mm")</f>
        <v>2025-10</v>
      </c>
    </row>
    <row r="1313" spans="1:8">
      <c r="A1313">
        <v>1312</v>
      </c>
      <c r="B1313" s="1">
        <v>46148</v>
      </c>
      <c r="C1313" t="s">
        <v>1511</v>
      </c>
      <c r="D1313" t="s">
        <v>684</v>
      </c>
      <c r="E1313">
        <v>5</v>
      </c>
      <c r="F1313">
        <v>14496</v>
      </c>
      <c r="G1313">
        <f>TbReceitas[[#This Row],[quantidade]]*TbReceitas[[#This Row],[preco_unitario]]</f>
        <v>72480</v>
      </c>
      <c r="H1313" t="str">
        <f>TEXT(TbReceitas[[#This Row],[data_transacao]], "aaaa-mm")</f>
        <v>2026-05</v>
      </c>
    </row>
    <row r="1314" spans="1:8">
      <c r="A1314">
        <v>1313</v>
      </c>
      <c r="B1314" s="1">
        <v>46019</v>
      </c>
      <c r="C1314" t="s">
        <v>811</v>
      </c>
      <c r="D1314" t="s">
        <v>614</v>
      </c>
      <c r="E1314">
        <v>3</v>
      </c>
      <c r="F1314">
        <v>24548</v>
      </c>
      <c r="G1314">
        <f>TbReceitas[[#This Row],[quantidade]]*TbReceitas[[#This Row],[preco_unitario]]</f>
        <v>73644</v>
      </c>
      <c r="H1314" t="str">
        <f>TEXT(TbReceitas[[#This Row],[data_transacao]], "aaaa-mm")</f>
        <v>2025-12</v>
      </c>
    </row>
    <row r="1315" spans="1:8">
      <c r="A1315">
        <v>1314</v>
      </c>
      <c r="B1315" s="1">
        <v>45816</v>
      </c>
      <c r="C1315" t="s">
        <v>1512</v>
      </c>
      <c r="D1315" t="s">
        <v>108</v>
      </c>
      <c r="E1315">
        <v>2</v>
      </c>
      <c r="F1315">
        <v>6891</v>
      </c>
      <c r="G1315">
        <f>TbReceitas[[#This Row],[quantidade]]*TbReceitas[[#This Row],[preco_unitario]]</f>
        <v>13782</v>
      </c>
      <c r="H1315" t="str">
        <f>TEXT(TbReceitas[[#This Row],[data_transacao]], "aaaa-mm")</f>
        <v>2025-06</v>
      </c>
    </row>
    <row r="1316" spans="1:8">
      <c r="A1316">
        <v>1315</v>
      </c>
      <c r="B1316" s="1">
        <v>46064</v>
      </c>
      <c r="C1316" t="s">
        <v>1513</v>
      </c>
      <c r="D1316" t="s">
        <v>627</v>
      </c>
      <c r="E1316">
        <v>5</v>
      </c>
      <c r="F1316">
        <v>8375</v>
      </c>
      <c r="G1316">
        <f>TbReceitas[[#This Row],[quantidade]]*TbReceitas[[#This Row],[preco_unitario]]</f>
        <v>41875</v>
      </c>
      <c r="H1316" t="str">
        <f>TEXT(TbReceitas[[#This Row],[data_transacao]], "aaaa-mm")</f>
        <v>2026-02</v>
      </c>
    </row>
    <row r="1317" spans="1:8">
      <c r="A1317">
        <v>1316</v>
      </c>
      <c r="B1317" s="1">
        <v>46125</v>
      </c>
      <c r="C1317" t="s">
        <v>1514</v>
      </c>
      <c r="D1317" t="s">
        <v>678</v>
      </c>
      <c r="E1317">
        <v>4</v>
      </c>
      <c r="F1317">
        <v>15865</v>
      </c>
      <c r="G1317">
        <f>TbReceitas[[#This Row],[quantidade]]*TbReceitas[[#This Row],[preco_unitario]]</f>
        <v>63460</v>
      </c>
      <c r="H1317" t="str">
        <f>TEXT(TbReceitas[[#This Row],[data_transacao]], "aaaa-mm")</f>
        <v>2026-04</v>
      </c>
    </row>
    <row r="1318" spans="1:8">
      <c r="A1318">
        <v>1317</v>
      </c>
      <c r="B1318" s="1">
        <v>46238</v>
      </c>
      <c r="C1318" t="s">
        <v>911</v>
      </c>
      <c r="D1318" t="s">
        <v>20</v>
      </c>
      <c r="E1318">
        <v>3</v>
      </c>
      <c r="F1318">
        <v>5319</v>
      </c>
      <c r="G1318">
        <f>TbReceitas[[#This Row],[quantidade]]*TbReceitas[[#This Row],[preco_unitario]]</f>
        <v>15957</v>
      </c>
      <c r="H1318" t="str">
        <f>TEXT(TbReceitas[[#This Row],[data_transacao]], "aaaa-mm")</f>
        <v>2026-08</v>
      </c>
    </row>
    <row r="1319" spans="1:8">
      <c r="A1319">
        <v>1318</v>
      </c>
      <c r="B1319" s="1">
        <v>45884</v>
      </c>
      <c r="C1319" t="s">
        <v>1116</v>
      </c>
      <c r="D1319" t="s">
        <v>507</v>
      </c>
      <c r="E1319">
        <v>3</v>
      </c>
      <c r="F1319">
        <v>7085</v>
      </c>
      <c r="G1319">
        <f>TbReceitas[[#This Row],[quantidade]]*TbReceitas[[#This Row],[preco_unitario]]</f>
        <v>21255</v>
      </c>
      <c r="H1319" t="str">
        <f>TEXT(TbReceitas[[#This Row],[data_transacao]], "aaaa-mm")</f>
        <v>2025-08</v>
      </c>
    </row>
    <row r="1320" spans="1:8">
      <c r="A1320">
        <v>1319</v>
      </c>
      <c r="B1320" s="1">
        <v>45620</v>
      </c>
      <c r="C1320" t="s">
        <v>1515</v>
      </c>
      <c r="D1320" t="s">
        <v>10</v>
      </c>
      <c r="E1320">
        <v>4</v>
      </c>
      <c r="F1320">
        <v>9876</v>
      </c>
      <c r="G1320">
        <f>TbReceitas[[#This Row],[quantidade]]*TbReceitas[[#This Row],[preco_unitario]]</f>
        <v>39504</v>
      </c>
      <c r="H1320" t="str">
        <f>TEXT(TbReceitas[[#This Row],[data_transacao]], "aaaa-mm")</f>
        <v>2024-11</v>
      </c>
    </row>
    <row r="1321" spans="1:8">
      <c r="A1321">
        <v>1320</v>
      </c>
      <c r="B1321" s="1">
        <v>45748</v>
      </c>
      <c r="C1321" t="s">
        <v>1092</v>
      </c>
      <c r="D1321" t="s">
        <v>38</v>
      </c>
      <c r="E1321">
        <v>3</v>
      </c>
      <c r="F1321">
        <v>9058</v>
      </c>
      <c r="G1321">
        <f>TbReceitas[[#This Row],[quantidade]]*TbReceitas[[#This Row],[preco_unitario]]</f>
        <v>27174</v>
      </c>
      <c r="H1321" t="str">
        <f>TEXT(TbReceitas[[#This Row],[data_transacao]], "aaaa-mm")</f>
        <v>2025-04</v>
      </c>
    </row>
    <row r="1322" spans="1:8">
      <c r="A1322">
        <v>1321</v>
      </c>
      <c r="B1322" s="1">
        <v>45618</v>
      </c>
      <c r="C1322" t="s">
        <v>707</v>
      </c>
      <c r="D1322" t="s">
        <v>608</v>
      </c>
      <c r="E1322">
        <v>1</v>
      </c>
      <c r="F1322">
        <v>752</v>
      </c>
      <c r="G1322">
        <f>TbReceitas[[#This Row],[quantidade]]*TbReceitas[[#This Row],[preco_unitario]]</f>
        <v>752</v>
      </c>
      <c r="H1322" t="str">
        <f>TEXT(TbReceitas[[#This Row],[data_transacao]], "aaaa-mm")</f>
        <v>2024-11</v>
      </c>
    </row>
    <row r="1323" spans="1:8">
      <c r="A1323">
        <v>1322</v>
      </c>
      <c r="B1323" s="1">
        <v>45572</v>
      </c>
      <c r="C1323" t="s">
        <v>1516</v>
      </c>
      <c r="D1323" t="s">
        <v>635</v>
      </c>
      <c r="E1323">
        <v>5</v>
      </c>
      <c r="F1323">
        <v>821</v>
      </c>
      <c r="G1323">
        <f>TbReceitas[[#This Row],[quantidade]]*TbReceitas[[#This Row],[preco_unitario]]</f>
        <v>4105</v>
      </c>
      <c r="H1323" t="str">
        <f>TEXT(TbReceitas[[#This Row],[data_transacao]], "aaaa-mm")</f>
        <v>2024-10</v>
      </c>
    </row>
    <row r="1324" spans="1:8">
      <c r="A1324">
        <v>1323</v>
      </c>
      <c r="B1324" s="1">
        <v>46034</v>
      </c>
      <c r="C1324" t="s">
        <v>1517</v>
      </c>
      <c r="D1324" t="s">
        <v>193</v>
      </c>
      <c r="E1324">
        <v>5</v>
      </c>
      <c r="F1324">
        <v>6592</v>
      </c>
      <c r="G1324">
        <f>TbReceitas[[#This Row],[quantidade]]*TbReceitas[[#This Row],[preco_unitario]]</f>
        <v>32960</v>
      </c>
      <c r="H1324" t="str">
        <f>TEXT(TbReceitas[[#This Row],[data_transacao]], "aaaa-mm")</f>
        <v>2026-01</v>
      </c>
    </row>
    <row r="1325" spans="1:8">
      <c r="A1325">
        <v>1324</v>
      </c>
      <c r="B1325" s="1">
        <v>45929</v>
      </c>
      <c r="C1325" t="s">
        <v>837</v>
      </c>
      <c r="D1325" t="s">
        <v>80</v>
      </c>
      <c r="E1325">
        <v>4</v>
      </c>
      <c r="F1325">
        <v>846</v>
      </c>
      <c r="G1325">
        <f>TbReceitas[[#This Row],[quantidade]]*TbReceitas[[#This Row],[preco_unitario]]</f>
        <v>3384</v>
      </c>
      <c r="H1325" t="str">
        <f>TEXT(TbReceitas[[#This Row],[data_transacao]], "aaaa-mm")</f>
        <v>2025-09</v>
      </c>
    </row>
    <row r="1326" spans="1:8">
      <c r="A1326">
        <v>1325</v>
      </c>
      <c r="B1326" s="1">
        <v>45655</v>
      </c>
      <c r="C1326" t="s">
        <v>1406</v>
      </c>
      <c r="D1326" t="s">
        <v>187</v>
      </c>
      <c r="E1326">
        <v>3</v>
      </c>
      <c r="F1326">
        <v>497</v>
      </c>
      <c r="G1326">
        <f>TbReceitas[[#This Row],[quantidade]]*TbReceitas[[#This Row],[preco_unitario]]</f>
        <v>1491</v>
      </c>
      <c r="H1326" t="str">
        <f>TEXT(TbReceitas[[#This Row],[data_transacao]], "aaaa-mm")</f>
        <v>2024-12</v>
      </c>
    </row>
    <row r="1327" spans="1:8">
      <c r="A1327">
        <v>1326</v>
      </c>
      <c r="B1327" s="1">
        <v>46228</v>
      </c>
      <c r="C1327" t="s">
        <v>1518</v>
      </c>
      <c r="D1327" t="s">
        <v>634</v>
      </c>
      <c r="E1327">
        <v>2</v>
      </c>
      <c r="F1327">
        <v>21686</v>
      </c>
      <c r="G1327">
        <f>TbReceitas[[#This Row],[quantidade]]*TbReceitas[[#This Row],[preco_unitario]]</f>
        <v>43372</v>
      </c>
      <c r="H1327" t="str">
        <f>TEXT(TbReceitas[[#This Row],[data_transacao]], "aaaa-mm")</f>
        <v>2026-07</v>
      </c>
    </row>
    <row r="1328" spans="1:8">
      <c r="A1328">
        <v>1327</v>
      </c>
      <c r="B1328" s="1">
        <v>46252</v>
      </c>
      <c r="C1328" t="s">
        <v>1519</v>
      </c>
      <c r="D1328" t="s">
        <v>612</v>
      </c>
      <c r="E1328">
        <v>3</v>
      </c>
      <c r="F1328">
        <v>20797</v>
      </c>
      <c r="G1328">
        <f>TbReceitas[[#This Row],[quantidade]]*TbReceitas[[#This Row],[preco_unitario]]</f>
        <v>62391</v>
      </c>
      <c r="H1328" t="str">
        <f>TEXT(TbReceitas[[#This Row],[data_transacao]], "aaaa-mm")</f>
        <v>2026-08</v>
      </c>
    </row>
    <row r="1329" spans="1:8">
      <c r="A1329">
        <v>1328</v>
      </c>
      <c r="B1329" s="1">
        <v>46008</v>
      </c>
      <c r="C1329" t="s">
        <v>1520</v>
      </c>
      <c r="D1329" t="s">
        <v>678</v>
      </c>
      <c r="E1329">
        <v>1</v>
      </c>
      <c r="F1329">
        <v>15865</v>
      </c>
      <c r="G1329">
        <f>TbReceitas[[#This Row],[quantidade]]*TbReceitas[[#This Row],[preco_unitario]]</f>
        <v>15865</v>
      </c>
      <c r="H1329" t="str">
        <f>TEXT(TbReceitas[[#This Row],[data_transacao]], "aaaa-mm")</f>
        <v>2025-12</v>
      </c>
    </row>
    <row r="1330" spans="1:8">
      <c r="A1330">
        <v>1329</v>
      </c>
      <c r="B1330" s="1">
        <v>45815</v>
      </c>
      <c r="C1330" t="s">
        <v>876</v>
      </c>
      <c r="D1330" t="s">
        <v>407</v>
      </c>
      <c r="E1330">
        <v>5</v>
      </c>
      <c r="F1330">
        <v>6567</v>
      </c>
      <c r="G1330">
        <f>TbReceitas[[#This Row],[quantidade]]*TbReceitas[[#This Row],[preco_unitario]]</f>
        <v>32835</v>
      </c>
      <c r="H1330" t="str">
        <f>TEXT(TbReceitas[[#This Row],[data_transacao]], "aaaa-mm")</f>
        <v>2025-06</v>
      </c>
    </row>
    <row r="1331" spans="1:8">
      <c r="A1331">
        <v>1330</v>
      </c>
      <c r="B1331" s="1">
        <v>45612</v>
      </c>
      <c r="C1331" t="s">
        <v>1081</v>
      </c>
      <c r="D1331" t="s">
        <v>42</v>
      </c>
      <c r="E1331">
        <v>5</v>
      </c>
      <c r="F1331">
        <v>23918</v>
      </c>
      <c r="G1331">
        <f>TbReceitas[[#This Row],[quantidade]]*TbReceitas[[#This Row],[preco_unitario]]</f>
        <v>119590</v>
      </c>
      <c r="H1331" t="str">
        <f>TEXT(TbReceitas[[#This Row],[data_transacao]], "aaaa-mm")</f>
        <v>2024-11</v>
      </c>
    </row>
    <row r="1332" spans="1:8">
      <c r="A1332">
        <v>1331</v>
      </c>
      <c r="B1332" s="1">
        <v>45917</v>
      </c>
      <c r="C1332" t="s">
        <v>1374</v>
      </c>
      <c r="D1332" t="s">
        <v>213</v>
      </c>
      <c r="E1332">
        <v>3</v>
      </c>
      <c r="F1332">
        <v>22847</v>
      </c>
      <c r="G1332">
        <f>TbReceitas[[#This Row],[quantidade]]*TbReceitas[[#This Row],[preco_unitario]]</f>
        <v>68541</v>
      </c>
      <c r="H1332" t="str">
        <f>TEXT(TbReceitas[[#This Row],[data_transacao]], "aaaa-mm")</f>
        <v>2025-09</v>
      </c>
    </row>
    <row r="1333" spans="1:8">
      <c r="A1333">
        <v>1332</v>
      </c>
      <c r="B1333" s="1">
        <v>46102</v>
      </c>
      <c r="C1333" t="s">
        <v>1507</v>
      </c>
      <c r="D1333" t="s">
        <v>114</v>
      </c>
      <c r="E1333">
        <v>5</v>
      </c>
      <c r="F1333">
        <v>677</v>
      </c>
      <c r="G1333">
        <f>TbReceitas[[#This Row],[quantidade]]*TbReceitas[[#This Row],[preco_unitario]]</f>
        <v>3385</v>
      </c>
      <c r="H1333" t="str">
        <f>TEXT(TbReceitas[[#This Row],[data_transacao]], "aaaa-mm")</f>
        <v>2026-03</v>
      </c>
    </row>
    <row r="1334" spans="1:8">
      <c r="A1334">
        <v>1333</v>
      </c>
      <c r="B1334" s="1">
        <v>46190</v>
      </c>
      <c r="C1334" t="s">
        <v>1169</v>
      </c>
      <c r="D1334" t="s">
        <v>325</v>
      </c>
      <c r="E1334">
        <v>4</v>
      </c>
      <c r="F1334">
        <v>15415</v>
      </c>
      <c r="G1334">
        <f>TbReceitas[[#This Row],[quantidade]]*TbReceitas[[#This Row],[preco_unitario]]</f>
        <v>61660</v>
      </c>
      <c r="H1334" t="str">
        <f>TEXT(TbReceitas[[#This Row],[data_transacao]], "aaaa-mm")</f>
        <v>2026-06</v>
      </c>
    </row>
    <row r="1335" spans="1:8">
      <c r="A1335">
        <v>1334</v>
      </c>
      <c r="B1335" s="1">
        <v>46133</v>
      </c>
      <c r="C1335" t="s">
        <v>764</v>
      </c>
      <c r="D1335" t="s">
        <v>573</v>
      </c>
      <c r="E1335">
        <v>3</v>
      </c>
      <c r="F1335">
        <v>1212</v>
      </c>
      <c r="G1335">
        <f>TbReceitas[[#This Row],[quantidade]]*TbReceitas[[#This Row],[preco_unitario]]</f>
        <v>3636</v>
      </c>
      <c r="H1335" t="str">
        <f>TEXT(TbReceitas[[#This Row],[data_transacao]], "aaaa-mm")</f>
        <v>2026-04</v>
      </c>
    </row>
    <row r="1336" spans="1:8">
      <c r="A1336">
        <v>1335</v>
      </c>
      <c r="B1336" s="1">
        <v>45561</v>
      </c>
      <c r="C1336" t="s">
        <v>849</v>
      </c>
      <c r="D1336" t="s">
        <v>21</v>
      </c>
      <c r="E1336">
        <v>2</v>
      </c>
      <c r="F1336">
        <v>12746</v>
      </c>
      <c r="G1336">
        <f>TbReceitas[[#This Row],[quantidade]]*TbReceitas[[#This Row],[preco_unitario]]</f>
        <v>25492</v>
      </c>
      <c r="H1336" t="str">
        <f>TEXT(TbReceitas[[#This Row],[data_transacao]], "aaaa-mm")</f>
        <v>2024-09</v>
      </c>
    </row>
    <row r="1337" spans="1:8">
      <c r="A1337">
        <v>1336</v>
      </c>
      <c r="B1337" s="1">
        <v>45842</v>
      </c>
      <c r="C1337" t="s">
        <v>1521</v>
      </c>
      <c r="D1337" t="s">
        <v>457</v>
      </c>
      <c r="E1337">
        <v>5</v>
      </c>
      <c r="F1337">
        <v>19353</v>
      </c>
      <c r="G1337">
        <f>TbReceitas[[#This Row],[quantidade]]*TbReceitas[[#This Row],[preco_unitario]]</f>
        <v>96765</v>
      </c>
      <c r="H1337" t="str">
        <f>TEXT(TbReceitas[[#This Row],[data_transacao]], "aaaa-mm")</f>
        <v>2025-07</v>
      </c>
    </row>
    <row r="1338" spans="1:8">
      <c r="A1338">
        <v>1337</v>
      </c>
      <c r="B1338" s="1">
        <v>46273</v>
      </c>
      <c r="C1338" t="s">
        <v>1522</v>
      </c>
      <c r="D1338" t="s">
        <v>624</v>
      </c>
      <c r="E1338">
        <v>4</v>
      </c>
      <c r="F1338">
        <v>4705</v>
      </c>
      <c r="G1338">
        <f>TbReceitas[[#This Row],[quantidade]]*TbReceitas[[#This Row],[preco_unitario]]</f>
        <v>18820</v>
      </c>
      <c r="H1338" t="str">
        <f>TEXT(TbReceitas[[#This Row],[data_transacao]], "aaaa-mm")</f>
        <v>2026-09</v>
      </c>
    </row>
    <row r="1339" spans="1:8">
      <c r="A1339">
        <v>1338</v>
      </c>
      <c r="B1339" s="1">
        <v>45976</v>
      </c>
      <c r="C1339" t="s">
        <v>1314</v>
      </c>
      <c r="D1339" t="s">
        <v>117</v>
      </c>
      <c r="E1339">
        <v>1</v>
      </c>
      <c r="F1339">
        <v>15356</v>
      </c>
      <c r="G1339">
        <f>TbReceitas[[#This Row],[quantidade]]*TbReceitas[[#This Row],[preco_unitario]]</f>
        <v>15356</v>
      </c>
      <c r="H1339" t="str">
        <f>TEXT(TbReceitas[[#This Row],[data_transacao]], "aaaa-mm")</f>
        <v>2025-11</v>
      </c>
    </row>
    <row r="1340" spans="1:8">
      <c r="A1340">
        <v>1339</v>
      </c>
      <c r="B1340" s="1">
        <v>46153</v>
      </c>
      <c r="C1340" t="s">
        <v>1523</v>
      </c>
      <c r="D1340" t="s">
        <v>176</v>
      </c>
      <c r="E1340">
        <v>5</v>
      </c>
      <c r="F1340">
        <v>776</v>
      </c>
      <c r="G1340">
        <f>TbReceitas[[#This Row],[quantidade]]*TbReceitas[[#This Row],[preco_unitario]]</f>
        <v>3880</v>
      </c>
      <c r="H1340" t="str">
        <f>TEXT(TbReceitas[[#This Row],[data_transacao]], "aaaa-mm")</f>
        <v>2026-05</v>
      </c>
    </row>
    <row r="1341" spans="1:8">
      <c r="A1341">
        <v>1340</v>
      </c>
      <c r="B1341" s="1">
        <v>45741</v>
      </c>
      <c r="C1341" t="s">
        <v>975</v>
      </c>
      <c r="D1341" t="s">
        <v>56</v>
      </c>
      <c r="E1341">
        <v>3</v>
      </c>
      <c r="F1341">
        <v>6886</v>
      </c>
      <c r="G1341">
        <f>TbReceitas[[#This Row],[quantidade]]*TbReceitas[[#This Row],[preco_unitario]]</f>
        <v>20658</v>
      </c>
      <c r="H1341" t="str">
        <f>TEXT(TbReceitas[[#This Row],[data_transacao]], "aaaa-mm")</f>
        <v>2025-03</v>
      </c>
    </row>
    <row r="1342" spans="1:8">
      <c r="A1342">
        <v>1341</v>
      </c>
      <c r="B1342" s="1">
        <v>45577</v>
      </c>
      <c r="C1342" t="s">
        <v>1122</v>
      </c>
      <c r="D1342" t="s">
        <v>525</v>
      </c>
      <c r="E1342">
        <v>2</v>
      </c>
      <c r="F1342">
        <v>5995</v>
      </c>
      <c r="G1342">
        <f>TbReceitas[[#This Row],[quantidade]]*TbReceitas[[#This Row],[preco_unitario]]</f>
        <v>11990</v>
      </c>
      <c r="H1342" t="str">
        <f>TEXT(TbReceitas[[#This Row],[data_transacao]], "aaaa-mm")</f>
        <v>2024-10</v>
      </c>
    </row>
    <row r="1343" spans="1:8">
      <c r="A1343">
        <v>1342</v>
      </c>
      <c r="B1343" s="1">
        <v>46171</v>
      </c>
      <c r="C1343" t="s">
        <v>1446</v>
      </c>
      <c r="D1343" t="s">
        <v>75</v>
      </c>
      <c r="E1343">
        <v>5</v>
      </c>
      <c r="F1343">
        <v>2558</v>
      </c>
      <c r="G1343">
        <f>TbReceitas[[#This Row],[quantidade]]*TbReceitas[[#This Row],[preco_unitario]]</f>
        <v>12790</v>
      </c>
      <c r="H1343" t="str">
        <f>TEXT(TbReceitas[[#This Row],[data_transacao]], "aaaa-mm")</f>
        <v>2026-05</v>
      </c>
    </row>
    <row r="1344" spans="1:8">
      <c r="A1344">
        <v>1343</v>
      </c>
      <c r="B1344" s="1">
        <v>45613</v>
      </c>
      <c r="C1344" t="s">
        <v>1524</v>
      </c>
      <c r="D1344" t="s">
        <v>641</v>
      </c>
      <c r="E1344">
        <v>5</v>
      </c>
      <c r="F1344">
        <v>3128</v>
      </c>
      <c r="G1344">
        <f>TbReceitas[[#This Row],[quantidade]]*TbReceitas[[#This Row],[preco_unitario]]</f>
        <v>15640</v>
      </c>
      <c r="H1344" t="str">
        <f>TEXT(TbReceitas[[#This Row],[data_transacao]], "aaaa-mm")</f>
        <v>2024-11</v>
      </c>
    </row>
    <row r="1345" spans="1:8">
      <c r="A1345">
        <v>1344</v>
      </c>
      <c r="B1345" s="1">
        <v>45589</v>
      </c>
      <c r="C1345" t="s">
        <v>1100</v>
      </c>
      <c r="D1345" t="s">
        <v>544</v>
      </c>
      <c r="E1345">
        <v>4</v>
      </c>
      <c r="F1345">
        <v>13184</v>
      </c>
      <c r="G1345">
        <f>TbReceitas[[#This Row],[quantidade]]*TbReceitas[[#This Row],[preco_unitario]]</f>
        <v>52736</v>
      </c>
      <c r="H1345" t="str">
        <f>TEXT(TbReceitas[[#This Row],[data_transacao]], "aaaa-mm")</f>
        <v>2024-10</v>
      </c>
    </row>
    <row r="1346" spans="1:8">
      <c r="A1346">
        <v>1345</v>
      </c>
      <c r="B1346" s="1">
        <v>45707</v>
      </c>
      <c r="C1346" t="s">
        <v>1177</v>
      </c>
      <c r="D1346" t="s">
        <v>587</v>
      </c>
      <c r="E1346">
        <v>3</v>
      </c>
      <c r="F1346">
        <v>2411</v>
      </c>
      <c r="G1346">
        <f>TbReceitas[[#This Row],[quantidade]]*TbReceitas[[#This Row],[preco_unitario]]</f>
        <v>7233</v>
      </c>
      <c r="H1346" t="str">
        <f>TEXT(TbReceitas[[#This Row],[data_transacao]], "aaaa-mm")</f>
        <v>2025-02</v>
      </c>
    </row>
    <row r="1347" spans="1:8">
      <c r="A1347">
        <v>1346</v>
      </c>
      <c r="B1347" s="1">
        <v>45969</v>
      </c>
      <c r="C1347" t="s">
        <v>1280</v>
      </c>
      <c r="D1347" t="s">
        <v>333</v>
      </c>
      <c r="E1347">
        <v>4</v>
      </c>
      <c r="F1347">
        <v>6799</v>
      </c>
      <c r="G1347">
        <f>TbReceitas[[#This Row],[quantidade]]*TbReceitas[[#This Row],[preco_unitario]]</f>
        <v>27196</v>
      </c>
      <c r="H1347" t="str">
        <f>TEXT(TbReceitas[[#This Row],[data_transacao]], "aaaa-mm")</f>
        <v>2025-11</v>
      </c>
    </row>
    <row r="1348" spans="1:8">
      <c r="A1348">
        <v>1347</v>
      </c>
      <c r="B1348" s="1">
        <v>46002</v>
      </c>
      <c r="C1348" t="s">
        <v>768</v>
      </c>
      <c r="D1348" t="s">
        <v>669</v>
      </c>
      <c r="E1348">
        <v>3</v>
      </c>
      <c r="F1348">
        <v>2838</v>
      </c>
      <c r="G1348">
        <f>TbReceitas[[#This Row],[quantidade]]*TbReceitas[[#This Row],[preco_unitario]]</f>
        <v>8514</v>
      </c>
      <c r="H1348" t="str">
        <f>TEXT(TbReceitas[[#This Row],[data_transacao]], "aaaa-mm")</f>
        <v>2025-12</v>
      </c>
    </row>
    <row r="1349" spans="1:8">
      <c r="A1349">
        <v>1348</v>
      </c>
      <c r="B1349" s="1">
        <v>46212</v>
      </c>
      <c r="C1349" t="s">
        <v>904</v>
      </c>
      <c r="D1349" t="s">
        <v>170</v>
      </c>
      <c r="E1349">
        <v>4</v>
      </c>
      <c r="F1349">
        <v>22315</v>
      </c>
      <c r="G1349">
        <f>TbReceitas[[#This Row],[quantidade]]*TbReceitas[[#This Row],[preco_unitario]]</f>
        <v>89260</v>
      </c>
      <c r="H1349" t="str">
        <f>TEXT(TbReceitas[[#This Row],[data_transacao]], "aaaa-mm")</f>
        <v>2026-07</v>
      </c>
    </row>
    <row r="1350" spans="1:8">
      <c r="A1350">
        <v>1349</v>
      </c>
      <c r="B1350" s="1">
        <v>45602</v>
      </c>
      <c r="C1350" t="s">
        <v>1525</v>
      </c>
      <c r="D1350" t="s">
        <v>670</v>
      </c>
      <c r="E1350">
        <v>5</v>
      </c>
      <c r="F1350">
        <v>23664</v>
      </c>
      <c r="G1350">
        <f>TbReceitas[[#This Row],[quantidade]]*TbReceitas[[#This Row],[preco_unitario]]</f>
        <v>118320</v>
      </c>
      <c r="H1350" t="str">
        <f>TEXT(TbReceitas[[#This Row],[data_transacao]], "aaaa-mm")</f>
        <v>2024-11</v>
      </c>
    </row>
    <row r="1351" spans="1:8">
      <c r="A1351">
        <v>1350</v>
      </c>
      <c r="B1351" s="1">
        <v>46136</v>
      </c>
      <c r="C1351" t="s">
        <v>1526</v>
      </c>
      <c r="D1351" t="s">
        <v>61</v>
      </c>
      <c r="E1351">
        <v>2</v>
      </c>
      <c r="F1351">
        <v>998</v>
      </c>
      <c r="G1351">
        <f>TbReceitas[[#This Row],[quantidade]]*TbReceitas[[#This Row],[preco_unitario]]</f>
        <v>1996</v>
      </c>
      <c r="H1351" t="str">
        <f>TEXT(TbReceitas[[#This Row],[data_transacao]], "aaaa-mm")</f>
        <v>2026-04</v>
      </c>
    </row>
    <row r="1352" spans="1:8">
      <c r="A1352">
        <v>1351</v>
      </c>
      <c r="B1352" s="1">
        <v>45749</v>
      </c>
      <c r="C1352" t="s">
        <v>896</v>
      </c>
      <c r="D1352" t="s">
        <v>599</v>
      </c>
      <c r="E1352">
        <v>3</v>
      </c>
      <c r="F1352">
        <v>45</v>
      </c>
      <c r="G1352">
        <f>TbReceitas[[#This Row],[quantidade]]*TbReceitas[[#This Row],[preco_unitario]]</f>
        <v>135</v>
      </c>
      <c r="H1352" t="str">
        <f>TEXT(TbReceitas[[#This Row],[data_transacao]], "aaaa-mm")</f>
        <v>2025-04</v>
      </c>
    </row>
    <row r="1353" spans="1:8">
      <c r="A1353">
        <v>1352</v>
      </c>
      <c r="B1353" s="1">
        <v>45593</v>
      </c>
      <c r="C1353" t="s">
        <v>989</v>
      </c>
      <c r="D1353" t="s">
        <v>116</v>
      </c>
      <c r="E1353">
        <v>2</v>
      </c>
      <c r="F1353">
        <v>1384</v>
      </c>
      <c r="G1353">
        <f>TbReceitas[[#This Row],[quantidade]]*TbReceitas[[#This Row],[preco_unitario]]</f>
        <v>2768</v>
      </c>
      <c r="H1353" t="str">
        <f>TEXT(TbReceitas[[#This Row],[data_transacao]], "aaaa-mm")</f>
        <v>2024-10</v>
      </c>
    </row>
    <row r="1354" spans="1:8">
      <c r="A1354">
        <v>1353</v>
      </c>
      <c r="B1354" s="1">
        <v>45915</v>
      </c>
      <c r="C1354" t="s">
        <v>1041</v>
      </c>
      <c r="D1354" t="s">
        <v>556</v>
      </c>
      <c r="E1354">
        <v>1</v>
      </c>
      <c r="F1354">
        <v>3854</v>
      </c>
      <c r="G1354">
        <f>TbReceitas[[#This Row],[quantidade]]*TbReceitas[[#This Row],[preco_unitario]]</f>
        <v>3854</v>
      </c>
      <c r="H1354" t="str">
        <f>TEXT(TbReceitas[[#This Row],[data_transacao]], "aaaa-mm")</f>
        <v>2025-09</v>
      </c>
    </row>
    <row r="1355" spans="1:8">
      <c r="A1355">
        <v>1354</v>
      </c>
      <c r="B1355" s="1">
        <v>46218</v>
      </c>
      <c r="C1355" t="s">
        <v>1527</v>
      </c>
      <c r="D1355" t="s">
        <v>509</v>
      </c>
      <c r="E1355">
        <v>1</v>
      </c>
      <c r="F1355">
        <v>2421</v>
      </c>
      <c r="G1355">
        <f>TbReceitas[[#This Row],[quantidade]]*TbReceitas[[#This Row],[preco_unitario]]</f>
        <v>2421</v>
      </c>
      <c r="H1355" t="str">
        <f>TEXT(TbReceitas[[#This Row],[data_transacao]], "aaaa-mm")</f>
        <v>2026-07</v>
      </c>
    </row>
    <row r="1356" spans="1:8">
      <c r="A1356">
        <v>1355</v>
      </c>
      <c r="B1356" s="1">
        <v>45702</v>
      </c>
      <c r="C1356" t="s">
        <v>1405</v>
      </c>
      <c r="D1356" t="s">
        <v>14</v>
      </c>
      <c r="E1356">
        <v>3</v>
      </c>
      <c r="F1356">
        <v>11529</v>
      </c>
      <c r="G1356">
        <f>TbReceitas[[#This Row],[quantidade]]*TbReceitas[[#This Row],[preco_unitario]]</f>
        <v>34587</v>
      </c>
      <c r="H1356" t="str">
        <f>TEXT(TbReceitas[[#This Row],[data_transacao]], "aaaa-mm")</f>
        <v>2025-02</v>
      </c>
    </row>
    <row r="1357" spans="1:8">
      <c r="A1357">
        <v>1356</v>
      </c>
      <c r="B1357" s="1">
        <v>45679</v>
      </c>
      <c r="C1357" t="s">
        <v>806</v>
      </c>
      <c r="D1357" t="s">
        <v>108</v>
      </c>
      <c r="E1357">
        <v>4</v>
      </c>
      <c r="F1357">
        <v>6891</v>
      </c>
      <c r="G1357">
        <f>TbReceitas[[#This Row],[quantidade]]*TbReceitas[[#This Row],[preco_unitario]]</f>
        <v>27564</v>
      </c>
      <c r="H1357" t="str">
        <f>TEXT(TbReceitas[[#This Row],[data_transacao]], "aaaa-mm")</f>
        <v>2025-01</v>
      </c>
    </row>
    <row r="1358" spans="1:8">
      <c r="A1358">
        <v>1357</v>
      </c>
      <c r="B1358" s="1">
        <v>45871</v>
      </c>
      <c r="C1358" t="s">
        <v>1512</v>
      </c>
      <c r="D1358" t="s">
        <v>50</v>
      </c>
      <c r="E1358">
        <v>4</v>
      </c>
      <c r="F1358">
        <v>24763</v>
      </c>
      <c r="G1358">
        <f>TbReceitas[[#This Row],[quantidade]]*TbReceitas[[#This Row],[preco_unitario]]</f>
        <v>99052</v>
      </c>
      <c r="H1358" t="str">
        <f>TEXT(TbReceitas[[#This Row],[data_transacao]], "aaaa-mm")</f>
        <v>2025-08</v>
      </c>
    </row>
    <row r="1359" spans="1:8">
      <c r="A1359">
        <v>1358</v>
      </c>
      <c r="B1359" s="1">
        <v>45765</v>
      </c>
      <c r="C1359" t="s">
        <v>1125</v>
      </c>
      <c r="D1359" t="s">
        <v>477</v>
      </c>
      <c r="E1359">
        <v>2</v>
      </c>
      <c r="F1359">
        <v>16642</v>
      </c>
      <c r="G1359">
        <f>TbReceitas[[#This Row],[quantidade]]*TbReceitas[[#This Row],[preco_unitario]]</f>
        <v>33284</v>
      </c>
      <c r="H1359" t="str">
        <f>TEXT(TbReceitas[[#This Row],[data_transacao]], "aaaa-mm")</f>
        <v>2025-04</v>
      </c>
    </row>
    <row r="1360" spans="1:8">
      <c r="A1360">
        <v>1359</v>
      </c>
      <c r="B1360" s="1">
        <v>45779</v>
      </c>
      <c r="C1360" t="s">
        <v>1182</v>
      </c>
      <c r="D1360" t="s">
        <v>38</v>
      </c>
      <c r="E1360">
        <v>2</v>
      </c>
      <c r="F1360">
        <v>9058</v>
      </c>
      <c r="G1360">
        <f>TbReceitas[[#This Row],[quantidade]]*TbReceitas[[#This Row],[preco_unitario]]</f>
        <v>18116</v>
      </c>
      <c r="H1360" t="str">
        <f>TEXT(TbReceitas[[#This Row],[data_transacao]], "aaaa-mm")</f>
        <v>2025-05</v>
      </c>
    </row>
    <row r="1361" spans="1:8">
      <c r="A1361">
        <v>1360</v>
      </c>
      <c r="B1361" s="1">
        <v>46265</v>
      </c>
      <c r="C1361" t="s">
        <v>1528</v>
      </c>
      <c r="D1361" t="s">
        <v>52</v>
      </c>
      <c r="E1361">
        <v>4</v>
      </c>
      <c r="F1361">
        <v>3572</v>
      </c>
      <c r="G1361">
        <f>TbReceitas[[#This Row],[quantidade]]*TbReceitas[[#This Row],[preco_unitario]]</f>
        <v>14288</v>
      </c>
      <c r="H1361" t="str">
        <f>TEXT(TbReceitas[[#This Row],[data_transacao]], "aaaa-mm")</f>
        <v>2026-08</v>
      </c>
    </row>
    <row r="1362" spans="1:8">
      <c r="A1362">
        <v>1361</v>
      </c>
      <c r="B1362" s="1">
        <v>45812</v>
      </c>
      <c r="C1362" t="s">
        <v>956</v>
      </c>
      <c r="D1362" t="s">
        <v>660</v>
      </c>
      <c r="E1362">
        <v>1</v>
      </c>
      <c r="F1362">
        <v>2289</v>
      </c>
      <c r="G1362">
        <f>TbReceitas[[#This Row],[quantidade]]*TbReceitas[[#This Row],[preco_unitario]]</f>
        <v>2289</v>
      </c>
      <c r="H1362" t="str">
        <f>TEXT(TbReceitas[[#This Row],[data_transacao]], "aaaa-mm")</f>
        <v>2025-06</v>
      </c>
    </row>
    <row r="1363" spans="1:8">
      <c r="A1363">
        <v>1362</v>
      </c>
      <c r="B1363" s="1">
        <v>45655</v>
      </c>
      <c r="C1363" t="s">
        <v>1369</v>
      </c>
      <c r="D1363" t="s">
        <v>640</v>
      </c>
      <c r="E1363">
        <v>5</v>
      </c>
      <c r="F1363">
        <v>9499</v>
      </c>
      <c r="G1363">
        <f>TbReceitas[[#This Row],[quantidade]]*TbReceitas[[#This Row],[preco_unitario]]</f>
        <v>47495</v>
      </c>
      <c r="H1363" t="str">
        <f>TEXT(TbReceitas[[#This Row],[data_transacao]], "aaaa-mm")</f>
        <v>2024-12</v>
      </c>
    </row>
    <row r="1364" spans="1:8">
      <c r="A1364">
        <v>1363</v>
      </c>
      <c r="B1364" s="1">
        <v>45842</v>
      </c>
      <c r="C1364" t="s">
        <v>1529</v>
      </c>
      <c r="D1364" t="s">
        <v>577</v>
      </c>
      <c r="E1364">
        <v>5</v>
      </c>
      <c r="F1364">
        <v>13816</v>
      </c>
      <c r="G1364">
        <f>TbReceitas[[#This Row],[quantidade]]*TbReceitas[[#This Row],[preco_unitario]]</f>
        <v>69080</v>
      </c>
      <c r="H1364" t="str">
        <f>TEXT(TbReceitas[[#This Row],[data_transacao]], "aaaa-mm")</f>
        <v>2025-07</v>
      </c>
    </row>
    <row r="1365" spans="1:8">
      <c r="A1365">
        <v>1364</v>
      </c>
      <c r="B1365" s="1">
        <v>45896</v>
      </c>
      <c r="C1365" t="s">
        <v>1530</v>
      </c>
      <c r="D1365" t="s">
        <v>608</v>
      </c>
      <c r="E1365">
        <v>2</v>
      </c>
      <c r="F1365">
        <v>752</v>
      </c>
      <c r="G1365">
        <f>TbReceitas[[#This Row],[quantidade]]*TbReceitas[[#This Row],[preco_unitario]]</f>
        <v>1504</v>
      </c>
      <c r="H1365" t="str">
        <f>TEXT(TbReceitas[[#This Row],[data_transacao]], "aaaa-mm")</f>
        <v>2025-08</v>
      </c>
    </row>
    <row r="1366" spans="1:8">
      <c r="A1366">
        <v>1365</v>
      </c>
      <c r="B1366" s="1">
        <v>45962</v>
      </c>
      <c r="C1366" t="s">
        <v>949</v>
      </c>
      <c r="D1366" t="s">
        <v>446</v>
      </c>
      <c r="E1366">
        <v>5</v>
      </c>
      <c r="F1366">
        <v>21448</v>
      </c>
      <c r="G1366">
        <f>TbReceitas[[#This Row],[quantidade]]*TbReceitas[[#This Row],[preco_unitario]]</f>
        <v>107240</v>
      </c>
      <c r="H1366" t="str">
        <f>TEXT(TbReceitas[[#This Row],[data_transacao]], "aaaa-mm")</f>
        <v>2025-11</v>
      </c>
    </row>
    <row r="1367" spans="1:8">
      <c r="A1367">
        <v>1366</v>
      </c>
      <c r="B1367" s="1">
        <v>45657</v>
      </c>
      <c r="C1367" t="s">
        <v>1531</v>
      </c>
      <c r="D1367" t="s">
        <v>606</v>
      </c>
      <c r="E1367">
        <v>5</v>
      </c>
      <c r="F1367">
        <v>7402</v>
      </c>
      <c r="G1367">
        <f>TbReceitas[[#This Row],[quantidade]]*TbReceitas[[#This Row],[preco_unitario]]</f>
        <v>37010</v>
      </c>
      <c r="H1367" t="str">
        <f>TEXT(TbReceitas[[#This Row],[data_transacao]], "aaaa-mm")</f>
        <v>2024-12</v>
      </c>
    </row>
    <row r="1368" spans="1:8">
      <c r="A1368">
        <v>1367</v>
      </c>
      <c r="B1368" s="1">
        <v>46191</v>
      </c>
      <c r="C1368" t="s">
        <v>1532</v>
      </c>
      <c r="D1368" t="s">
        <v>583</v>
      </c>
      <c r="E1368">
        <v>5</v>
      </c>
      <c r="F1368">
        <v>11009</v>
      </c>
      <c r="G1368">
        <f>TbReceitas[[#This Row],[quantidade]]*TbReceitas[[#This Row],[preco_unitario]]</f>
        <v>55045</v>
      </c>
      <c r="H1368" t="str">
        <f>TEXT(TbReceitas[[#This Row],[data_transacao]], "aaaa-mm")</f>
        <v>2026-06</v>
      </c>
    </row>
    <row r="1369" spans="1:8">
      <c r="A1369">
        <v>1368</v>
      </c>
      <c r="B1369" s="1">
        <v>45783</v>
      </c>
      <c r="C1369" t="s">
        <v>891</v>
      </c>
      <c r="D1369" t="s">
        <v>474</v>
      </c>
      <c r="E1369">
        <v>3</v>
      </c>
      <c r="F1369">
        <v>10801</v>
      </c>
      <c r="G1369">
        <f>TbReceitas[[#This Row],[quantidade]]*TbReceitas[[#This Row],[preco_unitario]]</f>
        <v>32403</v>
      </c>
      <c r="H1369" t="str">
        <f>TEXT(TbReceitas[[#This Row],[data_transacao]], "aaaa-mm")</f>
        <v>2025-05</v>
      </c>
    </row>
    <row r="1370" spans="1:8">
      <c r="A1370">
        <v>1369</v>
      </c>
      <c r="B1370" s="1">
        <v>46076</v>
      </c>
      <c r="C1370" t="s">
        <v>1533</v>
      </c>
      <c r="D1370" t="s">
        <v>152</v>
      </c>
      <c r="E1370">
        <v>1</v>
      </c>
      <c r="F1370">
        <v>23714</v>
      </c>
      <c r="G1370">
        <f>TbReceitas[[#This Row],[quantidade]]*TbReceitas[[#This Row],[preco_unitario]]</f>
        <v>23714</v>
      </c>
      <c r="H1370" t="str">
        <f>TEXT(TbReceitas[[#This Row],[data_transacao]], "aaaa-mm")</f>
        <v>2026-02</v>
      </c>
    </row>
    <row r="1371" spans="1:8">
      <c r="A1371">
        <v>1370</v>
      </c>
      <c r="B1371" s="1">
        <v>45668</v>
      </c>
      <c r="C1371" t="s">
        <v>1534</v>
      </c>
      <c r="D1371" t="s">
        <v>219</v>
      </c>
      <c r="E1371">
        <v>3</v>
      </c>
      <c r="F1371">
        <v>8633</v>
      </c>
      <c r="G1371">
        <f>TbReceitas[[#This Row],[quantidade]]*TbReceitas[[#This Row],[preco_unitario]]</f>
        <v>25899</v>
      </c>
      <c r="H1371" t="str">
        <f>TEXT(TbReceitas[[#This Row],[data_transacao]], "aaaa-mm")</f>
        <v>2025-01</v>
      </c>
    </row>
    <row r="1372" spans="1:8">
      <c r="A1372">
        <v>1371</v>
      </c>
      <c r="B1372" s="1">
        <v>45938</v>
      </c>
      <c r="C1372" t="s">
        <v>1535</v>
      </c>
      <c r="D1372" t="s">
        <v>592</v>
      </c>
      <c r="E1372">
        <v>4</v>
      </c>
      <c r="F1372">
        <v>11471</v>
      </c>
      <c r="G1372">
        <f>TbReceitas[[#This Row],[quantidade]]*TbReceitas[[#This Row],[preco_unitario]]</f>
        <v>45884</v>
      </c>
      <c r="H1372" t="str">
        <f>TEXT(TbReceitas[[#This Row],[data_transacao]], "aaaa-mm")</f>
        <v>2025-10</v>
      </c>
    </row>
    <row r="1373" spans="1:8">
      <c r="A1373">
        <v>1372</v>
      </c>
      <c r="B1373" s="1">
        <v>45940</v>
      </c>
      <c r="C1373" t="s">
        <v>732</v>
      </c>
      <c r="D1373" t="s">
        <v>693</v>
      </c>
      <c r="E1373">
        <v>3</v>
      </c>
      <c r="F1373">
        <v>128</v>
      </c>
      <c r="G1373">
        <f>TbReceitas[[#This Row],[quantidade]]*TbReceitas[[#This Row],[preco_unitario]]</f>
        <v>384</v>
      </c>
      <c r="H1373" t="str">
        <f>TEXT(TbReceitas[[#This Row],[data_transacao]], "aaaa-mm")</f>
        <v>2025-10</v>
      </c>
    </row>
    <row r="1374" spans="1:8">
      <c r="A1374">
        <v>1373</v>
      </c>
      <c r="B1374" s="1">
        <v>45878</v>
      </c>
      <c r="C1374" t="s">
        <v>796</v>
      </c>
      <c r="D1374" t="s">
        <v>346</v>
      </c>
      <c r="E1374">
        <v>3</v>
      </c>
      <c r="F1374">
        <v>9547</v>
      </c>
      <c r="G1374">
        <f>TbReceitas[[#This Row],[quantidade]]*TbReceitas[[#This Row],[preco_unitario]]</f>
        <v>28641</v>
      </c>
      <c r="H1374" t="str">
        <f>TEXT(TbReceitas[[#This Row],[data_transacao]], "aaaa-mm")</f>
        <v>2025-08</v>
      </c>
    </row>
    <row r="1375" spans="1:8">
      <c r="A1375">
        <v>1374</v>
      </c>
      <c r="B1375" s="1">
        <v>45601</v>
      </c>
      <c r="C1375" t="s">
        <v>989</v>
      </c>
      <c r="D1375" t="s">
        <v>311</v>
      </c>
      <c r="E1375">
        <v>4</v>
      </c>
      <c r="F1375">
        <v>9922</v>
      </c>
      <c r="G1375">
        <f>TbReceitas[[#This Row],[quantidade]]*TbReceitas[[#This Row],[preco_unitario]]</f>
        <v>39688</v>
      </c>
      <c r="H1375" t="str">
        <f>TEXT(TbReceitas[[#This Row],[data_transacao]], "aaaa-mm")</f>
        <v>2024-11</v>
      </c>
    </row>
    <row r="1376" spans="1:8">
      <c r="A1376">
        <v>1375</v>
      </c>
      <c r="B1376" s="1">
        <v>45672</v>
      </c>
      <c r="C1376" t="s">
        <v>879</v>
      </c>
      <c r="D1376" t="s">
        <v>241</v>
      </c>
      <c r="E1376">
        <v>3</v>
      </c>
      <c r="F1376">
        <v>19575</v>
      </c>
      <c r="G1376">
        <f>TbReceitas[[#This Row],[quantidade]]*TbReceitas[[#This Row],[preco_unitario]]</f>
        <v>58725</v>
      </c>
      <c r="H1376" t="str">
        <f>TEXT(TbReceitas[[#This Row],[data_transacao]], "aaaa-mm")</f>
        <v>2025-01</v>
      </c>
    </row>
    <row r="1377" spans="1:8">
      <c r="A1377">
        <v>1376</v>
      </c>
      <c r="B1377" s="1">
        <v>46275</v>
      </c>
      <c r="C1377" t="s">
        <v>856</v>
      </c>
      <c r="D1377" t="s">
        <v>40</v>
      </c>
      <c r="E1377">
        <v>4</v>
      </c>
      <c r="F1377">
        <v>736</v>
      </c>
      <c r="G1377">
        <f>TbReceitas[[#This Row],[quantidade]]*TbReceitas[[#This Row],[preco_unitario]]</f>
        <v>2944</v>
      </c>
      <c r="H1377" t="str">
        <f>TEXT(TbReceitas[[#This Row],[data_transacao]], "aaaa-mm")</f>
        <v>2026-09</v>
      </c>
    </row>
    <row r="1378" spans="1:8">
      <c r="A1378">
        <v>1377</v>
      </c>
      <c r="B1378" s="1">
        <v>45963</v>
      </c>
      <c r="C1378" t="s">
        <v>1391</v>
      </c>
      <c r="D1378" t="s">
        <v>205</v>
      </c>
      <c r="E1378">
        <v>2</v>
      </c>
      <c r="F1378">
        <v>1639</v>
      </c>
      <c r="G1378">
        <f>TbReceitas[[#This Row],[quantidade]]*TbReceitas[[#This Row],[preco_unitario]]</f>
        <v>3278</v>
      </c>
      <c r="H1378" t="str">
        <f>TEXT(TbReceitas[[#This Row],[data_transacao]], "aaaa-mm")</f>
        <v>2025-11</v>
      </c>
    </row>
    <row r="1379" spans="1:8">
      <c r="A1379">
        <v>1378</v>
      </c>
      <c r="B1379" s="1">
        <v>45986</v>
      </c>
      <c r="C1379" t="s">
        <v>838</v>
      </c>
      <c r="D1379" t="s">
        <v>428</v>
      </c>
      <c r="E1379">
        <v>1</v>
      </c>
      <c r="F1379">
        <v>19405</v>
      </c>
      <c r="G1379">
        <f>TbReceitas[[#This Row],[quantidade]]*TbReceitas[[#This Row],[preco_unitario]]</f>
        <v>19405</v>
      </c>
      <c r="H1379" t="str">
        <f>TEXT(TbReceitas[[#This Row],[data_transacao]], "aaaa-mm")</f>
        <v>2025-11</v>
      </c>
    </row>
    <row r="1380" spans="1:8">
      <c r="A1380">
        <v>1379</v>
      </c>
      <c r="B1380" s="1">
        <v>45994</v>
      </c>
      <c r="C1380" t="s">
        <v>773</v>
      </c>
      <c r="D1380" t="s">
        <v>1392</v>
      </c>
      <c r="E1380">
        <v>5</v>
      </c>
      <c r="F1380">
        <v>346</v>
      </c>
      <c r="G1380">
        <f>TbReceitas[[#This Row],[quantidade]]*TbReceitas[[#This Row],[preco_unitario]]</f>
        <v>1730</v>
      </c>
      <c r="H1380" t="str">
        <f>TEXT(TbReceitas[[#This Row],[data_transacao]], "aaaa-mm")</f>
        <v>2025-12</v>
      </c>
    </row>
    <row r="1381" spans="1:8">
      <c r="A1381">
        <v>1380</v>
      </c>
      <c r="B1381" s="1">
        <v>45987</v>
      </c>
      <c r="C1381" t="s">
        <v>1438</v>
      </c>
      <c r="D1381" t="s">
        <v>600</v>
      </c>
      <c r="E1381">
        <v>3</v>
      </c>
      <c r="F1381">
        <v>16392</v>
      </c>
      <c r="G1381">
        <f>TbReceitas[[#This Row],[quantidade]]*TbReceitas[[#This Row],[preco_unitario]]</f>
        <v>49176</v>
      </c>
      <c r="H1381" t="str">
        <f>TEXT(TbReceitas[[#This Row],[data_transacao]], "aaaa-mm")</f>
        <v>2025-11</v>
      </c>
    </row>
    <row r="1382" spans="1:8">
      <c r="A1382">
        <v>1381</v>
      </c>
      <c r="B1382" s="1">
        <v>46114</v>
      </c>
      <c r="C1382" t="s">
        <v>1531</v>
      </c>
      <c r="D1382" t="s">
        <v>590</v>
      </c>
      <c r="E1382">
        <v>3</v>
      </c>
      <c r="F1382">
        <v>195</v>
      </c>
      <c r="G1382">
        <f>TbReceitas[[#This Row],[quantidade]]*TbReceitas[[#This Row],[preco_unitario]]</f>
        <v>585</v>
      </c>
      <c r="H1382" t="str">
        <f>TEXT(TbReceitas[[#This Row],[data_transacao]], "aaaa-mm")</f>
        <v>2026-04</v>
      </c>
    </row>
    <row r="1383" spans="1:8">
      <c r="A1383">
        <v>1382</v>
      </c>
      <c r="B1383" s="1">
        <v>45753</v>
      </c>
      <c r="C1383" t="s">
        <v>945</v>
      </c>
      <c r="D1383" t="s">
        <v>606</v>
      </c>
      <c r="E1383">
        <v>4</v>
      </c>
      <c r="F1383">
        <v>7402</v>
      </c>
      <c r="G1383">
        <f>TbReceitas[[#This Row],[quantidade]]*TbReceitas[[#This Row],[preco_unitario]]</f>
        <v>29608</v>
      </c>
      <c r="H1383" t="str">
        <f>TEXT(TbReceitas[[#This Row],[data_transacao]], "aaaa-mm")</f>
        <v>2025-04</v>
      </c>
    </row>
    <row r="1384" spans="1:8">
      <c r="A1384">
        <v>1383</v>
      </c>
      <c r="B1384" s="1">
        <v>46258</v>
      </c>
      <c r="C1384" t="s">
        <v>1142</v>
      </c>
      <c r="D1384" t="s">
        <v>156</v>
      </c>
      <c r="E1384">
        <v>4</v>
      </c>
      <c r="F1384">
        <v>20451</v>
      </c>
      <c r="G1384">
        <f>TbReceitas[[#This Row],[quantidade]]*TbReceitas[[#This Row],[preco_unitario]]</f>
        <v>81804</v>
      </c>
      <c r="H1384" t="str">
        <f>TEXT(TbReceitas[[#This Row],[data_transacao]], "aaaa-mm")</f>
        <v>2026-08</v>
      </c>
    </row>
    <row r="1385" spans="1:8">
      <c r="A1385">
        <v>1384</v>
      </c>
      <c r="B1385" s="1">
        <v>46254</v>
      </c>
      <c r="C1385" t="s">
        <v>1536</v>
      </c>
      <c r="D1385" t="s">
        <v>235</v>
      </c>
      <c r="E1385">
        <v>3</v>
      </c>
      <c r="F1385">
        <v>3762</v>
      </c>
      <c r="G1385">
        <f>TbReceitas[[#This Row],[quantidade]]*TbReceitas[[#This Row],[preco_unitario]]</f>
        <v>11286</v>
      </c>
      <c r="H1385" t="str">
        <f>TEXT(TbReceitas[[#This Row],[data_transacao]], "aaaa-mm")</f>
        <v>2026-08</v>
      </c>
    </row>
    <row r="1386" spans="1:8">
      <c r="A1386">
        <v>1385</v>
      </c>
      <c r="B1386" s="1">
        <v>45692</v>
      </c>
      <c r="C1386" t="s">
        <v>1049</v>
      </c>
      <c r="D1386" t="s">
        <v>694</v>
      </c>
      <c r="E1386">
        <v>5</v>
      </c>
      <c r="F1386">
        <v>939</v>
      </c>
      <c r="G1386">
        <f>TbReceitas[[#This Row],[quantidade]]*TbReceitas[[#This Row],[preco_unitario]]</f>
        <v>4695</v>
      </c>
      <c r="H1386" t="str">
        <f>TEXT(TbReceitas[[#This Row],[data_transacao]], "aaaa-mm")</f>
        <v>2025-02</v>
      </c>
    </row>
    <row r="1387" spans="1:8">
      <c r="A1387">
        <v>1386</v>
      </c>
      <c r="B1387" s="1">
        <v>46157</v>
      </c>
      <c r="C1387" t="s">
        <v>1537</v>
      </c>
      <c r="D1387" t="s">
        <v>140</v>
      </c>
      <c r="E1387">
        <v>3</v>
      </c>
      <c r="F1387">
        <v>7855</v>
      </c>
      <c r="G1387">
        <f>TbReceitas[[#This Row],[quantidade]]*TbReceitas[[#This Row],[preco_unitario]]</f>
        <v>23565</v>
      </c>
      <c r="H1387" t="str">
        <f>TEXT(TbReceitas[[#This Row],[data_transacao]], "aaaa-mm")</f>
        <v>2026-05</v>
      </c>
    </row>
    <row r="1388" spans="1:8">
      <c r="A1388">
        <v>1387</v>
      </c>
      <c r="B1388" s="1">
        <v>45799</v>
      </c>
      <c r="C1388" t="s">
        <v>1110</v>
      </c>
      <c r="D1388" t="s">
        <v>513</v>
      </c>
      <c r="E1388">
        <v>3</v>
      </c>
      <c r="F1388">
        <v>4198</v>
      </c>
      <c r="G1388">
        <f>TbReceitas[[#This Row],[quantidade]]*TbReceitas[[#This Row],[preco_unitario]]</f>
        <v>12594</v>
      </c>
      <c r="H1388" t="str">
        <f>TEXT(TbReceitas[[#This Row],[data_transacao]], "aaaa-mm")</f>
        <v>2025-05</v>
      </c>
    </row>
    <row r="1389" spans="1:8">
      <c r="A1389">
        <v>1388</v>
      </c>
      <c r="B1389" s="1">
        <v>45595</v>
      </c>
      <c r="C1389" t="s">
        <v>742</v>
      </c>
      <c r="D1389" t="s">
        <v>181</v>
      </c>
      <c r="E1389">
        <v>4</v>
      </c>
      <c r="F1389">
        <v>1091</v>
      </c>
      <c r="G1389">
        <f>TbReceitas[[#This Row],[quantidade]]*TbReceitas[[#This Row],[preco_unitario]]</f>
        <v>4364</v>
      </c>
      <c r="H1389" t="str">
        <f>TEXT(TbReceitas[[#This Row],[data_transacao]], "aaaa-mm")</f>
        <v>2024-10</v>
      </c>
    </row>
    <row r="1390" spans="1:8">
      <c r="A1390">
        <v>1389</v>
      </c>
      <c r="B1390" s="1">
        <v>46124</v>
      </c>
      <c r="C1390" t="s">
        <v>1108</v>
      </c>
      <c r="D1390" t="s">
        <v>215</v>
      </c>
      <c r="E1390">
        <v>3</v>
      </c>
      <c r="F1390">
        <v>6467</v>
      </c>
      <c r="G1390">
        <f>TbReceitas[[#This Row],[quantidade]]*TbReceitas[[#This Row],[preco_unitario]]</f>
        <v>19401</v>
      </c>
      <c r="H1390" t="str">
        <f>TEXT(TbReceitas[[#This Row],[data_transacao]], "aaaa-mm")</f>
        <v>2026-04</v>
      </c>
    </row>
    <row r="1391" spans="1:8">
      <c r="A1391">
        <v>1390</v>
      </c>
      <c r="B1391" s="1">
        <v>46144</v>
      </c>
      <c r="C1391" t="s">
        <v>1274</v>
      </c>
      <c r="D1391" t="s">
        <v>607</v>
      </c>
      <c r="E1391">
        <v>2</v>
      </c>
      <c r="F1391">
        <v>22971</v>
      </c>
      <c r="G1391">
        <f>TbReceitas[[#This Row],[quantidade]]*TbReceitas[[#This Row],[preco_unitario]]</f>
        <v>45942</v>
      </c>
      <c r="H1391" t="str">
        <f>TEXT(TbReceitas[[#This Row],[data_transacao]], "aaaa-mm")</f>
        <v>2026-05</v>
      </c>
    </row>
    <row r="1392" spans="1:8">
      <c r="A1392">
        <v>1391</v>
      </c>
      <c r="B1392" s="1">
        <v>46084</v>
      </c>
      <c r="C1392" t="s">
        <v>1288</v>
      </c>
      <c r="D1392" t="s">
        <v>50</v>
      </c>
      <c r="E1392">
        <v>1</v>
      </c>
      <c r="F1392">
        <v>24763</v>
      </c>
      <c r="G1392">
        <f>TbReceitas[[#This Row],[quantidade]]*TbReceitas[[#This Row],[preco_unitario]]</f>
        <v>24763</v>
      </c>
      <c r="H1392" t="str">
        <f>TEXT(TbReceitas[[#This Row],[data_transacao]], "aaaa-mm")</f>
        <v>2026-03</v>
      </c>
    </row>
    <row r="1393" spans="1:8">
      <c r="A1393">
        <v>1392</v>
      </c>
      <c r="B1393" s="1">
        <v>45984</v>
      </c>
      <c r="C1393" t="s">
        <v>1021</v>
      </c>
      <c r="D1393" t="s">
        <v>94</v>
      </c>
      <c r="E1393">
        <v>5</v>
      </c>
      <c r="F1393">
        <v>11961</v>
      </c>
      <c r="G1393">
        <f>TbReceitas[[#This Row],[quantidade]]*TbReceitas[[#This Row],[preco_unitario]]</f>
        <v>59805</v>
      </c>
      <c r="H1393" t="str">
        <f>TEXT(TbReceitas[[#This Row],[data_transacao]], "aaaa-mm")</f>
        <v>2025-11</v>
      </c>
    </row>
    <row r="1394" spans="1:8">
      <c r="A1394">
        <v>1393</v>
      </c>
      <c r="B1394" s="1">
        <v>46192</v>
      </c>
      <c r="C1394" t="s">
        <v>1538</v>
      </c>
      <c r="D1394" t="s">
        <v>510</v>
      </c>
      <c r="E1394">
        <v>3</v>
      </c>
      <c r="F1394">
        <v>16197</v>
      </c>
      <c r="G1394">
        <f>TbReceitas[[#This Row],[quantidade]]*TbReceitas[[#This Row],[preco_unitario]]</f>
        <v>48591</v>
      </c>
      <c r="H1394" t="str">
        <f>TEXT(TbReceitas[[#This Row],[data_transacao]], "aaaa-mm")</f>
        <v>2026-06</v>
      </c>
    </row>
    <row r="1395" spans="1:8">
      <c r="A1395">
        <v>1394</v>
      </c>
      <c r="B1395" s="1">
        <v>45618</v>
      </c>
      <c r="C1395" t="s">
        <v>1539</v>
      </c>
      <c r="D1395" t="s">
        <v>585</v>
      </c>
      <c r="E1395">
        <v>5</v>
      </c>
      <c r="F1395">
        <v>19456</v>
      </c>
      <c r="G1395">
        <f>TbReceitas[[#This Row],[quantidade]]*TbReceitas[[#This Row],[preco_unitario]]</f>
        <v>97280</v>
      </c>
      <c r="H1395" t="str">
        <f>TEXT(TbReceitas[[#This Row],[data_transacao]], "aaaa-mm")</f>
        <v>2024-11</v>
      </c>
    </row>
    <row r="1396" spans="1:8">
      <c r="A1396">
        <v>1395</v>
      </c>
      <c r="B1396" s="1">
        <v>45616</v>
      </c>
      <c r="C1396" t="s">
        <v>1234</v>
      </c>
      <c r="D1396" t="s">
        <v>389</v>
      </c>
      <c r="E1396">
        <v>3</v>
      </c>
      <c r="F1396">
        <v>9915</v>
      </c>
      <c r="G1396">
        <f>TbReceitas[[#This Row],[quantidade]]*TbReceitas[[#This Row],[preco_unitario]]</f>
        <v>29745</v>
      </c>
      <c r="H1396" t="str">
        <f>TEXT(TbReceitas[[#This Row],[data_transacao]], "aaaa-mm")</f>
        <v>2024-11</v>
      </c>
    </row>
    <row r="1397" spans="1:8">
      <c r="A1397">
        <v>1396</v>
      </c>
      <c r="B1397" s="1">
        <v>45939</v>
      </c>
      <c r="C1397" t="s">
        <v>858</v>
      </c>
      <c r="D1397" t="s">
        <v>516</v>
      </c>
      <c r="E1397">
        <v>3</v>
      </c>
      <c r="F1397">
        <v>4039</v>
      </c>
      <c r="G1397">
        <f>TbReceitas[[#This Row],[quantidade]]*TbReceitas[[#This Row],[preco_unitario]]</f>
        <v>12117</v>
      </c>
      <c r="H1397" t="str">
        <f>TEXT(TbReceitas[[#This Row],[data_transacao]], "aaaa-mm")</f>
        <v>2025-10</v>
      </c>
    </row>
    <row r="1398" spans="1:8">
      <c r="A1398">
        <v>1397</v>
      </c>
      <c r="B1398" s="1">
        <v>46098</v>
      </c>
      <c r="C1398" t="s">
        <v>1540</v>
      </c>
      <c r="D1398" t="s">
        <v>302</v>
      </c>
      <c r="E1398">
        <v>1</v>
      </c>
      <c r="F1398">
        <v>3276</v>
      </c>
      <c r="G1398">
        <f>TbReceitas[[#This Row],[quantidade]]*TbReceitas[[#This Row],[preco_unitario]]</f>
        <v>3276</v>
      </c>
      <c r="H1398" t="str">
        <f>TEXT(TbReceitas[[#This Row],[data_transacao]], "aaaa-mm")</f>
        <v>2026-03</v>
      </c>
    </row>
    <row r="1399" spans="1:8">
      <c r="A1399">
        <v>1398</v>
      </c>
      <c r="B1399" s="1">
        <v>46114</v>
      </c>
      <c r="C1399" t="s">
        <v>1242</v>
      </c>
      <c r="D1399" t="s">
        <v>503</v>
      </c>
      <c r="E1399">
        <v>5</v>
      </c>
      <c r="F1399">
        <v>6899</v>
      </c>
      <c r="G1399">
        <f>TbReceitas[[#This Row],[quantidade]]*TbReceitas[[#This Row],[preco_unitario]]</f>
        <v>34495</v>
      </c>
      <c r="H1399" t="str">
        <f>TEXT(TbReceitas[[#This Row],[data_transacao]], "aaaa-mm")</f>
        <v>2026-04</v>
      </c>
    </row>
    <row r="1400" spans="1:8">
      <c r="A1400">
        <v>1399</v>
      </c>
      <c r="B1400" s="1">
        <v>45796</v>
      </c>
      <c r="C1400" t="s">
        <v>1541</v>
      </c>
      <c r="D1400" t="s">
        <v>81</v>
      </c>
      <c r="E1400">
        <v>5</v>
      </c>
      <c r="F1400">
        <v>9521</v>
      </c>
      <c r="G1400">
        <f>TbReceitas[[#This Row],[quantidade]]*TbReceitas[[#This Row],[preco_unitario]]</f>
        <v>47605</v>
      </c>
      <c r="H1400" t="str">
        <f>TEXT(TbReceitas[[#This Row],[data_transacao]], "aaaa-mm")</f>
        <v>2025-05</v>
      </c>
    </row>
    <row r="1401" spans="1:8">
      <c r="A1401">
        <v>1400</v>
      </c>
      <c r="B1401" s="1">
        <v>45561</v>
      </c>
      <c r="C1401" t="s">
        <v>1175</v>
      </c>
      <c r="D1401" t="s">
        <v>670</v>
      </c>
      <c r="E1401">
        <v>1</v>
      </c>
      <c r="F1401">
        <v>23664</v>
      </c>
      <c r="G1401">
        <f>TbReceitas[[#This Row],[quantidade]]*TbReceitas[[#This Row],[preco_unitario]]</f>
        <v>23664</v>
      </c>
      <c r="H1401" t="str">
        <f>TEXT(TbReceitas[[#This Row],[data_transacao]], "aaaa-mm")</f>
        <v>2024-09</v>
      </c>
    </row>
    <row r="1402" spans="1:8">
      <c r="A1402">
        <v>1401</v>
      </c>
      <c r="B1402" s="1">
        <v>45630</v>
      </c>
      <c r="C1402" t="s">
        <v>1024</v>
      </c>
      <c r="D1402" t="s">
        <v>76</v>
      </c>
      <c r="E1402">
        <v>3</v>
      </c>
      <c r="F1402">
        <v>23998</v>
      </c>
      <c r="G1402">
        <f>TbReceitas[[#This Row],[quantidade]]*TbReceitas[[#This Row],[preco_unitario]]</f>
        <v>71994</v>
      </c>
      <c r="H1402" t="str">
        <f>TEXT(TbReceitas[[#This Row],[data_transacao]], "aaaa-mm")</f>
        <v>2024-12</v>
      </c>
    </row>
    <row r="1403" spans="1:8">
      <c r="A1403">
        <v>1402</v>
      </c>
      <c r="B1403" s="1">
        <v>45892</v>
      </c>
      <c r="C1403" t="s">
        <v>1264</v>
      </c>
      <c r="D1403" t="s">
        <v>345</v>
      </c>
      <c r="E1403">
        <v>1</v>
      </c>
      <c r="F1403">
        <v>2298</v>
      </c>
      <c r="G1403">
        <f>TbReceitas[[#This Row],[quantidade]]*TbReceitas[[#This Row],[preco_unitario]]</f>
        <v>2298</v>
      </c>
      <c r="H1403" t="str">
        <f>TEXT(TbReceitas[[#This Row],[data_transacao]], "aaaa-mm")</f>
        <v>2025-08</v>
      </c>
    </row>
    <row r="1404" spans="1:8">
      <c r="A1404">
        <v>1403</v>
      </c>
      <c r="B1404" s="1">
        <v>45584</v>
      </c>
      <c r="C1404" t="s">
        <v>1542</v>
      </c>
      <c r="D1404" t="s">
        <v>589</v>
      </c>
      <c r="E1404">
        <v>4</v>
      </c>
      <c r="F1404">
        <v>6421</v>
      </c>
      <c r="G1404">
        <f>TbReceitas[[#This Row],[quantidade]]*TbReceitas[[#This Row],[preco_unitario]]</f>
        <v>25684</v>
      </c>
      <c r="H1404" t="str">
        <f>TEXT(TbReceitas[[#This Row],[data_transacao]], "aaaa-mm")</f>
        <v>2024-10</v>
      </c>
    </row>
    <row r="1405" spans="1:8">
      <c r="A1405">
        <v>1404</v>
      </c>
      <c r="B1405" s="1">
        <v>46071</v>
      </c>
      <c r="C1405" t="s">
        <v>1218</v>
      </c>
      <c r="D1405" t="s">
        <v>543</v>
      </c>
      <c r="E1405">
        <v>5</v>
      </c>
      <c r="F1405">
        <v>1944</v>
      </c>
      <c r="G1405">
        <f>TbReceitas[[#This Row],[quantidade]]*TbReceitas[[#This Row],[preco_unitario]]</f>
        <v>9720</v>
      </c>
      <c r="H1405" t="str">
        <f>TEXT(TbReceitas[[#This Row],[data_transacao]], "aaaa-mm")</f>
        <v>2026-02</v>
      </c>
    </row>
    <row r="1406" spans="1:8">
      <c r="A1406">
        <v>1405</v>
      </c>
      <c r="B1406" s="1">
        <v>45836</v>
      </c>
      <c r="C1406" t="s">
        <v>1084</v>
      </c>
      <c r="D1406" t="s">
        <v>203</v>
      </c>
      <c r="E1406">
        <v>3</v>
      </c>
      <c r="F1406">
        <v>1934</v>
      </c>
      <c r="G1406">
        <f>TbReceitas[[#This Row],[quantidade]]*TbReceitas[[#This Row],[preco_unitario]]</f>
        <v>5802</v>
      </c>
      <c r="H1406" t="str">
        <f>TEXT(TbReceitas[[#This Row],[data_transacao]], "aaaa-mm")</f>
        <v>2025-06</v>
      </c>
    </row>
    <row r="1407" spans="1:8">
      <c r="A1407">
        <v>1406</v>
      </c>
      <c r="B1407" s="1">
        <v>46083</v>
      </c>
      <c r="C1407" t="s">
        <v>1543</v>
      </c>
      <c r="D1407" t="s">
        <v>454</v>
      </c>
      <c r="E1407">
        <v>3</v>
      </c>
      <c r="F1407">
        <v>4692</v>
      </c>
      <c r="G1407">
        <f>TbReceitas[[#This Row],[quantidade]]*TbReceitas[[#This Row],[preco_unitario]]</f>
        <v>14076</v>
      </c>
      <c r="H1407" t="str">
        <f>TEXT(TbReceitas[[#This Row],[data_transacao]], "aaaa-mm")</f>
        <v>2026-03</v>
      </c>
    </row>
    <row r="1408" spans="1:8">
      <c r="A1408">
        <v>1407</v>
      </c>
      <c r="B1408" s="1">
        <v>46146</v>
      </c>
      <c r="C1408" t="s">
        <v>776</v>
      </c>
      <c r="D1408" t="s">
        <v>255</v>
      </c>
      <c r="E1408">
        <v>2</v>
      </c>
      <c r="F1408">
        <v>16027</v>
      </c>
      <c r="G1408">
        <f>TbReceitas[[#This Row],[quantidade]]*TbReceitas[[#This Row],[preco_unitario]]</f>
        <v>32054</v>
      </c>
      <c r="H1408" t="str">
        <f>TEXT(TbReceitas[[#This Row],[data_transacao]], "aaaa-mm")</f>
        <v>2026-05</v>
      </c>
    </row>
    <row r="1409" spans="1:8">
      <c r="A1409">
        <v>1408</v>
      </c>
      <c r="B1409" s="1">
        <v>45781</v>
      </c>
      <c r="C1409" t="s">
        <v>1417</v>
      </c>
      <c r="D1409" t="s">
        <v>385</v>
      </c>
      <c r="E1409">
        <v>3</v>
      </c>
      <c r="F1409">
        <v>10607</v>
      </c>
      <c r="G1409">
        <f>TbReceitas[[#This Row],[quantidade]]*TbReceitas[[#This Row],[preco_unitario]]</f>
        <v>31821</v>
      </c>
      <c r="H1409" t="str">
        <f>TEXT(TbReceitas[[#This Row],[data_transacao]], "aaaa-mm")</f>
        <v>2025-05</v>
      </c>
    </row>
    <row r="1410" spans="1:8">
      <c r="A1410">
        <v>1409</v>
      </c>
      <c r="B1410" s="1">
        <v>46015</v>
      </c>
      <c r="C1410" t="s">
        <v>1250</v>
      </c>
      <c r="D1410" t="s">
        <v>616</v>
      </c>
      <c r="E1410">
        <v>3</v>
      </c>
      <c r="F1410">
        <v>23118</v>
      </c>
      <c r="G1410">
        <f>TbReceitas[[#This Row],[quantidade]]*TbReceitas[[#This Row],[preco_unitario]]</f>
        <v>69354</v>
      </c>
      <c r="H1410" t="str">
        <f>TEXT(TbReceitas[[#This Row],[data_transacao]], "aaaa-mm")</f>
        <v>2025-12</v>
      </c>
    </row>
    <row r="1411" spans="1:8">
      <c r="A1411">
        <v>1410</v>
      </c>
      <c r="B1411" s="1">
        <v>45971</v>
      </c>
      <c r="C1411" t="s">
        <v>766</v>
      </c>
      <c r="D1411" t="s">
        <v>553</v>
      </c>
      <c r="E1411">
        <v>3</v>
      </c>
      <c r="F1411">
        <v>106</v>
      </c>
      <c r="G1411">
        <f>TbReceitas[[#This Row],[quantidade]]*TbReceitas[[#This Row],[preco_unitario]]</f>
        <v>318</v>
      </c>
      <c r="H1411" t="str">
        <f>TEXT(TbReceitas[[#This Row],[data_transacao]], "aaaa-mm")</f>
        <v>2025-11</v>
      </c>
    </row>
    <row r="1412" spans="1:8">
      <c r="A1412">
        <v>1411</v>
      </c>
      <c r="B1412" s="1">
        <v>45599</v>
      </c>
      <c r="C1412" t="s">
        <v>974</v>
      </c>
      <c r="D1412" t="s">
        <v>877</v>
      </c>
      <c r="E1412">
        <v>3</v>
      </c>
      <c r="F1412">
        <v>23184</v>
      </c>
      <c r="G1412">
        <f>TbReceitas[[#This Row],[quantidade]]*TbReceitas[[#This Row],[preco_unitario]]</f>
        <v>69552</v>
      </c>
      <c r="H1412" t="str">
        <f>TEXT(TbReceitas[[#This Row],[data_transacao]], "aaaa-mm")</f>
        <v>2024-11</v>
      </c>
    </row>
    <row r="1413" spans="1:8">
      <c r="A1413">
        <v>1412</v>
      </c>
      <c r="B1413" s="1">
        <v>45576</v>
      </c>
      <c r="C1413" t="s">
        <v>711</v>
      </c>
      <c r="D1413" t="s">
        <v>33</v>
      </c>
      <c r="E1413">
        <v>2</v>
      </c>
      <c r="F1413">
        <v>20998</v>
      </c>
      <c r="G1413">
        <f>TbReceitas[[#This Row],[quantidade]]*TbReceitas[[#This Row],[preco_unitario]]</f>
        <v>41996</v>
      </c>
      <c r="H1413" t="str">
        <f>TEXT(TbReceitas[[#This Row],[data_transacao]], "aaaa-mm")</f>
        <v>2024-10</v>
      </c>
    </row>
    <row r="1414" spans="1:8">
      <c r="A1414">
        <v>1413</v>
      </c>
      <c r="B1414" s="1">
        <v>45990</v>
      </c>
      <c r="C1414" t="s">
        <v>1091</v>
      </c>
      <c r="D1414" t="s">
        <v>346</v>
      </c>
      <c r="E1414">
        <v>2</v>
      </c>
      <c r="F1414">
        <v>9547</v>
      </c>
      <c r="G1414">
        <f>TbReceitas[[#This Row],[quantidade]]*TbReceitas[[#This Row],[preco_unitario]]</f>
        <v>19094</v>
      </c>
      <c r="H1414" t="str">
        <f>TEXT(TbReceitas[[#This Row],[data_transacao]], "aaaa-mm")</f>
        <v>2025-11</v>
      </c>
    </row>
    <row r="1415" spans="1:8">
      <c r="A1415">
        <v>1414</v>
      </c>
      <c r="B1415" s="1">
        <v>45552</v>
      </c>
      <c r="C1415" t="s">
        <v>1434</v>
      </c>
      <c r="D1415" t="s">
        <v>74</v>
      </c>
      <c r="E1415">
        <v>1</v>
      </c>
      <c r="F1415">
        <v>22125</v>
      </c>
      <c r="G1415">
        <f>TbReceitas[[#This Row],[quantidade]]*TbReceitas[[#This Row],[preco_unitario]]</f>
        <v>22125</v>
      </c>
      <c r="H1415" t="str">
        <f>TEXT(TbReceitas[[#This Row],[data_transacao]], "aaaa-mm")</f>
        <v>2024-09</v>
      </c>
    </row>
    <row r="1416" spans="1:8">
      <c r="A1416">
        <v>1415</v>
      </c>
      <c r="B1416" s="1">
        <v>46096</v>
      </c>
      <c r="C1416" t="s">
        <v>1544</v>
      </c>
      <c r="D1416" t="s">
        <v>410</v>
      </c>
      <c r="E1416">
        <v>3</v>
      </c>
      <c r="F1416">
        <v>11982</v>
      </c>
      <c r="G1416">
        <f>TbReceitas[[#This Row],[quantidade]]*TbReceitas[[#This Row],[preco_unitario]]</f>
        <v>35946</v>
      </c>
      <c r="H1416" t="str">
        <f>TEXT(TbReceitas[[#This Row],[data_transacao]], "aaaa-mm")</f>
        <v>2026-03</v>
      </c>
    </row>
    <row r="1417" spans="1:8">
      <c r="A1417">
        <v>1416</v>
      </c>
      <c r="B1417" s="1">
        <v>45557</v>
      </c>
      <c r="C1417" t="s">
        <v>786</v>
      </c>
      <c r="D1417" t="s">
        <v>364</v>
      </c>
      <c r="E1417">
        <v>4</v>
      </c>
      <c r="F1417">
        <v>176</v>
      </c>
      <c r="G1417">
        <f>TbReceitas[[#This Row],[quantidade]]*TbReceitas[[#This Row],[preco_unitario]]</f>
        <v>704</v>
      </c>
      <c r="H1417" t="str">
        <f>TEXT(TbReceitas[[#This Row],[data_transacao]], "aaaa-mm")</f>
        <v>2024-09</v>
      </c>
    </row>
    <row r="1418" spans="1:8">
      <c r="A1418">
        <v>1417</v>
      </c>
      <c r="B1418" s="1">
        <v>45926</v>
      </c>
      <c r="C1418" t="s">
        <v>831</v>
      </c>
      <c r="D1418" t="s">
        <v>534</v>
      </c>
      <c r="E1418">
        <v>2</v>
      </c>
      <c r="F1418">
        <v>1886</v>
      </c>
      <c r="G1418">
        <f>TbReceitas[[#This Row],[quantidade]]*TbReceitas[[#This Row],[preco_unitario]]</f>
        <v>3772</v>
      </c>
      <c r="H1418" t="str">
        <f>TEXT(TbReceitas[[#This Row],[data_transacao]], "aaaa-mm")</f>
        <v>2025-09</v>
      </c>
    </row>
    <row r="1419" spans="1:8">
      <c r="A1419">
        <v>1418</v>
      </c>
      <c r="B1419" s="1">
        <v>46021</v>
      </c>
      <c r="C1419" t="s">
        <v>1247</v>
      </c>
      <c r="D1419" t="s">
        <v>456</v>
      </c>
      <c r="E1419">
        <v>2</v>
      </c>
      <c r="F1419">
        <v>4361</v>
      </c>
      <c r="G1419">
        <f>TbReceitas[[#This Row],[quantidade]]*TbReceitas[[#This Row],[preco_unitario]]</f>
        <v>8722</v>
      </c>
      <c r="H1419" t="str">
        <f>TEXT(TbReceitas[[#This Row],[data_transacao]], "aaaa-mm")</f>
        <v>2025-12</v>
      </c>
    </row>
    <row r="1420" spans="1:8">
      <c r="A1420">
        <v>1419</v>
      </c>
      <c r="B1420" s="1">
        <v>46217</v>
      </c>
      <c r="C1420" t="s">
        <v>808</v>
      </c>
      <c r="D1420" t="s">
        <v>275</v>
      </c>
      <c r="E1420">
        <v>4</v>
      </c>
      <c r="F1420">
        <v>1708</v>
      </c>
      <c r="G1420">
        <f>TbReceitas[[#This Row],[quantidade]]*TbReceitas[[#This Row],[preco_unitario]]</f>
        <v>6832</v>
      </c>
      <c r="H1420" t="str">
        <f>TEXT(TbReceitas[[#This Row],[data_transacao]], "aaaa-mm")</f>
        <v>2026-07</v>
      </c>
    </row>
    <row r="1421" spans="1:8">
      <c r="A1421">
        <v>1420</v>
      </c>
      <c r="B1421" s="1">
        <v>46102</v>
      </c>
      <c r="C1421" t="s">
        <v>1545</v>
      </c>
      <c r="D1421" t="s">
        <v>465</v>
      </c>
      <c r="E1421">
        <v>4</v>
      </c>
      <c r="F1421">
        <v>6944</v>
      </c>
      <c r="G1421">
        <f>TbReceitas[[#This Row],[quantidade]]*TbReceitas[[#This Row],[preco_unitario]]</f>
        <v>27776</v>
      </c>
      <c r="H1421" t="str">
        <f>TEXT(TbReceitas[[#This Row],[data_transacao]], "aaaa-mm")</f>
        <v>2026-03</v>
      </c>
    </row>
    <row r="1422" spans="1:8">
      <c r="A1422">
        <v>1421</v>
      </c>
      <c r="B1422" s="1">
        <v>46100</v>
      </c>
      <c r="C1422" t="s">
        <v>718</v>
      </c>
      <c r="D1422" t="s">
        <v>531</v>
      </c>
      <c r="E1422">
        <v>5</v>
      </c>
      <c r="F1422">
        <v>5033</v>
      </c>
      <c r="G1422">
        <f>TbReceitas[[#This Row],[quantidade]]*TbReceitas[[#This Row],[preco_unitario]]</f>
        <v>25165</v>
      </c>
      <c r="H1422" t="str">
        <f>TEXT(TbReceitas[[#This Row],[data_transacao]], "aaaa-mm")</f>
        <v>2026-03</v>
      </c>
    </row>
    <row r="1423" spans="1:8">
      <c r="A1423">
        <v>1422</v>
      </c>
      <c r="B1423" s="1">
        <v>46204</v>
      </c>
      <c r="C1423" t="s">
        <v>1546</v>
      </c>
      <c r="D1423" t="s">
        <v>148</v>
      </c>
      <c r="E1423">
        <v>1</v>
      </c>
      <c r="F1423">
        <v>20605</v>
      </c>
      <c r="G1423">
        <f>TbReceitas[[#This Row],[quantidade]]*TbReceitas[[#This Row],[preco_unitario]]</f>
        <v>20605</v>
      </c>
      <c r="H1423" t="str">
        <f>TEXT(TbReceitas[[#This Row],[data_transacao]], "aaaa-mm")</f>
        <v>2026-07</v>
      </c>
    </row>
    <row r="1424" spans="1:8">
      <c r="A1424">
        <v>1423</v>
      </c>
      <c r="B1424" s="1">
        <v>45551</v>
      </c>
      <c r="C1424" t="s">
        <v>1338</v>
      </c>
      <c r="D1424" t="s">
        <v>326</v>
      </c>
      <c r="E1424">
        <v>5</v>
      </c>
      <c r="F1424">
        <v>20049</v>
      </c>
      <c r="G1424">
        <f>TbReceitas[[#This Row],[quantidade]]*TbReceitas[[#This Row],[preco_unitario]]</f>
        <v>100245</v>
      </c>
      <c r="H1424" t="str">
        <f>TEXT(TbReceitas[[#This Row],[data_transacao]], "aaaa-mm")</f>
        <v>2024-09</v>
      </c>
    </row>
    <row r="1425" spans="1:8">
      <c r="A1425">
        <v>1424</v>
      </c>
      <c r="B1425" s="1">
        <v>46086</v>
      </c>
      <c r="C1425" t="s">
        <v>1533</v>
      </c>
      <c r="D1425" t="s">
        <v>209</v>
      </c>
      <c r="E1425">
        <v>4</v>
      </c>
      <c r="F1425">
        <v>15676</v>
      </c>
      <c r="G1425">
        <f>TbReceitas[[#This Row],[quantidade]]*TbReceitas[[#This Row],[preco_unitario]]</f>
        <v>62704</v>
      </c>
      <c r="H1425" t="str">
        <f>TEXT(TbReceitas[[#This Row],[data_transacao]], "aaaa-mm")</f>
        <v>2026-03</v>
      </c>
    </row>
    <row r="1426" spans="1:8">
      <c r="A1426">
        <v>1425</v>
      </c>
      <c r="B1426" s="1">
        <v>46010</v>
      </c>
      <c r="C1426" t="s">
        <v>1547</v>
      </c>
      <c r="D1426" t="s">
        <v>409</v>
      </c>
      <c r="E1426">
        <v>5</v>
      </c>
      <c r="F1426">
        <v>6002</v>
      </c>
      <c r="G1426">
        <f>TbReceitas[[#This Row],[quantidade]]*TbReceitas[[#This Row],[preco_unitario]]</f>
        <v>30010</v>
      </c>
      <c r="H1426" t="str">
        <f>TEXT(TbReceitas[[#This Row],[data_transacao]], "aaaa-mm")</f>
        <v>2025-12</v>
      </c>
    </row>
    <row r="1427" spans="1:8">
      <c r="A1427">
        <v>1426</v>
      </c>
      <c r="B1427" s="1">
        <v>45568</v>
      </c>
      <c r="C1427" t="s">
        <v>956</v>
      </c>
      <c r="D1427" t="s">
        <v>96</v>
      </c>
      <c r="E1427">
        <v>3</v>
      </c>
      <c r="F1427">
        <v>24766</v>
      </c>
      <c r="G1427">
        <f>TbReceitas[[#This Row],[quantidade]]*TbReceitas[[#This Row],[preco_unitario]]</f>
        <v>74298</v>
      </c>
      <c r="H1427" t="str">
        <f>TEXT(TbReceitas[[#This Row],[data_transacao]], "aaaa-mm")</f>
        <v>2024-10</v>
      </c>
    </row>
    <row r="1428" spans="1:8">
      <c r="A1428">
        <v>1427</v>
      </c>
      <c r="B1428" s="1">
        <v>46227</v>
      </c>
      <c r="C1428" t="s">
        <v>1548</v>
      </c>
      <c r="D1428" t="s">
        <v>167</v>
      </c>
      <c r="E1428">
        <v>5</v>
      </c>
      <c r="F1428">
        <v>13706</v>
      </c>
      <c r="G1428">
        <f>TbReceitas[[#This Row],[quantidade]]*TbReceitas[[#This Row],[preco_unitario]]</f>
        <v>68530</v>
      </c>
      <c r="H1428" t="str">
        <f>TEXT(TbReceitas[[#This Row],[data_transacao]], "aaaa-mm")</f>
        <v>2026-07</v>
      </c>
    </row>
    <row r="1429" spans="1:8">
      <c r="A1429">
        <v>1428</v>
      </c>
      <c r="B1429" s="1">
        <v>46020</v>
      </c>
      <c r="C1429" t="s">
        <v>1241</v>
      </c>
      <c r="D1429" t="s">
        <v>393</v>
      </c>
      <c r="E1429">
        <v>5</v>
      </c>
      <c r="F1429">
        <v>16342</v>
      </c>
      <c r="G1429">
        <f>TbReceitas[[#This Row],[quantidade]]*TbReceitas[[#This Row],[preco_unitario]]</f>
        <v>81710</v>
      </c>
      <c r="H1429" t="str">
        <f>TEXT(TbReceitas[[#This Row],[data_transacao]], "aaaa-mm")</f>
        <v>2025-12</v>
      </c>
    </row>
    <row r="1430" spans="1:8">
      <c r="A1430">
        <v>1429</v>
      </c>
      <c r="B1430" s="1">
        <v>46011</v>
      </c>
      <c r="C1430" t="s">
        <v>1177</v>
      </c>
      <c r="D1430" t="s">
        <v>646</v>
      </c>
      <c r="E1430">
        <v>2</v>
      </c>
      <c r="F1430">
        <v>14906</v>
      </c>
      <c r="G1430">
        <f>TbReceitas[[#This Row],[quantidade]]*TbReceitas[[#This Row],[preco_unitario]]</f>
        <v>29812</v>
      </c>
      <c r="H1430" t="str">
        <f>TEXT(TbReceitas[[#This Row],[data_transacao]], "aaaa-mm")</f>
        <v>2025-12</v>
      </c>
    </row>
    <row r="1431" spans="1:8">
      <c r="A1431">
        <v>1430</v>
      </c>
      <c r="B1431" s="1">
        <v>45640</v>
      </c>
      <c r="C1431" t="s">
        <v>1229</v>
      </c>
      <c r="D1431" t="s">
        <v>144</v>
      </c>
      <c r="E1431">
        <v>4</v>
      </c>
      <c r="F1431">
        <v>11267</v>
      </c>
      <c r="G1431">
        <f>TbReceitas[[#This Row],[quantidade]]*TbReceitas[[#This Row],[preco_unitario]]</f>
        <v>45068</v>
      </c>
      <c r="H1431" t="str">
        <f>TEXT(TbReceitas[[#This Row],[data_transacao]], "aaaa-mm")</f>
        <v>2024-12</v>
      </c>
    </row>
    <row r="1432" spans="1:8">
      <c r="A1432">
        <v>1431</v>
      </c>
      <c r="B1432" s="1">
        <v>45583</v>
      </c>
      <c r="C1432" t="s">
        <v>1203</v>
      </c>
      <c r="D1432" t="s">
        <v>116</v>
      </c>
      <c r="E1432">
        <v>4</v>
      </c>
      <c r="F1432">
        <v>1384</v>
      </c>
      <c r="G1432">
        <f>TbReceitas[[#This Row],[quantidade]]*TbReceitas[[#This Row],[preco_unitario]]</f>
        <v>5536</v>
      </c>
      <c r="H1432" t="str">
        <f>TEXT(TbReceitas[[#This Row],[data_transacao]], "aaaa-mm")</f>
        <v>2024-10</v>
      </c>
    </row>
    <row r="1433" spans="1:8">
      <c r="A1433">
        <v>1432</v>
      </c>
      <c r="B1433" s="1">
        <v>45691</v>
      </c>
      <c r="C1433" t="s">
        <v>1073</v>
      </c>
      <c r="D1433" t="s">
        <v>588</v>
      </c>
      <c r="E1433">
        <v>5</v>
      </c>
      <c r="F1433">
        <v>15168</v>
      </c>
      <c r="G1433">
        <f>TbReceitas[[#This Row],[quantidade]]*TbReceitas[[#This Row],[preco_unitario]]</f>
        <v>75840</v>
      </c>
      <c r="H1433" t="str">
        <f>TEXT(TbReceitas[[#This Row],[data_transacao]], "aaaa-mm")</f>
        <v>2025-02</v>
      </c>
    </row>
    <row r="1434" spans="1:8">
      <c r="A1434">
        <v>1433</v>
      </c>
      <c r="B1434" s="1">
        <v>46077</v>
      </c>
      <c r="C1434" t="s">
        <v>1549</v>
      </c>
      <c r="D1434" t="s">
        <v>18</v>
      </c>
      <c r="E1434">
        <v>5</v>
      </c>
      <c r="F1434">
        <v>7076</v>
      </c>
      <c r="G1434">
        <f>TbReceitas[[#This Row],[quantidade]]*TbReceitas[[#This Row],[preco_unitario]]</f>
        <v>35380</v>
      </c>
      <c r="H1434" t="str">
        <f>TEXT(TbReceitas[[#This Row],[data_transacao]], "aaaa-mm")</f>
        <v>2026-02</v>
      </c>
    </row>
    <row r="1435" spans="1:8">
      <c r="A1435">
        <v>1434</v>
      </c>
      <c r="B1435" s="1">
        <v>45796</v>
      </c>
      <c r="C1435" t="s">
        <v>1146</v>
      </c>
      <c r="D1435" t="s">
        <v>161</v>
      </c>
      <c r="E1435">
        <v>1</v>
      </c>
      <c r="F1435">
        <v>7317</v>
      </c>
      <c r="G1435">
        <f>TbReceitas[[#This Row],[quantidade]]*TbReceitas[[#This Row],[preco_unitario]]</f>
        <v>7317</v>
      </c>
      <c r="H1435" t="str">
        <f>TEXT(TbReceitas[[#This Row],[data_transacao]], "aaaa-mm")</f>
        <v>2025-05</v>
      </c>
    </row>
    <row r="1436" spans="1:8">
      <c r="A1436">
        <v>1435</v>
      </c>
      <c r="B1436" s="1">
        <v>45899</v>
      </c>
      <c r="C1436" t="s">
        <v>1403</v>
      </c>
      <c r="D1436" t="s">
        <v>557</v>
      </c>
      <c r="E1436">
        <v>1</v>
      </c>
      <c r="F1436">
        <v>5746</v>
      </c>
      <c r="G1436">
        <f>TbReceitas[[#This Row],[quantidade]]*TbReceitas[[#This Row],[preco_unitario]]</f>
        <v>5746</v>
      </c>
      <c r="H1436" t="str">
        <f>TEXT(TbReceitas[[#This Row],[data_transacao]], "aaaa-mm")</f>
        <v>2025-08</v>
      </c>
    </row>
    <row r="1437" spans="1:8">
      <c r="A1437">
        <v>1436</v>
      </c>
      <c r="B1437" s="1">
        <v>45909</v>
      </c>
      <c r="C1437" t="s">
        <v>835</v>
      </c>
      <c r="D1437" t="s">
        <v>300</v>
      </c>
      <c r="E1437">
        <v>2</v>
      </c>
      <c r="F1437">
        <v>734</v>
      </c>
      <c r="G1437">
        <f>TbReceitas[[#This Row],[quantidade]]*TbReceitas[[#This Row],[preco_unitario]]</f>
        <v>1468</v>
      </c>
      <c r="H1437" t="str">
        <f>TEXT(TbReceitas[[#This Row],[data_transacao]], "aaaa-mm")</f>
        <v>2025-09</v>
      </c>
    </row>
    <row r="1438" spans="1:8">
      <c r="A1438">
        <v>1437</v>
      </c>
      <c r="B1438" s="1">
        <v>45760</v>
      </c>
      <c r="C1438" t="s">
        <v>1386</v>
      </c>
      <c r="D1438" t="s">
        <v>483</v>
      </c>
      <c r="E1438">
        <v>5</v>
      </c>
      <c r="F1438">
        <v>19339</v>
      </c>
      <c r="G1438">
        <f>TbReceitas[[#This Row],[quantidade]]*TbReceitas[[#This Row],[preco_unitario]]</f>
        <v>96695</v>
      </c>
      <c r="H1438" t="str">
        <f>TEXT(TbReceitas[[#This Row],[data_transacao]], "aaaa-mm")</f>
        <v>2025-04</v>
      </c>
    </row>
    <row r="1439" spans="1:8">
      <c r="A1439">
        <v>1438</v>
      </c>
      <c r="B1439" s="1">
        <v>46182</v>
      </c>
      <c r="C1439" t="s">
        <v>1137</v>
      </c>
      <c r="D1439" t="s">
        <v>26</v>
      </c>
      <c r="E1439">
        <v>3</v>
      </c>
      <c r="F1439">
        <v>936</v>
      </c>
      <c r="G1439">
        <f>TbReceitas[[#This Row],[quantidade]]*TbReceitas[[#This Row],[preco_unitario]]</f>
        <v>2808</v>
      </c>
      <c r="H1439" t="str">
        <f>TEXT(TbReceitas[[#This Row],[data_transacao]], "aaaa-mm")</f>
        <v>2026-06</v>
      </c>
    </row>
    <row r="1440" spans="1:8">
      <c r="A1440">
        <v>1439</v>
      </c>
      <c r="B1440" s="1">
        <v>45888</v>
      </c>
      <c r="C1440" t="s">
        <v>1550</v>
      </c>
      <c r="D1440" t="s">
        <v>354</v>
      </c>
      <c r="E1440">
        <v>3</v>
      </c>
      <c r="F1440">
        <v>19135</v>
      </c>
      <c r="G1440">
        <f>TbReceitas[[#This Row],[quantidade]]*TbReceitas[[#This Row],[preco_unitario]]</f>
        <v>57405</v>
      </c>
      <c r="H1440" t="str">
        <f>TEXT(TbReceitas[[#This Row],[data_transacao]], "aaaa-mm")</f>
        <v>2025-08</v>
      </c>
    </row>
    <row r="1441" spans="1:8">
      <c r="A1441">
        <v>1440</v>
      </c>
      <c r="B1441" s="1">
        <v>45999</v>
      </c>
      <c r="C1441" t="s">
        <v>1254</v>
      </c>
      <c r="D1441" t="s">
        <v>468</v>
      </c>
      <c r="E1441">
        <v>4</v>
      </c>
      <c r="F1441">
        <v>2924</v>
      </c>
      <c r="G1441">
        <f>TbReceitas[[#This Row],[quantidade]]*TbReceitas[[#This Row],[preco_unitario]]</f>
        <v>11696</v>
      </c>
      <c r="H1441" t="str">
        <f>TEXT(TbReceitas[[#This Row],[data_transacao]], "aaaa-mm")</f>
        <v>2025-12</v>
      </c>
    </row>
    <row r="1442" spans="1:8">
      <c r="A1442">
        <v>1441</v>
      </c>
      <c r="B1442" s="1">
        <v>45801</v>
      </c>
      <c r="C1442" t="s">
        <v>1125</v>
      </c>
      <c r="D1442" t="s">
        <v>355</v>
      </c>
      <c r="E1442">
        <v>3</v>
      </c>
      <c r="F1442">
        <v>22343</v>
      </c>
      <c r="G1442">
        <f>TbReceitas[[#This Row],[quantidade]]*TbReceitas[[#This Row],[preco_unitario]]</f>
        <v>67029</v>
      </c>
      <c r="H1442" t="str">
        <f>TEXT(TbReceitas[[#This Row],[data_transacao]], "aaaa-mm")</f>
        <v>2025-05</v>
      </c>
    </row>
    <row r="1443" spans="1:8">
      <c r="A1443">
        <v>1442</v>
      </c>
      <c r="B1443" s="1">
        <v>45733</v>
      </c>
      <c r="C1443" t="s">
        <v>765</v>
      </c>
      <c r="D1443" t="s">
        <v>1392</v>
      </c>
      <c r="E1443">
        <v>1</v>
      </c>
      <c r="F1443">
        <v>346</v>
      </c>
      <c r="G1443">
        <f>TbReceitas[[#This Row],[quantidade]]*TbReceitas[[#This Row],[preco_unitario]]</f>
        <v>346</v>
      </c>
      <c r="H1443" t="str">
        <f>TEXT(TbReceitas[[#This Row],[data_transacao]], "aaaa-mm")</f>
        <v>2025-03</v>
      </c>
    </row>
    <row r="1444" spans="1:8">
      <c r="A1444">
        <v>1443</v>
      </c>
      <c r="B1444" s="1">
        <v>45982</v>
      </c>
      <c r="C1444" t="s">
        <v>1551</v>
      </c>
      <c r="D1444" t="s">
        <v>213</v>
      </c>
      <c r="E1444">
        <v>5</v>
      </c>
      <c r="F1444">
        <v>22847</v>
      </c>
      <c r="G1444">
        <f>TbReceitas[[#This Row],[quantidade]]*TbReceitas[[#This Row],[preco_unitario]]</f>
        <v>114235</v>
      </c>
      <c r="H1444" t="str">
        <f>TEXT(TbReceitas[[#This Row],[data_transacao]], "aaaa-mm")</f>
        <v>2025-11</v>
      </c>
    </row>
    <row r="1445" spans="1:8">
      <c r="A1445">
        <v>1444</v>
      </c>
      <c r="B1445" s="1">
        <v>46257</v>
      </c>
      <c r="C1445" t="s">
        <v>1552</v>
      </c>
      <c r="D1445" t="s">
        <v>328</v>
      </c>
      <c r="E1445">
        <v>3</v>
      </c>
      <c r="F1445">
        <v>23333</v>
      </c>
      <c r="G1445">
        <f>TbReceitas[[#This Row],[quantidade]]*TbReceitas[[#This Row],[preco_unitario]]</f>
        <v>69999</v>
      </c>
      <c r="H1445" t="str">
        <f>TEXT(TbReceitas[[#This Row],[data_transacao]], "aaaa-mm")</f>
        <v>2026-08</v>
      </c>
    </row>
    <row r="1446" spans="1:8">
      <c r="A1446">
        <v>1445</v>
      </c>
      <c r="B1446" s="1">
        <v>45600</v>
      </c>
      <c r="C1446" t="s">
        <v>1118</v>
      </c>
      <c r="D1446" t="s">
        <v>251</v>
      </c>
      <c r="E1446">
        <v>2</v>
      </c>
      <c r="F1446">
        <v>4862</v>
      </c>
      <c r="G1446">
        <f>TbReceitas[[#This Row],[quantidade]]*TbReceitas[[#This Row],[preco_unitario]]</f>
        <v>9724</v>
      </c>
      <c r="H1446" t="str">
        <f>TEXT(TbReceitas[[#This Row],[data_transacao]], "aaaa-mm")</f>
        <v>2024-11</v>
      </c>
    </row>
    <row r="1447" spans="1:8">
      <c r="A1447">
        <v>1446</v>
      </c>
      <c r="B1447" s="1">
        <v>46180</v>
      </c>
      <c r="C1447" t="s">
        <v>799</v>
      </c>
      <c r="D1447" t="s">
        <v>249</v>
      </c>
      <c r="E1447">
        <v>2</v>
      </c>
      <c r="F1447">
        <v>12387</v>
      </c>
      <c r="G1447">
        <f>TbReceitas[[#This Row],[quantidade]]*TbReceitas[[#This Row],[preco_unitario]]</f>
        <v>24774</v>
      </c>
      <c r="H1447" t="str">
        <f>TEXT(TbReceitas[[#This Row],[data_transacao]], "aaaa-mm")</f>
        <v>2026-06</v>
      </c>
    </row>
    <row r="1448" spans="1:8">
      <c r="A1448">
        <v>1447</v>
      </c>
      <c r="B1448" s="1">
        <v>45560</v>
      </c>
      <c r="C1448" t="s">
        <v>1553</v>
      </c>
      <c r="D1448" t="s">
        <v>877</v>
      </c>
      <c r="E1448">
        <v>3</v>
      </c>
      <c r="F1448">
        <v>23184</v>
      </c>
      <c r="G1448">
        <f>TbReceitas[[#This Row],[quantidade]]*TbReceitas[[#This Row],[preco_unitario]]</f>
        <v>69552</v>
      </c>
      <c r="H1448" t="str">
        <f>TEXT(TbReceitas[[#This Row],[data_transacao]], "aaaa-mm")</f>
        <v>2024-09</v>
      </c>
    </row>
    <row r="1449" spans="1:8">
      <c r="A1449">
        <v>1448</v>
      </c>
      <c r="B1449" s="1">
        <v>45871</v>
      </c>
      <c r="C1449" t="s">
        <v>1554</v>
      </c>
      <c r="D1449" t="s">
        <v>191</v>
      </c>
      <c r="E1449">
        <v>3</v>
      </c>
      <c r="F1449">
        <v>18422</v>
      </c>
      <c r="G1449">
        <f>TbReceitas[[#This Row],[quantidade]]*TbReceitas[[#This Row],[preco_unitario]]</f>
        <v>55266</v>
      </c>
      <c r="H1449" t="str">
        <f>TEXT(TbReceitas[[#This Row],[data_transacao]], "aaaa-mm")</f>
        <v>2025-08</v>
      </c>
    </row>
    <row r="1450" spans="1:8">
      <c r="A1450">
        <v>1449</v>
      </c>
      <c r="B1450" s="1">
        <v>45973</v>
      </c>
      <c r="C1450" t="s">
        <v>1555</v>
      </c>
      <c r="D1450" t="s">
        <v>207</v>
      </c>
      <c r="E1450">
        <v>4</v>
      </c>
      <c r="F1450">
        <v>17156</v>
      </c>
      <c r="G1450">
        <f>TbReceitas[[#This Row],[quantidade]]*TbReceitas[[#This Row],[preco_unitario]]</f>
        <v>68624</v>
      </c>
      <c r="H1450" t="str">
        <f>TEXT(TbReceitas[[#This Row],[data_transacao]], "aaaa-mm")</f>
        <v>2025-11</v>
      </c>
    </row>
    <row r="1451" spans="1:8">
      <c r="A1451">
        <v>1450</v>
      </c>
      <c r="B1451" s="1">
        <v>45753</v>
      </c>
      <c r="C1451" t="s">
        <v>1043</v>
      </c>
      <c r="D1451" t="s">
        <v>433</v>
      </c>
      <c r="E1451">
        <v>1</v>
      </c>
      <c r="F1451">
        <v>3071</v>
      </c>
      <c r="G1451">
        <f>TbReceitas[[#This Row],[quantidade]]*TbReceitas[[#This Row],[preco_unitario]]</f>
        <v>3071</v>
      </c>
      <c r="H1451" t="str">
        <f>TEXT(TbReceitas[[#This Row],[data_transacao]], "aaaa-mm")</f>
        <v>2025-04</v>
      </c>
    </row>
    <row r="1452" spans="1:8">
      <c r="A1452">
        <v>1451</v>
      </c>
      <c r="B1452" s="1">
        <v>45891</v>
      </c>
      <c r="C1452" t="s">
        <v>1123</v>
      </c>
      <c r="D1452" t="s">
        <v>222</v>
      </c>
      <c r="E1452">
        <v>1</v>
      </c>
      <c r="F1452">
        <v>21814</v>
      </c>
      <c r="G1452">
        <f>TbReceitas[[#This Row],[quantidade]]*TbReceitas[[#This Row],[preco_unitario]]</f>
        <v>21814</v>
      </c>
      <c r="H1452" t="str">
        <f>TEXT(TbReceitas[[#This Row],[data_transacao]], "aaaa-mm")</f>
        <v>2025-08</v>
      </c>
    </row>
    <row r="1453" spans="1:8">
      <c r="A1453">
        <v>1452</v>
      </c>
      <c r="B1453" s="1">
        <v>46229</v>
      </c>
      <c r="C1453" t="s">
        <v>1556</v>
      </c>
      <c r="D1453" t="s">
        <v>385</v>
      </c>
      <c r="E1453">
        <v>4</v>
      </c>
      <c r="F1453">
        <v>10607</v>
      </c>
      <c r="G1453">
        <f>TbReceitas[[#This Row],[quantidade]]*TbReceitas[[#This Row],[preco_unitario]]</f>
        <v>42428</v>
      </c>
      <c r="H1453" t="str">
        <f>TEXT(TbReceitas[[#This Row],[data_transacao]], "aaaa-mm")</f>
        <v>2026-07</v>
      </c>
    </row>
    <row r="1454" spans="1:8">
      <c r="A1454">
        <v>1453</v>
      </c>
      <c r="B1454" s="1">
        <v>45833</v>
      </c>
      <c r="C1454" t="s">
        <v>1557</v>
      </c>
      <c r="D1454" t="s">
        <v>650</v>
      </c>
      <c r="E1454">
        <v>5</v>
      </c>
      <c r="F1454">
        <v>15259</v>
      </c>
      <c r="G1454">
        <f>TbReceitas[[#This Row],[quantidade]]*TbReceitas[[#This Row],[preco_unitario]]</f>
        <v>76295</v>
      </c>
      <c r="H1454" t="str">
        <f>TEXT(TbReceitas[[#This Row],[data_transacao]], "aaaa-mm")</f>
        <v>2025-06</v>
      </c>
    </row>
    <row r="1455" spans="1:8">
      <c r="A1455">
        <v>1454</v>
      </c>
      <c r="B1455" s="1">
        <v>46087</v>
      </c>
      <c r="C1455" t="s">
        <v>1558</v>
      </c>
      <c r="D1455" t="s">
        <v>335</v>
      </c>
      <c r="E1455">
        <v>3</v>
      </c>
      <c r="F1455">
        <v>20416</v>
      </c>
      <c r="G1455">
        <f>TbReceitas[[#This Row],[quantidade]]*TbReceitas[[#This Row],[preco_unitario]]</f>
        <v>61248</v>
      </c>
      <c r="H1455" t="str">
        <f>TEXT(TbReceitas[[#This Row],[data_transacao]], "aaaa-mm")</f>
        <v>2026-03</v>
      </c>
    </row>
    <row r="1456" spans="1:8">
      <c r="A1456">
        <v>1455</v>
      </c>
      <c r="B1456" s="1">
        <v>45720</v>
      </c>
      <c r="C1456" t="s">
        <v>785</v>
      </c>
      <c r="D1456" t="s">
        <v>76</v>
      </c>
      <c r="E1456">
        <v>2</v>
      </c>
      <c r="F1456">
        <v>23998</v>
      </c>
      <c r="G1456">
        <f>TbReceitas[[#This Row],[quantidade]]*TbReceitas[[#This Row],[preco_unitario]]</f>
        <v>47996</v>
      </c>
      <c r="H1456" t="str">
        <f>TEXT(TbReceitas[[#This Row],[data_transacao]], "aaaa-mm")</f>
        <v>2025-03</v>
      </c>
    </row>
    <row r="1457" spans="1:8">
      <c r="A1457">
        <v>1456</v>
      </c>
      <c r="B1457" s="1">
        <v>46190</v>
      </c>
      <c r="C1457" t="s">
        <v>1556</v>
      </c>
      <c r="D1457" t="s">
        <v>100</v>
      </c>
      <c r="E1457">
        <v>5</v>
      </c>
      <c r="F1457">
        <v>12034</v>
      </c>
      <c r="G1457">
        <f>TbReceitas[[#This Row],[quantidade]]*TbReceitas[[#This Row],[preco_unitario]]</f>
        <v>60170</v>
      </c>
      <c r="H1457" t="str">
        <f>TEXT(TbReceitas[[#This Row],[data_transacao]], "aaaa-mm")</f>
        <v>2026-06</v>
      </c>
    </row>
    <row r="1458" spans="1:8">
      <c r="A1458">
        <v>1457</v>
      </c>
      <c r="B1458" s="1">
        <v>46212</v>
      </c>
      <c r="C1458" t="s">
        <v>1559</v>
      </c>
      <c r="D1458" t="s">
        <v>78</v>
      </c>
      <c r="E1458">
        <v>1</v>
      </c>
      <c r="F1458">
        <v>22164</v>
      </c>
      <c r="G1458">
        <f>TbReceitas[[#This Row],[quantidade]]*TbReceitas[[#This Row],[preco_unitario]]</f>
        <v>22164</v>
      </c>
      <c r="H1458" t="str">
        <f>TEXT(TbReceitas[[#This Row],[data_transacao]], "aaaa-mm")</f>
        <v>2026-07</v>
      </c>
    </row>
    <row r="1459" spans="1:8">
      <c r="A1459">
        <v>1458</v>
      </c>
      <c r="B1459" s="1">
        <v>45984</v>
      </c>
      <c r="C1459" t="s">
        <v>1560</v>
      </c>
      <c r="D1459" t="s">
        <v>613</v>
      </c>
      <c r="E1459">
        <v>5</v>
      </c>
      <c r="F1459">
        <v>9029</v>
      </c>
      <c r="G1459">
        <f>TbReceitas[[#This Row],[quantidade]]*TbReceitas[[#This Row],[preco_unitario]]</f>
        <v>45145</v>
      </c>
      <c r="H1459" t="str">
        <f>TEXT(TbReceitas[[#This Row],[data_transacao]], "aaaa-mm")</f>
        <v>2025-11</v>
      </c>
    </row>
    <row r="1460" spans="1:8">
      <c r="A1460">
        <v>1459</v>
      </c>
      <c r="B1460" s="1">
        <v>45695</v>
      </c>
      <c r="C1460" t="s">
        <v>1561</v>
      </c>
      <c r="D1460" t="s">
        <v>546</v>
      </c>
      <c r="E1460">
        <v>5</v>
      </c>
      <c r="F1460">
        <v>21187</v>
      </c>
      <c r="G1460">
        <f>TbReceitas[[#This Row],[quantidade]]*TbReceitas[[#This Row],[preco_unitario]]</f>
        <v>105935</v>
      </c>
      <c r="H1460" t="str">
        <f>TEXT(TbReceitas[[#This Row],[data_transacao]], "aaaa-mm")</f>
        <v>2025-02</v>
      </c>
    </row>
    <row r="1461" spans="1:8">
      <c r="A1461">
        <v>1460</v>
      </c>
      <c r="B1461" s="1">
        <v>46109</v>
      </c>
      <c r="C1461" t="s">
        <v>1507</v>
      </c>
      <c r="D1461" t="s">
        <v>149</v>
      </c>
      <c r="E1461">
        <v>2</v>
      </c>
      <c r="F1461">
        <v>9725</v>
      </c>
      <c r="G1461">
        <f>TbReceitas[[#This Row],[quantidade]]*TbReceitas[[#This Row],[preco_unitario]]</f>
        <v>19450</v>
      </c>
      <c r="H1461" t="str">
        <f>TEXT(TbReceitas[[#This Row],[data_transacao]], "aaaa-mm")</f>
        <v>2026-03</v>
      </c>
    </row>
    <row r="1462" spans="1:8">
      <c r="A1462">
        <v>1461</v>
      </c>
      <c r="B1462" s="1">
        <v>46203</v>
      </c>
      <c r="C1462" t="s">
        <v>1283</v>
      </c>
      <c r="D1462" t="s">
        <v>601</v>
      </c>
      <c r="E1462">
        <v>1</v>
      </c>
      <c r="F1462">
        <v>24408</v>
      </c>
      <c r="G1462">
        <f>TbReceitas[[#This Row],[quantidade]]*TbReceitas[[#This Row],[preco_unitario]]</f>
        <v>24408</v>
      </c>
      <c r="H1462" t="str">
        <f>TEXT(TbReceitas[[#This Row],[data_transacao]], "aaaa-mm")</f>
        <v>2026-06</v>
      </c>
    </row>
    <row r="1463" spans="1:8">
      <c r="A1463">
        <v>1462</v>
      </c>
      <c r="B1463" s="1">
        <v>45641</v>
      </c>
      <c r="C1463" t="s">
        <v>1378</v>
      </c>
      <c r="D1463" t="s">
        <v>204</v>
      </c>
      <c r="E1463">
        <v>1</v>
      </c>
      <c r="F1463">
        <v>34</v>
      </c>
      <c r="G1463">
        <f>TbReceitas[[#This Row],[quantidade]]*TbReceitas[[#This Row],[preco_unitario]]</f>
        <v>34</v>
      </c>
      <c r="H1463" t="str">
        <f>TEXT(TbReceitas[[#This Row],[data_transacao]], "aaaa-mm")</f>
        <v>2024-12</v>
      </c>
    </row>
    <row r="1464" spans="1:8">
      <c r="A1464">
        <v>1463</v>
      </c>
      <c r="B1464" s="1">
        <v>45725</v>
      </c>
      <c r="C1464" t="s">
        <v>1562</v>
      </c>
      <c r="D1464" t="s">
        <v>293</v>
      </c>
      <c r="E1464">
        <v>3</v>
      </c>
      <c r="F1464">
        <v>7737</v>
      </c>
      <c r="G1464">
        <f>TbReceitas[[#This Row],[quantidade]]*TbReceitas[[#This Row],[preco_unitario]]</f>
        <v>23211</v>
      </c>
      <c r="H1464" t="str">
        <f>TEXT(TbReceitas[[#This Row],[data_transacao]], "aaaa-mm")</f>
        <v>2025-03</v>
      </c>
    </row>
    <row r="1465" spans="1:8">
      <c r="A1465">
        <v>1464</v>
      </c>
      <c r="B1465" s="1">
        <v>45654</v>
      </c>
      <c r="C1465" t="s">
        <v>1237</v>
      </c>
      <c r="D1465" t="s">
        <v>374</v>
      </c>
      <c r="E1465">
        <v>2</v>
      </c>
      <c r="F1465">
        <v>24867</v>
      </c>
      <c r="G1465">
        <f>TbReceitas[[#This Row],[quantidade]]*TbReceitas[[#This Row],[preco_unitario]]</f>
        <v>49734</v>
      </c>
      <c r="H1465" t="str">
        <f>TEXT(TbReceitas[[#This Row],[data_transacao]], "aaaa-mm")</f>
        <v>2024-12</v>
      </c>
    </row>
    <row r="1466" spans="1:8">
      <c r="A1466">
        <v>1465</v>
      </c>
      <c r="B1466" s="1">
        <v>45755</v>
      </c>
      <c r="C1466" t="s">
        <v>1147</v>
      </c>
      <c r="D1466" t="s">
        <v>131</v>
      </c>
      <c r="E1466">
        <v>5</v>
      </c>
      <c r="F1466">
        <v>5592</v>
      </c>
      <c r="G1466">
        <f>TbReceitas[[#This Row],[quantidade]]*TbReceitas[[#This Row],[preco_unitario]]</f>
        <v>27960</v>
      </c>
      <c r="H1466" t="str">
        <f>TEXT(TbReceitas[[#This Row],[data_transacao]], "aaaa-mm")</f>
        <v>2025-04</v>
      </c>
    </row>
    <row r="1467" spans="1:8">
      <c r="A1467">
        <v>1466</v>
      </c>
      <c r="B1467" s="1">
        <v>45643</v>
      </c>
      <c r="C1467" t="s">
        <v>1283</v>
      </c>
      <c r="D1467" t="s">
        <v>445</v>
      </c>
      <c r="E1467">
        <v>3</v>
      </c>
      <c r="F1467">
        <v>20681</v>
      </c>
      <c r="G1467">
        <f>TbReceitas[[#This Row],[quantidade]]*TbReceitas[[#This Row],[preco_unitario]]</f>
        <v>62043</v>
      </c>
      <c r="H1467" t="str">
        <f>TEXT(TbReceitas[[#This Row],[data_transacao]], "aaaa-mm")</f>
        <v>2024-12</v>
      </c>
    </row>
    <row r="1468" spans="1:8">
      <c r="A1468">
        <v>1467</v>
      </c>
      <c r="B1468" s="1">
        <v>45653</v>
      </c>
      <c r="C1468" t="s">
        <v>831</v>
      </c>
      <c r="D1468" t="s">
        <v>535</v>
      </c>
      <c r="E1468">
        <v>1</v>
      </c>
      <c r="F1468">
        <v>24784</v>
      </c>
      <c r="G1468">
        <f>TbReceitas[[#This Row],[quantidade]]*TbReceitas[[#This Row],[preco_unitario]]</f>
        <v>24784</v>
      </c>
      <c r="H1468" t="str">
        <f>TEXT(TbReceitas[[#This Row],[data_transacao]], "aaaa-mm")</f>
        <v>2024-12</v>
      </c>
    </row>
    <row r="1469" spans="1:8">
      <c r="A1469">
        <v>1468</v>
      </c>
      <c r="B1469" s="1">
        <v>45768</v>
      </c>
      <c r="C1469" t="s">
        <v>1563</v>
      </c>
      <c r="D1469" t="s">
        <v>622</v>
      </c>
      <c r="E1469">
        <v>3</v>
      </c>
      <c r="F1469">
        <v>15428</v>
      </c>
      <c r="G1469">
        <f>TbReceitas[[#This Row],[quantidade]]*TbReceitas[[#This Row],[preco_unitario]]</f>
        <v>46284</v>
      </c>
      <c r="H1469" t="str">
        <f>TEXT(TbReceitas[[#This Row],[data_transacao]], "aaaa-mm")</f>
        <v>2025-04</v>
      </c>
    </row>
    <row r="1470" spans="1:8">
      <c r="A1470">
        <v>1469</v>
      </c>
      <c r="B1470" s="1">
        <v>45866</v>
      </c>
      <c r="C1470" t="s">
        <v>1564</v>
      </c>
      <c r="D1470" t="s">
        <v>53</v>
      </c>
      <c r="E1470">
        <v>2</v>
      </c>
      <c r="F1470">
        <v>8689</v>
      </c>
      <c r="G1470">
        <f>TbReceitas[[#This Row],[quantidade]]*TbReceitas[[#This Row],[preco_unitario]]</f>
        <v>17378</v>
      </c>
      <c r="H1470" t="str">
        <f>TEXT(TbReceitas[[#This Row],[data_transacao]], "aaaa-mm")</f>
        <v>2025-07</v>
      </c>
    </row>
    <row r="1471" spans="1:8">
      <c r="A1471">
        <v>1470</v>
      </c>
      <c r="B1471" s="1">
        <v>46070</v>
      </c>
      <c r="C1471" t="s">
        <v>728</v>
      </c>
      <c r="D1471" t="s">
        <v>256</v>
      </c>
      <c r="E1471">
        <v>2</v>
      </c>
      <c r="F1471">
        <v>9187</v>
      </c>
      <c r="G1471">
        <f>TbReceitas[[#This Row],[quantidade]]*TbReceitas[[#This Row],[preco_unitario]]</f>
        <v>18374</v>
      </c>
      <c r="H1471" t="str">
        <f>TEXT(TbReceitas[[#This Row],[data_transacao]], "aaaa-mm")</f>
        <v>2026-02</v>
      </c>
    </row>
    <row r="1472" spans="1:8">
      <c r="A1472">
        <v>1471</v>
      </c>
      <c r="B1472" s="1">
        <v>45833</v>
      </c>
      <c r="C1472" t="s">
        <v>769</v>
      </c>
      <c r="D1472" t="s">
        <v>525</v>
      </c>
      <c r="E1472">
        <v>3</v>
      </c>
      <c r="F1472">
        <v>5995</v>
      </c>
      <c r="G1472">
        <f>TbReceitas[[#This Row],[quantidade]]*TbReceitas[[#This Row],[preco_unitario]]</f>
        <v>17985</v>
      </c>
      <c r="H1472" t="str">
        <f>TEXT(TbReceitas[[#This Row],[data_transacao]], "aaaa-mm")</f>
        <v>2025-06</v>
      </c>
    </row>
    <row r="1473" spans="1:8">
      <c r="A1473">
        <v>1472</v>
      </c>
      <c r="B1473" s="1">
        <v>46209</v>
      </c>
      <c r="C1473" t="s">
        <v>802</v>
      </c>
      <c r="D1473" t="s">
        <v>520</v>
      </c>
      <c r="E1473">
        <v>3</v>
      </c>
      <c r="F1473">
        <v>22478</v>
      </c>
      <c r="G1473">
        <f>TbReceitas[[#This Row],[quantidade]]*TbReceitas[[#This Row],[preco_unitario]]</f>
        <v>67434</v>
      </c>
      <c r="H1473" t="str">
        <f>TEXT(TbReceitas[[#This Row],[data_transacao]], "aaaa-mm")</f>
        <v>2026-07</v>
      </c>
    </row>
    <row r="1474" spans="1:8">
      <c r="A1474">
        <v>1473</v>
      </c>
      <c r="B1474" s="1">
        <v>45727</v>
      </c>
      <c r="C1474" t="s">
        <v>1565</v>
      </c>
      <c r="D1474" t="s">
        <v>27</v>
      </c>
      <c r="E1474">
        <v>5</v>
      </c>
      <c r="F1474">
        <v>18944</v>
      </c>
      <c r="G1474">
        <f>TbReceitas[[#This Row],[quantidade]]*TbReceitas[[#This Row],[preco_unitario]]</f>
        <v>94720</v>
      </c>
      <c r="H1474" t="str">
        <f>TEXT(TbReceitas[[#This Row],[data_transacao]], "aaaa-mm")</f>
        <v>2025-03</v>
      </c>
    </row>
    <row r="1475" spans="1:8">
      <c r="A1475">
        <v>1474</v>
      </c>
      <c r="B1475" s="1">
        <v>46269</v>
      </c>
      <c r="C1475" t="s">
        <v>1474</v>
      </c>
      <c r="D1475" t="s">
        <v>36</v>
      </c>
      <c r="E1475">
        <v>2</v>
      </c>
      <c r="F1475">
        <v>20503</v>
      </c>
      <c r="G1475">
        <f>TbReceitas[[#This Row],[quantidade]]*TbReceitas[[#This Row],[preco_unitario]]</f>
        <v>41006</v>
      </c>
      <c r="H1475" t="str">
        <f>TEXT(TbReceitas[[#This Row],[data_transacao]], "aaaa-mm")</f>
        <v>2026-09</v>
      </c>
    </row>
    <row r="1476" spans="1:8">
      <c r="A1476">
        <v>1475</v>
      </c>
      <c r="B1476" s="1">
        <v>46065</v>
      </c>
      <c r="C1476" t="s">
        <v>1043</v>
      </c>
      <c r="D1476" t="s">
        <v>363</v>
      </c>
      <c r="E1476">
        <v>2</v>
      </c>
      <c r="F1476">
        <v>452</v>
      </c>
      <c r="G1476">
        <f>TbReceitas[[#This Row],[quantidade]]*TbReceitas[[#This Row],[preco_unitario]]</f>
        <v>904</v>
      </c>
      <c r="H1476" t="str">
        <f>TEXT(TbReceitas[[#This Row],[data_transacao]], "aaaa-mm")</f>
        <v>2026-02</v>
      </c>
    </row>
    <row r="1477" spans="1:8">
      <c r="A1477">
        <v>1476</v>
      </c>
      <c r="B1477" s="1">
        <v>45682</v>
      </c>
      <c r="C1477" t="s">
        <v>1551</v>
      </c>
      <c r="D1477" t="s">
        <v>222</v>
      </c>
      <c r="E1477">
        <v>2</v>
      </c>
      <c r="F1477">
        <v>21814</v>
      </c>
      <c r="G1477">
        <f>TbReceitas[[#This Row],[quantidade]]*TbReceitas[[#This Row],[preco_unitario]]</f>
        <v>43628</v>
      </c>
      <c r="H1477" t="str">
        <f>TEXT(TbReceitas[[#This Row],[data_transacao]], "aaaa-mm")</f>
        <v>2025-01</v>
      </c>
    </row>
    <row r="1478" spans="1:8">
      <c r="A1478">
        <v>1477</v>
      </c>
      <c r="B1478" s="1">
        <v>45633</v>
      </c>
      <c r="C1478" t="s">
        <v>976</v>
      </c>
      <c r="D1478" t="s">
        <v>94</v>
      </c>
      <c r="E1478">
        <v>2</v>
      </c>
      <c r="F1478">
        <v>11961</v>
      </c>
      <c r="G1478">
        <f>TbReceitas[[#This Row],[quantidade]]*TbReceitas[[#This Row],[preco_unitario]]</f>
        <v>23922</v>
      </c>
      <c r="H1478" t="str">
        <f>TEXT(TbReceitas[[#This Row],[data_transacao]], "aaaa-mm")</f>
        <v>2024-12</v>
      </c>
    </row>
    <row r="1479" spans="1:8">
      <c r="A1479">
        <v>1478</v>
      </c>
      <c r="B1479" s="1">
        <v>46112</v>
      </c>
      <c r="C1479" t="s">
        <v>1036</v>
      </c>
      <c r="D1479" t="s">
        <v>125</v>
      </c>
      <c r="E1479">
        <v>5</v>
      </c>
      <c r="F1479">
        <v>22842</v>
      </c>
      <c r="G1479">
        <f>TbReceitas[[#This Row],[quantidade]]*TbReceitas[[#This Row],[preco_unitario]]</f>
        <v>114210</v>
      </c>
      <c r="H1479" t="str">
        <f>TEXT(TbReceitas[[#This Row],[data_transacao]], "aaaa-mm")</f>
        <v>2026-03</v>
      </c>
    </row>
    <row r="1480" spans="1:8">
      <c r="A1480">
        <v>1479</v>
      </c>
      <c r="B1480" s="1">
        <v>45718</v>
      </c>
      <c r="C1480" t="s">
        <v>1566</v>
      </c>
      <c r="D1480" t="s">
        <v>312</v>
      </c>
      <c r="E1480">
        <v>5</v>
      </c>
      <c r="F1480">
        <v>24217</v>
      </c>
      <c r="G1480">
        <f>TbReceitas[[#This Row],[quantidade]]*TbReceitas[[#This Row],[preco_unitario]]</f>
        <v>121085</v>
      </c>
      <c r="H1480" t="str">
        <f>TEXT(TbReceitas[[#This Row],[data_transacao]], "aaaa-mm")</f>
        <v>2025-03</v>
      </c>
    </row>
    <row r="1481" spans="1:8">
      <c r="A1481">
        <v>1480</v>
      </c>
      <c r="B1481" s="1">
        <v>45824</v>
      </c>
      <c r="C1481" t="s">
        <v>915</v>
      </c>
      <c r="D1481" t="s">
        <v>510</v>
      </c>
      <c r="E1481">
        <v>3</v>
      </c>
      <c r="F1481">
        <v>16197</v>
      </c>
      <c r="G1481">
        <f>TbReceitas[[#This Row],[quantidade]]*TbReceitas[[#This Row],[preco_unitario]]</f>
        <v>48591</v>
      </c>
      <c r="H1481" t="str">
        <f>TEXT(TbReceitas[[#This Row],[data_transacao]], "aaaa-mm")</f>
        <v>2025-06</v>
      </c>
    </row>
    <row r="1482" spans="1:8">
      <c r="A1482">
        <v>1481</v>
      </c>
      <c r="B1482" s="1">
        <v>46188</v>
      </c>
      <c r="C1482" t="s">
        <v>1567</v>
      </c>
      <c r="D1482" t="s">
        <v>78</v>
      </c>
      <c r="E1482">
        <v>1</v>
      </c>
      <c r="F1482">
        <v>22164</v>
      </c>
      <c r="G1482">
        <f>TbReceitas[[#This Row],[quantidade]]*TbReceitas[[#This Row],[preco_unitario]]</f>
        <v>22164</v>
      </c>
      <c r="H1482" t="str">
        <f>TEXT(TbReceitas[[#This Row],[data_transacao]], "aaaa-mm")</f>
        <v>2026-06</v>
      </c>
    </row>
    <row r="1483" spans="1:8">
      <c r="A1483">
        <v>1482</v>
      </c>
      <c r="B1483" s="1">
        <v>45902</v>
      </c>
      <c r="C1483" t="s">
        <v>1412</v>
      </c>
      <c r="D1483" t="s">
        <v>519</v>
      </c>
      <c r="E1483">
        <v>3</v>
      </c>
      <c r="F1483">
        <v>5599</v>
      </c>
      <c r="G1483">
        <f>TbReceitas[[#This Row],[quantidade]]*TbReceitas[[#This Row],[preco_unitario]]</f>
        <v>16797</v>
      </c>
      <c r="H1483" t="str">
        <f>TEXT(TbReceitas[[#This Row],[data_transacao]], "aaaa-mm")</f>
        <v>2025-09</v>
      </c>
    </row>
    <row r="1484" spans="1:8">
      <c r="A1484">
        <v>1483</v>
      </c>
      <c r="B1484" s="1">
        <v>46000</v>
      </c>
      <c r="C1484" t="s">
        <v>806</v>
      </c>
      <c r="D1484" t="s">
        <v>14</v>
      </c>
      <c r="E1484">
        <v>2</v>
      </c>
      <c r="F1484">
        <v>11529</v>
      </c>
      <c r="G1484">
        <f>TbReceitas[[#This Row],[quantidade]]*TbReceitas[[#This Row],[preco_unitario]]</f>
        <v>23058</v>
      </c>
      <c r="H1484" t="str">
        <f>TEXT(TbReceitas[[#This Row],[data_transacao]], "aaaa-mm")</f>
        <v>2025-12</v>
      </c>
    </row>
    <row r="1485" spans="1:8">
      <c r="A1485">
        <v>1484</v>
      </c>
      <c r="B1485" s="1">
        <v>46131</v>
      </c>
      <c r="C1485" t="s">
        <v>1261</v>
      </c>
      <c r="D1485" t="s">
        <v>339</v>
      </c>
      <c r="E1485">
        <v>1</v>
      </c>
      <c r="F1485">
        <v>5463</v>
      </c>
      <c r="G1485">
        <f>TbReceitas[[#This Row],[quantidade]]*TbReceitas[[#This Row],[preco_unitario]]</f>
        <v>5463</v>
      </c>
      <c r="H1485" t="str">
        <f>TEXT(TbReceitas[[#This Row],[data_transacao]], "aaaa-mm")</f>
        <v>2026-04</v>
      </c>
    </row>
    <row r="1486" spans="1:8">
      <c r="A1486">
        <v>1485</v>
      </c>
      <c r="B1486" s="1">
        <v>46188</v>
      </c>
      <c r="C1486" t="s">
        <v>930</v>
      </c>
      <c r="D1486" t="s">
        <v>182</v>
      </c>
      <c r="E1486">
        <v>3</v>
      </c>
      <c r="F1486">
        <v>19777</v>
      </c>
      <c r="G1486">
        <f>TbReceitas[[#This Row],[quantidade]]*TbReceitas[[#This Row],[preco_unitario]]</f>
        <v>59331</v>
      </c>
      <c r="H1486" t="str">
        <f>TEXT(TbReceitas[[#This Row],[data_transacao]], "aaaa-mm")</f>
        <v>2026-06</v>
      </c>
    </row>
    <row r="1487" spans="1:8">
      <c r="A1487">
        <v>1486</v>
      </c>
      <c r="B1487" s="1">
        <v>46037</v>
      </c>
      <c r="C1487" t="s">
        <v>1400</v>
      </c>
      <c r="D1487" t="s">
        <v>31</v>
      </c>
      <c r="E1487">
        <v>5</v>
      </c>
      <c r="F1487">
        <v>3134</v>
      </c>
      <c r="G1487">
        <f>TbReceitas[[#This Row],[quantidade]]*TbReceitas[[#This Row],[preco_unitario]]</f>
        <v>15670</v>
      </c>
      <c r="H1487" t="str">
        <f>TEXT(TbReceitas[[#This Row],[data_transacao]], "aaaa-mm")</f>
        <v>2026-01</v>
      </c>
    </row>
    <row r="1488" spans="1:8">
      <c r="A1488">
        <v>1487</v>
      </c>
      <c r="B1488" s="1">
        <v>45665</v>
      </c>
      <c r="C1488" t="s">
        <v>754</v>
      </c>
      <c r="D1488" t="s">
        <v>561</v>
      </c>
      <c r="E1488">
        <v>5</v>
      </c>
      <c r="F1488">
        <v>878</v>
      </c>
      <c r="G1488">
        <f>TbReceitas[[#This Row],[quantidade]]*TbReceitas[[#This Row],[preco_unitario]]</f>
        <v>4390</v>
      </c>
      <c r="H1488" t="str">
        <f>TEXT(TbReceitas[[#This Row],[data_transacao]], "aaaa-mm")</f>
        <v>2025-01</v>
      </c>
    </row>
    <row r="1489" spans="1:8">
      <c r="A1489">
        <v>1488</v>
      </c>
      <c r="B1489" s="1">
        <v>45888</v>
      </c>
      <c r="C1489" t="s">
        <v>818</v>
      </c>
      <c r="D1489" t="s">
        <v>469</v>
      </c>
      <c r="E1489">
        <v>2</v>
      </c>
      <c r="F1489">
        <v>151</v>
      </c>
      <c r="G1489">
        <f>TbReceitas[[#This Row],[quantidade]]*TbReceitas[[#This Row],[preco_unitario]]</f>
        <v>302</v>
      </c>
      <c r="H1489" t="str">
        <f>TEXT(TbReceitas[[#This Row],[data_transacao]], "aaaa-mm")</f>
        <v>2025-08</v>
      </c>
    </row>
    <row r="1490" spans="1:8">
      <c r="A1490">
        <v>1489</v>
      </c>
      <c r="B1490" s="1">
        <v>46082</v>
      </c>
      <c r="C1490" t="s">
        <v>726</v>
      </c>
      <c r="D1490" t="s">
        <v>381</v>
      </c>
      <c r="E1490">
        <v>1</v>
      </c>
      <c r="F1490">
        <v>13501</v>
      </c>
      <c r="G1490">
        <f>TbReceitas[[#This Row],[quantidade]]*TbReceitas[[#This Row],[preco_unitario]]</f>
        <v>13501</v>
      </c>
      <c r="H1490" t="str">
        <f>TEXT(TbReceitas[[#This Row],[data_transacao]], "aaaa-mm")</f>
        <v>2026-03</v>
      </c>
    </row>
    <row r="1491" spans="1:8">
      <c r="A1491">
        <v>1490</v>
      </c>
      <c r="B1491" s="1">
        <v>46159</v>
      </c>
      <c r="C1491" t="s">
        <v>1568</v>
      </c>
      <c r="D1491" t="s">
        <v>593</v>
      </c>
      <c r="E1491">
        <v>5</v>
      </c>
      <c r="F1491">
        <v>2171</v>
      </c>
      <c r="G1491">
        <f>TbReceitas[[#This Row],[quantidade]]*TbReceitas[[#This Row],[preco_unitario]]</f>
        <v>10855</v>
      </c>
      <c r="H1491" t="str">
        <f>TEXT(TbReceitas[[#This Row],[data_transacao]], "aaaa-mm")</f>
        <v>2026-05</v>
      </c>
    </row>
    <row r="1492" spans="1:8">
      <c r="A1492">
        <v>1491</v>
      </c>
      <c r="B1492" s="1">
        <v>46205</v>
      </c>
      <c r="C1492" t="s">
        <v>753</v>
      </c>
      <c r="D1492" t="s">
        <v>225</v>
      </c>
      <c r="E1492">
        <v>2</v>
      </c>
      <c r="F1492">
        <v>17354</v>
      </c>
      <c r="G1492">
        <f>TbReceitas[[#This Row],[quantidade]]*TbReceitas[[#This Row],[preco_unitario]]</f>
        <v>34708</v>
      </c>
      <c r="H1492" t="str">
        <f>TEXT(TbReceitas[[#This Row],[data_transacao]], "aaaa-mm")</f>
        <v>2026-07</v>
      </c>
    </row>
    <row r="1493" spans="1:8">
      <c r="A1493">
        <v>1492</v>
      </c>
      <c r="B1493" s="1">
        <v>45631</v>
      </c>
      <c r="C1493" t="s">
        <v>810</v>
      </c>
      <c r="D1493" t="s">
        <v>362</v>
      </c>
      <c r="E1493">
        <v>1</v>
      </c>
      <c r="F1493">
        <v>19722</v>
      </c>
      <c r="G1493">
        <f>TbReceitas[[#This Row],[quantidade]]*TbReceitas[[#This Row],[preco_unitario]]</f>
        <v>19722</v>
      </c>
      <c r="H1493" t="str">
        <f>TEXT(TbReceitas[[#This Row],[data_transacao]], "aaaa-mm")</f>
        <v>2024-12</v>
      </c>
    </row>
    <row r="1494" spans="1:8">
      <c r="A1494">
        <v>1493</v>
      </c>
      <c r="B1494" s="1">
        <v>45792</v>
      </c>
      <c r="C1494" t="s">
        <v>1569</v>
      </c>
      <c r="D1494" t="s">
        <v>317</v>
      </c>
      <c r="E1494">
        <v>2</v>
      </c>
      <c r="F1494">
        <v>18047</v>
      </c>
      <c r="G1494">
        <f>TbReceitas[[#This Row],[quantidade]]*TbReceitas[[#This Row],[preco_unitario]]</f>
        <v>36094</v>
      </c>
      <c r="H1494" t="str">
        <f>TEXT(TbReceitas[[#This Row],[data_transacao]], "aaaa-mm")</f>
        <v>2025-05</v>
      </c>
    </row>
    <row r="1495" spans="1:8">
      <c r="A1495">
        <v>1494</v>
      </c>
      <c r="B1495" s="1">
        <v>46109</v>
      </c>
      <c r="C1495" t="s">
        <v>816</v>
      </c>
      <c r="D1495" t="s">
        <v>122</v>
      </c>
      <c r="E1495">
        <v>5</v>
      </c>
      <c r="F1495">
        <v>2704</v>
      </c>
      <c r="G1495">
        <f>TbReceitas[[#This Row],[quantidade]]*TbReceitas[[#This Row],[preco_unitario]]</f>
        <v>13520</v>
      </c>
      <c r="H1495" t="str">
        <f>TEXT(TbReceitas[[#This Row],[data_transacao]], "aaaa-mm")</f>
        <v>2026-03</v>
      </c>
    </row>
    <row r="1496" spans="1:8">
      <c r="A1496">
        <v>1495</v>
      </c>
      <c r="B1496" s="1">
        <v>45612</v>
      </c>
      <c r="C1496" t="s">
        <v>1570</v>
      </c>
      <c r="D1496" t="s">
        <v>614</v>
      </c>
      <c r="E1496">
        <v>3</v>
      </c>
      <c r="F1496">
        <v>24548</v>
      </c>
      <c r="G1496">
        <f>TbReceitas[[#This Row],[quantidade]]*TbReceitas[[#This Row],[preco_unitario]]</f>
        <v>73644</v>
      </c>
      <c r="H1496" t="str">
        <f>TEXT(TbReceitas[[#This Row],[data_transacao]], "aaaa-mm")</f>
        <v>2024-11</v>
      </c>
    </row>
    <row r="1497" spans="1:8">
      <c r="A1497">
        <v>1496</v>
      </c>
      <c r="B1497" s="1">
        <v>46090</v>
      </c>
      <c r="C1497" t="s">
        <v>1198</v>
      </c>
      <c r="D1497" t="s">
        <v>457</v>
      </c>
      <c r="E1497">
        <v>2</v>
      </c>
      <c r="F1497">
        <v>19353</v>
      </c>
      <c r="G1497">
        <f>TbReceitas[[#This Row],[quantidade]]*TbReceitas[[#This Row],[preco_unitario]]</f>
        <v>38706</v>
      </c>
      <c r="H1497" t="str">
        <f>TEXT(TbReceitas[[#This Row],[data_transacao]], "aaaa-mm")</f>
        <v>2026-03</v>
      </c>
    </row>
    <row r="1498" spans="1:8">
      <c r="A1498">
        <v>1497</v>
      </c>
      <c r="B1498" s="1">
        <v>45581</v>
      </c>
      <c r="C1498" t="s">
        <v>1217</v>
      </c>
      <c r="D1498" t="s">
        <v>557</v>
      </c>
      <c r="E1498">
        <v>1</v>
      </c>
      <c r="F1498">
        <v>5746</v>
      </c>
      <c r="G1498">
        <f>TbReceitas[[#This Row],[quantidade]]*TbReceitas[[#This Row],[preco_unitario]]</f>
        <v>5746</v>
      </c>
      <c r="H1498" t="str">
        <f>TEXT(TbReceitas[[#This Row],[data_transacao]], "aaaa-mm")</f>
        <v>2024-10</v>
      </c>
    </row>
    <row r="1499" spans="1:8">
      <c r="A1499">
        <v>1498</v>
      </c>
      <c r="B1499" s="1">
        <v>45769</v>
      </c>
      <c r="C1499" t="s">
        <v>1199</v>
      </c>
      <c r="D1499" t="s">
        <v>505</v>
      </c>
      <c r="E1499">
        <v>2</v>
      </c>
      <c r="F1499">
        <v>9217</v>
      </c>
      <c r="G1499">
        <f>TbReceitas[[#This Row],[quantidade]]*TbReceitas[[#This Row],[preco_unitario]]</f>
        <v>18434</v>
      </c>
      <c r="H1499" t="str">
        <f>TEXT(TbReceitas[[#This Row],[data_transacao]], "aaaa-mm")</f>
        <v>2025-04</v>
      </c>
    </row>
    <row r="1500" spans="1:8">
      <c r="A1500">
        <v>1499</v>
      </c>
      <c r="B1500" s="1">
        <v>46218</v>
      </c>
      <c r="C1500" t="s">
        <v>1340</v>
      </c>
      <c r="D1500" t="s">
        <v>634</v>
      </c>
      <c r="E1500">
        <v>3</v>
      </c>
      <c r="F1500">
        <v>21686</v>
      </c>
      <c r="G1500">
        <f>TbReceitas[[#This Row],[quantidade]]*TbReceitas[[#This Row],[preco_unitario]]</f>
        <v>65058</v>
      </c>
      <c r="H1500" t="str">
        <f>TEXT(TbReceitas[[#This Row],[data_transacao]], "aaaa-mm")</f>
        <v>2026-07</v>
      </c>
    </row>
    <row r="1501" spans="1:8">
      <c r="A1501">
        <v>1500</v>
      </c>
      <c r="B1501" s="1">
        <v>45791</v>
      </c>
      <c r="C1501" t="s">
        <v>1496</v>
      </c>
      <c r="D1501" t="s">
        <v>44</v>
      </c>
      <c r="E1501">
        <v>2</v>
      </c>
      <c r="F1501">
        <v>14599</v>
      </c>
      <c r="G1501">
        <f>TbReceitas[[#This Row],[quantidade]]*TbReceitas[[#This Row],[preco_unitario]]</f>
        <v>29198</v>
      </c>
      <c r="H1501" t="str">
        <f>TEXT(TbReceitas[[#This Row],[data_transacao]], "aaaa-mm")</f>
        <v>2025-05</v>
      </c>
    </row>
    <row r="1502" spans="1:8">
      <c r="A1502">
        <v>1501</v>
      </c>
      <c r="B1502" s="1">
        <v>46167</v>
      </c>
      <c r="C1502" t="s">
        <v>1571</v>
      </c>
      <c r="D1502" t="s">
        <v>190</v>
      </c>
      <c r="E1502">
        <v>4</v>
      </c>
      <c r="F1502">
        <v>5094</v>
      </c>
      <c r="G1502">
        <f>TbReceitas[[#This Row],[quantidade]]*TbReceitas[[#This Row],[preco_unitario]]</f>
        <v>20376</v>
      </c>
      <c r="H1502" t="str">
        <f>TEXT(TbReceitas[[#This Row],[data_transacao]], "aaaa-mm")</f>
        <v>2026-05</v>
      </c>
    </row>
    <row r="1503" spans="1:8">
      <c r="A1503">
        <v>1502</v>
      </c>
      <c r="B1503" s="1">
        <v>46264</v>
      </c>
      <c r="C1503" t="s">
        <v>1268</v>
      </c>
      <c r="D1503" t="s">
        <v>604</v>
      </c>
      <c r="E1503">
        <v>1</v>
      </c>
      <c r="F1503">
        <v>17604</v>
      </c>
      <c r="G1503">
        <f>TbReceitas[[#This Row],[quantidade]]*TbReceitas[[#This Row],[preco_unitario]]</f>
        <v>17604</v>
      </c>
      <c r="H1503" t="str">
        <f>TEXT(TbReceitas[[#This Row],[data_transacao]], "aaaa-mm")</f>
        <v>2026-08</v>
      </c>
    </row>
    <row r="1504" spans="1:8">
      <c r="A1504">
        <v>1503</v>
      </c>
      <c r="B1504" s="1">
        <v>46089</v>
      </c>
      <c r="C1504" t="s">
        <v>1572</v>
      </c>
      <c r="D1504" t="s">
        <v>109</v>
      </c>
      <c r="E1504">
        <v>4</v>
      </c>
      <c r="F1504">
        <v>23302</v>
      </c>
      <c r="G1504">
        <f>TbReceitas[[#This Row],[quantidade]]*TbReceitas[[#This Row],[preco_unitario]]</f>
        <v>93208</v>
      </c>
      <c r="H1504" t="str">
        <f>TEXT(TbReceitas[[#This Row],[data_transacao]], "aaaa-mm")</f>
        <v>2026-03</v>
      </c>
    </row>
    <row r="1505" spans="1:8">
      <c r="A1505">
        <v>1504</v>
      </c>
      <c r="B1505" s="1">
        <v>45951</v>
      </c>
      <c r="C1505" t="s">
        <v>1573</v>
      </c>
      <c r="D1505" t="s">
        <v>75</v>
      </c>
      <c r="E1505">
        <v>4</v>
      </c>
      <c r="F1505">
        <v>2558</v>
      </c>
      <c r="G1505">
        <f>TbReceitas[[#This Row],[quantidade]]*TbReceitas[[#This Row],[preco_unitario]]</f>
        <v>10232</v>
      </c>
      <c r="H1505" t="str">
        <f>TEXT(TbReceitas[[#This Row],[data_transacao]], "aaaa-mm")</f>
        <v>2025-10</v>
      </c>
    </row>
    <row r="1506" spans="1:8">
      <c r="A1506">
        <v>1505</v>
      </c>
      <c r="B1506" s="1">
        <v>45571</v>
      </c>
      <c r="C1506" t="s">
        <v>1574</v>
      </c>
      <c r="D1506" t="s">
        <v>379</v>
      </c>
      <c r="E1506">
        <v>5</v>
      </c>
      <c r="F1506">
        <v>1792</v>
      </c>
      <c r="G1506">
        <f>TbReceitas[[#This Row],[quantidade]]*TbReceitas[[#This Row],[preco_unitario]]</f>
        <v>8960</v>
      </c>
      <c r="H1506" t="str">
        <f>TEXT(TbReceitas[[#This Row],[data_transacao]], "aaaa-mm")</f>
        <v>2024-10</v>
      </c>
    </row>
    <row r="1507" spans="1:8">
      <c r="A1507">
        <v>1506</v>
      </c>
      <c r="B1507" s="1">
        <v>45810</v>
      </c>
      <c r="C1507" t="s">
        <v>1484</v>
      </c>
      <c r="D1507" t="s">
        <v>104</v>
      </c>
      <c r="E1507">
        <v>1</v>
      </c>
      <c r="F1507">
        <v>11181</v>
      </c>
      <c r="G1507">
        <f>TbReceitas[[#This Row],[quantidade]]*TbReceitas[[#This Row],[preco_unitario]]</f>
        <v>11181</v>
      </c>
      <c r="H1507" t="str">
        <f>TEXT(TbReceitas[[#This Row],[data_transacao]], "aaaa-mm")</f>
        <v>2025-06</v>
      </c>
    </row>
    <row r="1508" spans="1:8">
      <c r="A1508">
        <v>1507</v>
      </c>
      <c r="B1508" s="1">
        <v>46096</v>
      </c>
      <c r="C1508" t="s">
        <v>1492</v>
      </c>
      <c r="D1508" t="s">
        <v>388</v>
      </c>
      <c r="E1508">
        <v>5</v>
      </c>
      <c r="F1508">
        <v>5518</v>
      </c>
      <c r="G1508">
        <f>TbReceitas[[#This Row],[quantidade]]*TbReceitas[[#This Row],[preco_unitario]]</f>
        <v>27590</v>
      </c>
      <c r="H1508" t="str">
        <f>TEXT(TbReceitas[[#This Row],[data_transacao]], "aaaa-mm")</f>
        <v>2026-03</v>
      </c>
    </row>
    <row r="1509" spans="1:8">
      <c r="A1509">
        <v>1508</v>
      </c>
      <c r="B1509" s="1">
        <v>46203</v>
      </c>
      <c r="C1509" t="s">
        <v>1575</v>
      </c>
      <c r="D1509" t="s">
        <v>641</v>
      </c>
      <c r="E1509">
        <v>2</v>
      </c>
      <c r="F1509">
        <v>3128</v>
      </c>
      <c r="G1509">
        <f>TbReceitas[[#This Row],[quantidade]]*TbReceitas[[#This Row],[preco_unitario]]</f>
        <v>6256</v>
      </c>
      <c r="H1509" t="str">
        <f>TEXT(TbReceitas[[#This Row],[data_transacao]], "aaaa-mm")</f>
        <v>2026-06</v>
      </c>
    </row>
    <row r="1510" spans="1:8">
      <c r="A1510">
        <v>1509</v>
      </c>
      <c r="B1510" s="1">
        <v>46052</v>
      </c>
      <c r="C1510" t="s">
        <v>1576</v>
      </c>
      <c r="D1510" t="s">
        <v>11</v>
      </c>
      <c r="E1510">
        <v>1</v>
      </c>
      <c r="F1510">
        <v>21599</v>
      </c>
      <c r="G1510">
        <f>TbReceitas[[#This Row],[quantidade]]*TbReceitas[[#This Row],[preco_unitario]]</f>
        <v>21599</v>
      </c>
      <c r="H1510" t="str">
        <f>TEXT(TbReceitas[[#This Row],[data_transacao]], "aaaa-mm")</f>
        <v>2026-01</v>
      </c>
    </row>
    <row r="1511" spans="1:8">
      <c r="A1511">
        <v>1510</v>
      </c>
      <c r="B1511" s="1">
        <v>46061</v>
      </c>
      <c r="C1511" t="s">
        <v>1143</v>
      </c>
      <c r="D1511" t="s">
        <v>559</v>
      </c>
      <c r="E1511">
        <v>4</v>
      </c>
      <c r="F1511">
        <v>482</v>
      </c>
      <c r="G1511">
        <f>TbReceitas[[#This Row],[quantidade]]*TbReceitas[[#This Row],[preco_unitario]]</f>
        <v>1928</v>
      </c>
      <c r="H1511" t="str">
        <f>TEXT(TbReceitas[[#This Row],[data_transacao]], "aaaa-mm")</f>
        <v>2026-02</v>
      </c>
    </row>
    <row r="1512" spans="1:8">
      <c r="A1512">
        <v>1511</v>
      </c>
      <c r="B1512" s="1">
        <v>45974</v>
      </c>
      <c r="C1512" t="s">
        <v>1577</v>
      </c>
      <c r="D1512" t="s">
        <v>76</v>
      </c>
      <c r="E1512">
        <v>4</v>
      </c>
      <c r="F1512">
        <v>23998</v>
      </c>
      <c r="G1512">
        <f>TbReceitas[[#This Row],[quantidade]]*TbReceitas[[#This Row],[preco_unitario]]</f>
        <v>95992</v>
      </c>
      <c r="H1512" t="str">
        <f>TEXT(TbReceitas[[#This Row],[data_transacao]], "aaaa-mm")</f>
        <v>2025-11</v>
      </c>
    </row>
    <row r="1513" spans="1:8">
      <c r="A1513">
        <v>1512</v>
      </c>
      <c r="B1513" s="1">
        <v>45972</v>
      </c>
      <c r="C1513" t="s">
        <v>1578</v>
      </c>
      <c r="D1513" t="s">
        <v>269</v>
      </c>
      <c r="E1513">
        <v>5</v>
      </c>
      <c r="F1513">
        <v>12528</v>
      </c>
      <c r="G1513">
        <f>TbReceitas[[#This Row],[quantidade]]*TbReceitas[[#This Row],[preco_unitario]]</f>
        <v>62640</v>
      </c>
      <c r="H1513" t="str">
        <f>TEXT(TbReceitas[[#This Row],[data_transacao]], "aaaa-mm")</f>
        <v>2025-11</v>
      </c>
    </row>
    <row r="1514" spans="1:8">
      <c r="A1514">
        <v>1513</v>
      </c>
      <c r="B1514" s="1">
        <v>45617</v>
      </c>
      <c r="C1514" t="s">
        <v>1579</v>
      </c>
      <c r="D1514" t="s">
        <v>461</v>
      </c>
      <c r="E1514">
        <v>3</v>
      </c>
      <c r="F1514">
        <v>1535</v>
      </c>
      <c r="G1514">
        <f>TbReceitas[[#This Row],[quantidade]]*TbReceitas[[#This Row],[preco_unitario]]</f>
        <v>4605</v>
      </c>
      <c r="H1514" t="str">
        <f>TEXT(TbReceitas[[#This Row],[data_transacao]], "aaaa-mm")</f>
        <v>2024-11</v>
      </c>
    </row>
    <row r="1515" spans="1:8">
      <c r="A1515">
        <v>1514</v>
      </c>
      <c r="B1515" s="1">
        <v>45549</v>
      </c>
      <c r="C1515" t="s">
        <v>1580</v>
      </c>
      <c r="D1515" t="s">
        <v>591</v>
      </c>
      <c r="E1515">
        <v>4</v>
      </c>
      <c r="F1515">
        <v>1718</v>
      </c>
      <c r="G1515">
        <f>TbReceitas[[#This Row],[quantidade]]*TbReceitas[[#This Row],[preco_unitario]]</f>
        <v>6872</v>
      </c>
      <c r="H1515" t="str">
        <f>TEXT(TbReceitas[[#This Row],[data_transacao]], "aaaa-mm")</f>
        <v>2024-09</v>
      </c>
    </row>
    <row r="1516" spans="1:8">
      <c r="A1516">
        <v>1515</v>
      </c>
      <c r="B1516" s="1">
        <v>46004</v>
      </c>
      <c r="C1516" t="s">
        <v>1006</v>
      </c>
      <c r="D1516" t="s">
        <v>540</v>
      </c>
      <c r="E1516">
        <v>2</v>
      </c>
      <c r="F1516">
        <v>10156</v>
      </c>
      <c r="G1516">
        <f>TbReceitas[[#This Row],[quantidade]]*TbReceitas[[#This Row],[preco_unitario]]</f>
        <v>20312</v>
      </c>
      <c r="H1516" t="str">
        <f>TEXT(TbReceitas[[#This Row],[data_transacao]], "aaaa-mm")</f>
        <v>2025-12</v>
      </c>
    </row>
    <row r="1517" spans="1:8">
      <c r="A1517">
        <v>1516</v>
      </c>
      <c r="B1517" s="1">
        <v>45884</v>
      </c>
      <c r="C1517" t="s">
        <v>1581</v>
      </c>
      <c r="D1517" t="s">
        <v>357</v>
      </c>
      <c r="E1517">
        <v>3</v>
      </c>
      <c r="F1517">
        <v>7516</v>
      </c>
      <c r="G1517">
        <f>TbReceitas[[#This Row],[quantidade]]*TbReceitas[[#This Row],[preco_unitario]]</f>
        <v>22548</v>
      </c>
      <c r="H1517" t="str">
        <f>TEXT(TbReceitas[[#This Row],[data_transacao]], "aaaa-mm")</f>
        <v>2025-08</v>
      </c>
    </row>
    <row r="1518" spans="1:8">
      <c r="A1518">
        <v>1517</v>
      </c>
      <c r="B1518" s="1">
        <v>46204</v>
      </c>
      <c r="C1518" t="s">
        <v>1242</v>
      </c>
      <c r="D1518" t="s">
        <v>171</v>
      </c>
      <c r="E1518">
        <v>1</v>
      </c>
      <c r="F1518">
        <v>9866</v>
      </c>
      <c r="G1518">
        <f>TbReceitas[[#This Row],[quantidade]]*TbReceitas[[#This Row],[preco_unitario]]</f>
        <v>9866</v>
      </c>
      <c r="H1518" t="str">
        <f>TEXT(TbReceitas[[#This Row],[data_transacao]], "aaaa-mm")</f>
        <v>2026-07</v>
      </c>
    </row>
    <row r="1519" spans="1:8">
      <c r="A1519">
        <v>1518</v>
      </c>
      <c r="B1519" s="1">
        <v>45572</v>
      </c>
      <c r="C1519" t="s">
        <v>926</v>
      </c>
      <c r="D1519" t="s">
        <v>380</v>
      </c>
      <c r="E1519">
        <v>4</v>
      </c>
      <c r="F1519">
        <v>18227</v>
      </c>
      <c r="G1519">
        <f>TbReceitas[[#This Row],[quantidade]]*TbReceitas[[#This Row],[preco_unitario]]</f>
        <v>72908</v>
      </c>
      <c r="H1519" t="str">
        <f>TEXT(TbReceitas[[#This Row],[data_transacao]], "aaaa-mm")</f>
        <v>2024-10</v>
      </c>
    </row>
    <row r="1520" spans="1:8">
      <c r="A1520">
        <v>1519</v>
      </c>
      <c r="B1520" s="1">
        <v>45802</v>
      </c>
      <c r="C1520" t="s">
        <v>1083</v>
      </c>
      <c r="D1520" t="s">
        <v>545</v>
      </c>
      <c r="E1520">
        <v>3</v>
      </c>
      <c r="F1520">
        <v>8394</v>
      </c>
      <c r="G1520">
        <f>TbReceitas[[#This Row],[quantidade]]*TbReceitas[[#This Row],[preco_unitario]]</f>
        <v>25182</v>
      </c>
      <c r="H1520" t="str">
        <f>TEXT(TbReceitas[[#This Row],[data_transacao]], "aaaa-mm")</f>
        <v>2025-05</v>
      </c>
    </row>
    <row r="1521" spans="1:8">
      <c r="A1521">
        <v>1520</v>
      </c>
      <c r="B1521" s="1">
        <v>46171</v>
      </c>
      <c r="C1521" t="s">
        <v>1283</v>
      </c>
      <c r="D1521" t="s">
        <v>541</v>
      </c>
      <c r="E1521">
        <v>2</v>
      </c>
      <c r="F1521">
        <v>734</v>
      </c>
      <c r="G1521">
        <f>TbReceitas[[#This Row],[quantidade]]*TbReceitas[[#This Row],[preco_unitario]]</f>
        <v>1468</v>
      </c>
      <c r="H1521" t="str">
        <f>TEXT(TbReceitas[[#This Row],[data_transacao]], "aaaa-mm")</f>
        <v>2026-05</v>
      </c>
    </row>
    <row r="1522" spans="1:8">
      <c r="A1522">
        <v>1521</v>
      </c>
      <c r="B1522" s="1">
        <v>45857</v>
      </c>
      <c r="C1522" t="s">
        <v>940</v>
      </c>
      <c r="D1522" t="s">
        <v>642</v>
      </c>
      <c r="E1522">
        <v>2</v>
      </c>
      <c r="F1522">
        <v>3555</v>
      </c>
      <c r="G1522">
        <f>TbReceitas[[#This Row],[quantidade]]*TbReceitas[[#This Row],[preco_unitario]]</f>
        <v>7110</v>
      </c>
      <c r="H1522" t="str">
        <f>TEXT(TbReceitas[[#This Row],[data_transacao]], "aaaa-mm")</f>
        <v>2025-07</v>
      </c>
    </row>
    <row r="1523" spans="1:8">
      <c r="A1523">
        <v>1522</v>
      </c>
      <c r="B1523" s="1">
        <v>46140</v>
      </c>
      <c r="C1523" t="s">
        <v>1448</v>
      </c>
      <c r="D1523" t="s">
        <v>512</v>
      </c>
      <c r="E1523">
        <v>2</v>
      </c>
      <c r="F1523">
        <v>14881</v>
      </c>
      <c r="G1523">
        <f>TbReceitas[[#This Row],[quantidade]]*TbReceitas[[#This Row],[preco_unitario]]</f>
        <v>29762</v>
      </c>
      <c r="H1523" t="str">
        <f>TEXT(TbReceitas[[#This Row],[data_transacao]], "aaaa-mm")</f>
        <v>2026-04</v>
      </c>
    </row>
    <row r="1524" spans="1:8">
      <c r="A1524">
        <v>1523</v>
      </c>
      <c r="B1524" s="1">
        <v>45698</v>
      </c>
      <c r="C1524" t="s">
        <v>1582</v>
      </c>
      <c r="D1524" t="s">
        <v>394</v>
      </c>
      <c r="E1524">
        <v>3</v>
      </c>
      <c r="F1524">
        <v>10708</v>
      </c>
      <c r="G1524">
        <f>TbReceitas[[#This Row],[quantidade]]*TbReceitas[[#This Row],[preco_unitario]]</f>
        <v>32124</v>
      </c>
      <c r="H1524" t="str">
        <f>TEXT(TbReceitas[[#This Row],[data_transacao]], "aaaa-mm")</f>
        <v>2025-02</v>
      </c>
    </row>
    <row r="1525" spans="1:8">
      <c r="A1525">
        <v>1524</v>
      </c>
      <c r="B1525" s="1">
        <v>45991</v>
      </c>
      <c r="C1525" t="s">
        <v>1130</v>
      </c>
      <c r="D1525" t="s">
        <v>331</v>
      </c>
      <c r="E1525">
        <v>2</v>
      </c>
      <c r="F1525">
        <v>1809</v>
      </c>
      <c r="G1525">
        <f>TbReceitas[[#This Row],[quantidade]]*TbReceitas[[#This Row],[preco_unitario]]</f>
        <v>3618</v>
      </c>
      <c r="H1525" t="str">
        <f>TEXT(TbReceitas[[#This Row],[data_transacao]], "aaaa-mm")</f>
        <v>2025-11</v>
      </c>
    </row>
    <row r="1526" spans="1:8">
      <c r="A1526">
        <v>1525</v>
      </c>
      <c r="B1526" s="1">
        <v>46054</v>
      </c>
      <c r="C1526" t="s">
        <v>1011</v>
      </c>
      <c r="D1526" t="s">
        <v>502</v>
      </c>
      <c r="E1526">
        <v>2</v>
      </c>
      <c r="F1526">
        <v>18946</v>
      </c>
      <c r="G1526">
        <f>TbReceitas[[#This Row],[quantidade]]*TbReceitas[[#This Row],[preco_unitario]]</f>
        <v>37892</v>
      </c>
      <c r="H1526" t="str">
        <f>TEXT(TbReceitas[[#This Row],[data_transacao]], "aaaa-mm")</f>
        <v>2026-02</v>
      </c>
    </row>
    <row r="1527" spans="1:8">
      <c r="A1527">
        <v>1526</v>
      </c>
      <c r="B1527" s="1">
        <v>46099</v>
      </c>
      <c r="C1527" t="s">
        <v>1162</v>
      </c>
      <c r="D1527" t="s">
        <v>224</v>
      </c>
      <c r="E1527">
        <v>4</v>
      </c>
      <c r="F1527">
        <v>2181</v>
      </c>
      <c r="G1527">
        <f>TbReceitas[[#This Row],[quantidade]]*TbReceitas[[#This Row],[preco_unitario]]</f>
        <v>8724</v>
      </c>
      <c r="H1527" t="str">
        <f>TEXT(TbReceitas[[#This Row],[data_transacao]], "aaaa-mm")</f>
        <v>2026-03</v>
      </c>
    </row>
    <row r="1528" spans="1:8">
      <c r="A1528">
        <v>1527</v>
      </c>
      <c r="B1528" s="1">
        <v>46177</v>
      </c>
      <c r="C1528" t="s">
        <v>1403</v>
      </c>
      <c r="D1528" t="s">
        <v>528</v>
      </c>
      <c r="E1528">
        <v>1</v>
      </c>
      <c r="F1528">
        <v>17709</v>
      </c>
      <c r="G1528">
        <f>TbReceitas[[#This Row],[quantidade]]*TbReceitas[[#This Row],[preco_unitario]]</f>
        <v>17709</v>
      </c>
      <c r="H1528" t="str">
        <f>TEXT(TbReceitas[[#This Row],[data_transacao]], "aaaa-mm")</f>
        <v>2026-06</v>
      </c>
    </row>
    <row r="1529" spans="1:8">
      <c r="A1529">
        <v>1528</v>
      </c>
      <c r="B1529" s="1">
        <v>45682</v>
      </c>
      <c r="C1529" t="s">
        <v>843</v>
      </c>
      <c r="D1529" t="s">
        <v>531</v>
      </c>
      <c r="E1529">
        <v>1</v>
      </c>
      <c r="F1529">
        <v>5033</v>
      </c>
      <c r="G1529">
        <f>TbReceitas[[#This Row],[quantidade]]*TbReceitas[[#This Row],[preco_unitario]]</f>
        <v>5033</v>
      </c>
      <c r="H1529" t="str">
        <f>TEXT(TbReceitas[[#This Row],[data_transacao]], "aaaa-mm")</f>
        <v>2025-01</v>
      </c>
    </row>
    <row r="1530" spans="1:8">
      <c r="A1530">
        <v>1529</v>
      </c>
      <c r="B1530" s="1">
        <v>46196</v>
      </c>
      <c r="C1530" t="s">
        <v>1431</v>
      </c>
      <c r="D1530" t="s">
        <v>367</v>
      </c>
      <c r="E1530">
        <v>5</v>
      </c>
      <c r="F1530">
        <v>17234</v>
      </c>
      <c r="G1530">
        <f>TbReceitas[[#This Row],[quantidade]]*TbReceitas[[#This Row],[preco_unitario]]</f>
        <v>86170</v>
      </c>
      <c r="H1530" t="str">
        <f>TEXT(TbReceitas[[#This Row],[data_transacao]], "aaaa-mm")</f>
        <v>2026-06</v>
      </c>
    </row>
    <row r="1531" spans="1:8">
      <c r="A1531">
        <v>1530</v>
      </c>
      <c r="B1531" s="1">
        <v>45775</v>
      </c>
      <c r="C1531" t="s">
        <v>1562</v>
      </c>
      <c r="D1531" t="s">
        <v>472</v>
      </c>
      <c r="E1531">
        <v>3</v>
      </c>
      <c r="F1531">
        <v>15247</v>
      </c>
      <c r="G1531">
        <f>TbReceitas[[#This Row],[quantidade]]*TbReceitas[[#This Row],[preco_unitario]]</f>
        <v>45741</v>
      </c>
      <c r="H1531" t="str">
        <f>TEXT(TbReceitas[[#This Row],[data_transacao]], "aaaa-mm")</f>
        <v>2025-04</v>
      </c>
    </row>
    <row r="1532" spans="1:8">
      <c r="A1532">
        <v>1531</v>
      </c>
      <c r="B1532" s="1">
        <v>46272</v>
      </c>
      <c r="C1532" t="s">
        <v>1539</v>
      </c>
      <c r="D1532" t="s">
        <v>47</v>
      </c>
      <c r="E1532">
        <v>5</v>
      </c>
      <c r="F1532">
        <v>854</v>
      </c>
      <c r="G1532">
        <f>TbReceitas[[#This Row],[quantidade]]*TbReceitas[[#This Row],[preco_unitario]]</f>
        <v>4270</v>
      </c>
      <c r="H1532" t="str">
        <f>TEXT(TbReceitas[[#This Row],[data_transacao]], "aaaa-mm")</f>
        <v>2026-09</v>
      </c>
    </row>
    <row r="1533" spans="1:8">
      <c r="A1533">
        <v>1532</v>
      </c>
      <c r="B1533" s="1">
        <v>45871</v>
      </c>
      <c r="C1533" t="s">
        <v>1583</v>
      </c>
      <c r="D1533" t="s">
        <v>635</v>
      </c>
      <c r="E1533">
        <v>1</v>
      </c>
      <c r="F1533">
        <v>821</v>
      </c>
      <c r="G1533">
        <f>TbReceitas[[#This Row],[quantidade]]*TbReceitas[[#This Row],[preco_unitario]]</f>
        <v>821</v>
      </c>
      <c r="H1533" t="str">
        <f>TEXT(TbReceitas[[#This Row],[data_transacao]], "aaaa-mm")</f>
        <v>2025-08</v>
      </c>
    </row>
    <row r="1534" spans="1:8">
      <c r="A1534">
        <v>1533</v>
      </c>
      <c r="B1534" s="1">
        <v>45702</v>
      </c>
      <c r="C1534" t="s">
        <v>913</v>
      </c>
      <c r="D1534" t="s">
        <v>493</v>
      </c>
      <c r="E1534">
        <v>2</v>
      </c>
      <c r="F1534">
        <v>13377</v>
      </c>
      <c r="G1534">
        <f>TbReceitas[[#This Row],[quantidade]]*TbReceitas[[#This Row],[preco_unitario]]</f>
        <v>26754</v>
      </c>
      <c r="H1534" t="str">
        <f>TEXT(TbReceitas[[#This Row],[data_transacao]], "aaaa-mm")</f>
        <v>2025-02</v>
      </c>
    </row>
    <row r="1535" spans="1:8">
      <c r="A1535">
        <v>1534</v>
      </c>
      <c r="B1535" s="1">
        <v>46093</v>
      </c>
      <c r="C1535" t="s">
        <v>950</v>
      </c>
      <c r="D1535" t="s">
        <v>177</v>
      </c>
      <c r="E1535">
        <v>3</v>
      </c>
      <c r="F1535">
        <v>13512</v>
      </c>
      <c r="G1535">
        <f>TbReceitas[[#This Row],[quantidade]]*TbReceitas[[#This Row],[preco_unitario]]</f>
        <v>40536</v>
      </c>
      <c r="H1535" t="str">
        <f>TEXT(TbReceitas[[#This Row],[data_transacao]], "aaaa-mm")</f>
        <v>2026-03</v>
      </c>
    </row>
    <row r="1536" spans="1:8">
      <c r="A1536">
        <v>1535</v>
      </c>
      <c r="B1536" s="1">
        <v>46149</v>
      </c>
      <c r="C1536" t="s">
        <v>1584</v>
      </c>
      <c r="D1536" t="s">
        <v>348</v>
      </c>
      <c r="E1536">
        <v>2</v>
      </c>
      <c r="F1536">
        <v>14528</v>
      </c>
      <c r="G1536">
        <f>TbReceitas[[#This Row],[quantidade]]*TbReceitas[[#This Row],[preco_unitario]]</f>
        <v>29056</v>
      </c>
      <c r="H1536" t="str">
        <f>TEXT(TbReceitas[[#This Row],[data_transacao]], "aaaa-mm")</f>
        <v>2026-05</v>
      </c>
    </row>
    <row r="1537" spans="1:8">
      <c r="A1537">
        <v>1536</v>
      </c>
      <c r="B1537" s="1">
        <v>45553</v>
      </c>
      <c r="C1537" t="s">
        <v>733</v>
      </c>
      <c r="D1537" t="s">
        <v>209</v>
      </c>
      <c r="E1537">
        <v>3</v>
      </c>
      <c r="F1537">
        <v>15676</v>
      </c>
      <c r="G1537">
        <f>TbReceitas[[#This Row],[quantidade]]*TbReceitas[[#This Row],[preco_unitario]]</f>
        <v>47028</v>
      </c>
      <c r="H1537" t="str">
        <f>TEXT(TbReceitas[[#This Row],[data_transacao]], "aaaa-mm")</f>
        <v>2024-09</v>
      </c>
    </row>
    <row r="1538" spans="1:8">
      <c r="A1538">
        <v>1537</v>
      </c>
      <c r="B1538" s="1">
        <v>45625</v>
      </c>
      <c r="C1538" t="s">
        <v>1434</v>
      </c>
      <c r="D1538" t="s">
        <v>203</v>
      </c>
      <c r="E1538">
        <v>5</v>
      </c>
      <c r="F1538">
        <v>1934</v>
      </c>
      <c r="G1538">
        <f>TbReceitas[[#This Row],[quantidade]]*TbReceitas[[#This Row],[preco_unitario]]</f>
        <v>9670</v>
      </c>
      <c r="H1538" t="str">
        <f>TEXT(TbReceitas[[#This Row],[data_transacao]], "aaaa-mm")</f>
        <v>2024-11</v>
      </c>
    </row>
    <row r="1539" spans="1:8">
      <c r="A1539">
        <v>1538</v>
      </c>
      <c r="B1539" s="1">
        <v>45730</v>
      </c>
      <c r="C1539" t="s">
        <v>1585</v>
      </c>
      <c r="D1539" t="s">
        <v>458</v>
      </c>
      <c r="E1539">
        <v>4</v>
      </c>
      <c r="F1539">
        <v>4815</v>
      </c>
      <c r="G1539">
        <f>TbReceitas[[#This Row],[quantidade]]*TbReceitas[[#This Row],[preco_unitario]]</f>
        <v>19260</v>
      </c>
      <c r="H1539" t="str">
        <f>TEXT(TbReceitas[[#This Row],[data_transacao]], "aaaa-mm")</f>
        <v>2025-03</v>
      </c>
    </row>
    <row r="1540" spans="1:8">
      <c r="A1540">
        <v>1539</v>
      </c>
      <c r="B1540" s="1">
        <v>46170</v>
      </c>
      <c r="C1540" t="s">
        <v>1586</v>
      </c>
      <c r="D1540" t="s">
        <v>620</v>
      </c>
      <c r="E1540">
        <v>4</v>
      </c>
      <c r="F1540">
        <v>1417</v>
      </c>
      <c r="G1540">
        <f>TbReceitas[[#This Row],[quantidade]]*TbReceitas[[#This Row],[preco_unitario]]</f>
        <v>5668</v>
      </c>
      <c r="H1540" t="str">
        <f>TEXT(TbReceitas[[#This Row],[data_transacao]], "aaaa-mm")</f>
        <v>2026-05</v>
      </c>
    </row>
    <row r="1541" spans="1:8">
      <c r="A1541">
        <v>1540</v>
      </c>
      <c r="B1541" s="1">
        <v>45730</v>
      </c>
      <c r="C1541" t="s">
        <v>1544</v>
      </c>
      <c r="D1541" t="s">
        <v>387</v>
      </c>
      <c r="E1541">
        <v>2</v>
      </c>
      <c r="F1541">
        <v>16353</v>
      </c>
      <c r="G1541">
        <f>TbReceitas[[#This Row],[quantidade]]*TbReceitas[[#This Row],[preco_unitario]]</f>
        <v>32706</v>
      </c>
      <c r="H1541" t="str">
        <f>TEXT(TbReceitas[[#This Row],[data_transacao]], "aaaa-mm")</f>
        <v>2025-03</v>
      </c>
    </row>
    <row r="1542" spans="1:8">
      <c r="A1542">
        <v>1541</v>
      </c>
      <c r="B1542" s="1">
        <v>45665</v>
      </c>
      <c r="C1542" t="s">
        <v>965</v>
      </c>
      <c r="D1542" t="s">
        <v>389</v>
      </c>
      <c r="E1542">
        <v>1</v>
      </c>
      <c r="F1542">
        <v>9915</v>
      </c>
      <c r="G1542">
        <f>TbReceitas[[#This Row],[quantidade]]*TbReceitas[[#This Row],[preco_unitario]]</f>
        <v>9915</v>
      </c>
      <c r="H1542" t="str">
        <f>TEXT(TbReceitas[[#This Row],[data_transacao]], "aaaa-mm")</f>
        <v>2025-01</v>
      </c>
    </row>
    <row r="1543" spans="1:8">
      <c r="A1543">
        <v>1542</v>
      </c>
      <c r="B1543" s="1">
        <v>45593</v>
      </c>
      <c r="C1543" t="s">
        <v>1410</v>
      </c>
      <c r="D1543" t="s">
        <v>650</v>
      </c>
      <c r="E1543">
        <v>3</v>
      </c>
      <c r="F1543">
        <v>15259</v>
      </c>
      <c r="G1543">
        <f>TbReceitas[[#This Row],[quantidade]]*TbReceitas[[#This Row],[preco_unitario]]</f>
        <v>45777</v>
      </c>
      <c r="H1543" t="str">
        <f>TEXT(TbReceitas[[#This Row],[data_transacao]], "aaaa-mm")</f>
        <v>2024-10</v>
      </c>
    </row>
    <row r="1544" spans="1:8">
      <c r="A1544">
        <v>1543</v>
      </c>
      <c r="B1544" s="1">
        <v>45891</v>
      </c>
      <c r="C1544" t="s">
        <v>1335</v>
      </c>
      <c r="D1544" t="s">
        <v>591</v>
      </c>
      <c r="E1544">
        <v>5</v>
      </c>
      <c r="F1544">
        <v>1718</v>
      </c>
      <c r="G1544">
        <f>TbReceitas[[#This Row],[quantidade]]*TbReceitas[[#This Row],[preco_unitario]]</f>
        <v>8590</v>
      </c>
      <c r="H1544" t="str">
        <f>TEXT(TbReceitas[[#This Row],[data_transacao]], "aaaa-mm")</f>
        <v>2025-08</v>
      </c>
    </row>
    <row r="1545" spans="1:8">
      <c r="A1545">
        <v>1544</v>
      </c>
      <c r="B1545" s="1">
        <v>45945</v>
      </c>
      <c r="C1545" t="s">
        <v>1437</v>
      </c>
      <c r="D1545" t="s">
        <v>626</v>
      </c>
      <c r="E1545">
        <v>2</v>
      </c>
      <c r="F1545">
        <v>17147</v>
      </c>
      <c r="G1545">
        <f>TbReceitas[[#This Row],[quantidade]]*TbReceitas[[#This Row],[preco_unitario]]</f>
        <v>34294</v>
      </c>
      <c r="H1545" t="str">
        <f>TEXT(TbReceitas[[#This Row],[data_transacao]], "aaaa-mm")</f>
        <v>2025-10</v>
      </c>
    </row>
    <row r="1546" spans="1:8">
      <c r="A1546">
        <v>1545</v>
      </c>
      <c r="B1546" s="1">
        <v>45808</v>
      </c>
      <c r="C1546" t="s">
        <v>1506</v>
      </c>
      <c r="D1546" t="s">
        <v>108</v>
      </c>
      <c r="E1546">
        <v>3</v>
      </c>
      <c r="F1546">
        <v>6891</v>
      </c>
      <c r="G1546">
        <f>TbReceitas[[#This Row],[quantidade]]*TbReceitas[[#This Row],[preco_unitario]]</f>
        <v>20673</v>
      </c>
      <c r="H1546" t="str">
        <f>TEXT(TbReceitas[[#This Row],[data_transacao]], "aaaa-mm")</f>
        <v>2025-05</v>
      </c>
    </row>
    <row r="1547" spans="1:8">
      <c r="A1547">
        <v>1546</v>
      </c>
      <c r="B1547" s="1">
        <v>46191</v>
      </c>
      <c r="C1547" t="s">
        <v>947</v>
      </c>
      <c r="D1547" t="s">
        <v>512</v>
      </c>
      <c r="E1547">
        <v>1</v>
      </c>
      <c r="F1547">
        <v>14881</v>
      </c>
      <c r="G1547">
        <f>TbReceitas[[#This Row],[quantidade]]*TbReceitas[[#This Row],[preco_unitario]]</f>
        <v>14881</v>
      </c>
      <c r="H1547" t="str">
        <f>TEXT(TbReceitas[[#This Row],[data_transacao]], "aaaa-mm")</f>
        <v>2026-06</v>
      </c>
    </row>
    <row r="1548" spans="1:8">
      <c r="A1548">
        <v>1547</v>
      </c>
      <c r="B1548" s="1">
        <v>45841</v>
      </c>
      <c r="C1548" t="s">
        <v>1524</v>
      </c>
      <c r="D1548" t="s">
        <v>250</v>
      </c>
      <c r="E1548">
        <v>2</v>
      </c>
      <c r="F1548">
        <v>4154</v>
      </c>
      <c r="G1548">
        <f>TbReceitas[[#This Row],[quantidade]]*TbReceitas[[#This Row],[preco_unitario]]</f>
        <v>8308</v>
      </c>
      <c r="H1548" t="str">
        <f>TEXT(TbReceitas[[#This Row],[data_transacao]], "aaaa-mm")</f>
        <v>2025-07</v>
      </c>
    </row>
    <row r="1549" spans="1:8">
      <c r="A1549">
        <v>1548</v>
      </c>
      <c r="B1549" s="1">
        <v>45867</v>
      </c>
      <c r="C1549" t="s">
        <v>714</v>
      </c>
      <c r="D1549" t="s">
        <v>609</v>
      </c>
      <c r="E1549">
        <v>5</v>
      </c>
      <c r="F1549">
        <v>6953</v>
      </c>
      <c r="G1549">
        <f>TbReceitas[[#This Row],[quantidade]]*TbReceitas[[#This Row],[preco_unitario]]</f>
        <v>34765</v>
      </c>
      <c r="H1549" t="str">
        <f>TEXT(TbReceitas[[#This Row],[data_transacao]], "aaaa-mm")</f>
        <v>2025-07</v>
      </c>
    </row>
    <row r="1550" spans="1:8">
      <c r="A1550">
        <v>1549</v>
      </c>
      <c r="B1550" s="1">
        <v>45958</v>
      </c>
      <c r="C1550" t="s">
        <v>1455</v>
      </c>
      <c r="D1550" t="s">
        <v>668</v>
      </c>
      <c r="E1550">
        <v>3</v>
      </c>
      <c r="F1550">
        <v>11769</v>
      </c>
      <c r="G1550">
        <f>TbReceitas[[#This Row],[quantidade]]*TbReceitas[[#This Row],[preco_unitario]]</f>
        <v>35307</v>
      </c>
      <c r="H1550" t="str">
        <f>TEXT(TbReceitas[[#This Row],[data_transacao]], "aaaa-mm")</f>
        <v>2025-10</v>
      </c>
    </row>
    <row r="1551" spans="1:8">
      <c r="A1551">
        <v>1550</v>
      </c>
      <c r="B1551" s="1">
        <v>46025</v>
      </c>
      <c r="C1551" t="s">
        <v>760</v>
      </c>
      <c r="D1551" t="s">
        <v>186</v>
      </c>
      <c r="E1551">
        <v>2</v>
      </c>
      <c r="F1551">
        <v>5111</v>
      </c>
      <c r="G1551">
        <f>TbReceitas[[#This Row],[quantidade]]*TbReceitas[[#This Row],[preco_unitario]]</f>
        <v>10222</v>
      </c>
      <c r="H1551" t="str">
        <f>TEXT(TbReceitas[[#This Row],[data_transacao]], "aaaa-mm")</f>
        <v>2026-01</v>
      </c>
    </row>
    <row r="1552" spans="1:8">
      <c r="A1552">
        <v>1551</v>
      </c>
      <c r="B1552" s="1">
        <v>45748</v>
      </c>
      <c r="C1552" t="s">
        <v>1587</v>
      </c>
      <c r="D1552" t="s">
        <v>209</v>
      </c>
      <c r="E1552">
        <v>3</v>
      </c>
      <c r="F1552">
        <v>15676</v>
      </c>
      <c r="G1552">
        <f>TbReceitas[[#This Row],[quantidade]]*TbReceitas[[#This Row],[preco_unitario]]</f>
        <v>47028</v>
      </c>
      <c r="H1552" t="str">
        <f>TEXT(TbReceitas[[#This Row],[data_transacao]], "aaaa-mm")</f>
        <v>2025-04</v>
      </c>
    </row>
    <row r="1553" spans="1:8">
      <c r="A1553">
        <v>1552</v>
      </c>
      <c r="B1553" s="1">
        <v>45996</v>
      </c>
      <c r="C1553" t="s">
        <v>1390</v>
      </c>
      <c r="D1553" t="s">
        <v>598</v>
      </c>
      <c r="E1553">
        <v>4</v>
      </c>
      <c r="F1553">
        <v>17325</v>
      </c>
      <c r="G1553">
        <f>TbReceitas[[#This Row],[quantidade]]*TbReceitas[[#This Row],[preco_unitario]]</f>
        <v>69300</v>
      </c>
      <c r="H1553" t="str">
        <f>TEXT(TbReceitas[[#This Row],[data_transacao]], "aaaa-mm")</f>
        <v>2025-12</v>
      </c>
    </row>
    <row r="1554" spans="1:8">
      <c r="A1554">
        <v>1553</v>
      </c>
      <c r="B1554" s="1">
        <v>45860</v>
      </c>
      <c r="C1554" t="s">
        <v>1306</v>
      </c>
      <c r="D1554" t="s">
        <v>228</v>
      </c>
      <c r="E1554">
        <v>5</v>
      </c>
      <c r="F1554">
        <v>6348</v>
      </c>
      <c r="G1554">
        <f>TbReceitas[[#This Row],[quantidade]]*TbReceitas[[#This Row],[preco_unitario]]</f>
        <v>31740</v>
      </c>
      <c r="H1554" t="str">
        <f>TEXT(TbReceitas[[#This Row],[data_transacao]], "aaaa-mm")</f>
        <v>2025-07</v>
      </c>
    </row>
    <row r="1555" spans="1:8">
      <c r="A1555">
        <v>1554</v>
      </c>
      <c r="B1555" s="1">
        <v>46134</v>
      </c>
      <c r="C1555" t="s">
        <v>1221</v>
      </c>
      <c r="D1555" t="s">
        <v>400</v>
      </c>
      <c r="E1555">
        <v>4</v>
      </c>
      <c r="F1555">
        <v>1186</v>
      </c>
      <c r="G1555">
        <f>TbReceitas[[#This Row],[quantidade]]*TbReceitas[[#This Row],[preco_unitario]]</f>
        <v>4744</v>
      </c>
      <c r="H1555" t="str">
        <f>TEXT(TbReceitas[[#This Row],[data_transacao]], "aaaa-mm")</f>
        <v>2026-04</v>
      </c>
    </row>
    <row r="1556" spans="1:8">
      <c r="A1556">
        <v>1555</v>
      </c>
      <c r="B1556" s="1">
        <v>46119</v>
      </c>
      <c r="C1556" t="s">
        <v>1239</v>
      </c>
      <c r="D1556" t="s">
        <v>579</v>
      </c>
      <c r="E1556">
        <v>1</v>
      </c>
      <c r="F1556">
        <v>4385</v>
      </c>
      <c r="G1556">
        <f>TbReceitas[[#This Row],[quantidade]]*TbReceitas[[#This Row],[preco_unitario]]</f>
        <v>4385</v>
      </c>
      <c r="H1556" t="str">
        <f>TEXT(TbReceitas[[#This Row],[data_transacao]], "aaaa-mm")</f>
        <v>2026-04</v>
      </c>
    </row>
    <row r="1557" spans="1:8">
      <c r="A1557">
        <v>1556</v>
      </c>
      <c r="B1557" s="1">
        <v>45603</v>
      </c>
      <c r="C1557" t="s">
        <v>1248</v>
      </c>
      <c r="D1557" t="s">
        <v>490</v>
      </c>
      <c r="E1557">
        <v>2</v>
      </c>
      <c r="F1557">
        <v>16926</v>
      </c>
      <c r="G1557">
        <f>TbReceitas[[#This Row],[quantidade]]*TbReceitas[[#This Row],[preco_unitario]]</f>
        <v>33852</v>
      </c>
      <c r="H1557" t="str">
        <f>TEXT(TbReceitas[[#This Row],[data_transacao]], "aaaa-mm")</f>
        <v>2024-11</v>
      </c>
    </row>
    <row r="1558" spans="1:8">
      <c r="A1558">
        <v>1557</v>
      </c>
      <c r="B1558" s="1">
        <v>46252</v>
      </c>
      <c r="C1558" t="s">
        <v>739</v>
      </c>
      <c r="D1558" t="s">
        <v>425</v>
      </c>
      <c r="E1558">
        <v>4</v>
      </c>
      <c r="F1558">
        <v>24879</v>
      </c>
      <c r="G1558">
        <f>TbReceitas[[#This Row],[quantidade]]*TbReceitas[[#This Row],[preco_unitario]]</f>
        <v>99516</v>
      </c>
      <c r="H1558" t="str">
        <f>TEXT(TbReceitas[[#This Row],[data_transacao]], "aaaa-mm")</f>
        <v>2026-08</v>
      </c>
    </row>
    <row r="1559" spans="1:8">
      <c r="A1559">
        <v>1558</v>
      </c>
      <c r="B1559" s="1">
        <v>46056</v>
      </c>
      <c r="C1559" t="s">
        <v>1061</v>
      </c>
      <c r="D1559" t="s">
        <v>696</v>
      </c>
      <c r="E1559">
        <v>1</v>
      </c>
      <c r="F1559">
        <v>24429</v>
      </c>
      <c r="G1559">
        <f>TbReceitas[[#This Row],[quantidade]]*TbReceitas[[#This Row],[preco_unitario]]</f>
        <v>24429</v>
      </c>
      <c r="H1559" t="str">
        <f>TEXT(TbReceitas[[#This Row],[data_transacao]], "aaaa-mm")</f>
        <v>2026-02</v>
      </c>
    </row>
    <row r="1560" spans="1:8">
      <c r="A1560">
        <v>1559</v>
      </c>
      <c r="B1560" s="1">
        <v>46065</v>
      </c>
      <c r="C1560" t="s">
        <v>1351</v>
      </c>
      <c r="D1560" t="s">
        <v>20</v>
      </c>
      <c r="E1560">
        <v>2</v>
      </c>
      <c r="F1560">
        <v>5319</v>
      </c>
      <c r="G1560">
        <f>TbReceitas[[#This Row],[quantidade]]*TbReceitas[[#This Row],[preco_unitario]]</f>
        <v>10638</v>
      </c>
      <c r="H1560" t="str">
        <f>TEXT(TbReceitas[[#This Row],[data_transacao]], "aaaa-mm")</f>
        <v>2026-02</v>
      </c>
    </row>
    <row r="1561" spans="1:8">
      <c r="A1561">
        <v>1560</v>
      </c>
      <c r="B1561" s="1">
        <v>45754</v>
      </c>
      <c r="C1561" t="s">
        <v>906</v>
      </c>
      <c r="D1561" t="s">
        <v>281</v>
      </c>
      <c r="E1561">
        <v>5</v>
      </c>
      <c r="F1561">
        <v>16864</v>
      </c>
      <c r="G1561">
        <f>TbReceitas[[#This Row],[quantidade]]*TbReceitas[[#This Row],[preco_unitario]]</f>
        <v>84320</v>
      </c>
      <c r="H1561" t="str">
        <f>TEXT(TbReceitas[[#This Row],[data_transacao]], "aaaa-mm")</f>
        <v>2025-04</v>
      </c>
    </row>
    <row r="1562" spans="1:8">
      <c r="A1562">
        <v>1561</v>
      </c>
      <c r="B1562" s="1">
        <v>45757</v>
      </c>
      <c r="C1562" t="s">
        <v>754</v>
      </c>
      <c r="D1562" t="s">
        <v>160</v>
      </c>
      <c r="E1562">
        <v>1</v>
      </c>
      <c r="F1562">
        <v>22066</v>
      </c>
      <c r="G1562">
        <f>TbReceitas[[#This Row],[quantidade]]*TbReceitas[[#This Row],[preco_unitario]]</f>
        <v>22066</v>
      </c>
      <c r="H1562" t="str">
        <f>TEXT(TbReceitas[[#This Row],[data_transacao]], "aaaa-mm")</f>
        <v>2025-04</v>
      </c>
    </row>
    <row r="1563" spans="1:8">
      <c r="A1563">
        <v>1562</v>
      </c>
      <c r="B1563" s="1">
        <v>45905</v>
      </c>
      <c r="C1563" t="s">
        <v>1378</v>
      </c>
      <c r="D1563" t="s">
        <v>475</v>
      </c>
      <c r="E1563">
        <v>1</v>
      </c>
      <c r="F1563">
        <v>22017</v>
      </c>
      <c r="G1563">
        <f>TbReceitas[[#This Row],[quantidade]]*TbReceitas[[#This Row],[preco_unitario]]</f>
        <v>22017</v>
      </c>
      <c r="H1563" t="str">
        <f>TEXT(TbReceitas[[#This Row],[data_transacao]], "aaaa-mm")</f>
        <v>2025-09</v>
      </c>
    </row>
    <row r="1564" spans="1:8">
      <c r="A1564">
        <v>1563</v>
      </c>
      <c r="B1564" s="1">
        <v>45594</v>
      </c>
      <c r="C1564" t="s">
        <v>1588</v>
      </c>
      <c r="D1564" t="s">
        <v>124</v>
      </c>
      <c r="E1564">
        <v>5</v>
      </c>
      <c r="F1564">
        <v>16361</v>
      </c>
      <c r="G1564">
        <f>TbReceitas[[#This Row],[quantidade]]*TbReceitas[[#This Row],[preco_unitario]]</f>
        <v>81805</v>
      </c>
      <c r="H1564" t="str">
        <f>TEXT(TbReceitas[[#This Row],[data_transacao]], "aaaa-mm")</f>
        <v>2024-10</v>
      </c>
    </row>
    <row r="1565" spans="1:8">
      <c r="A1565">
        <v>1564</v>
      </c>
      <c r="B1565" s="1">
        <v>45867</v>
      </c>
      <c r="C1565" t="s">
        <v>992</v>
      </c>
      <c r="D1565" t="s">
        <v>597</v>
      </c>
      <c r="E1565">
        <v>5</v>
      </c>
      <c r="F1565">
        <v>24195</v>
      </c>
      <c r="G1565">
        <f>TbReceitas[[#This Row],[quantidade]]*TbReceitas[[#This Row],[preco_unitario]]</f>
        <v>120975</v>
      </c>
      <c r="H1565" t="str">
        <f>TEXT(TbReceitas[[#This Row],[data_transacao]], "aaaa-mm")</f>
        <v>2025-07</v>
      </c>
    </row>
    <row r="1566" spans="1:8">
      <c r="A1566">
        <v>1565</v>
      </c>
      <c r="B1566" s="1">
        <v>45648</v>
      </c>
      <c r="C1566" t="s">
        <v>808</v>
      </c>
      <c r="D1566" t="s">
        <v>600</v>
      </c>
      <c r="E1566">
        <v>4</v>
      </c>
      <c r="F1566">
        <v>16392</v>
      </c>
      <c r="G1566">
        <f>TbReceitas[[#This Row],[quantidade]]*TbReceitas[[#This Row],[preco_unitario]]</f>
        <v>65568</v>
      </c>
      <c r="H1566" t="str">
        <f>TEXT(TbReceitas[[#This Row],[data_transacao]], "aaaa-mm")</f>
        <v>2024-12</v>
      </c>
    </row>
    <row r="1567" spans="1:8">
      <c r="A1567">
        <v>1566</v>
      </c>
      <c r="B1567" s="1">
        <v>45944</v>
      </c>
      <c r="C1567" t="s">
        <v>1287</v>
      </c>
      <c r="D1567" t="s">
        <v>338</v>
      </c>
      <c r="E1567">
        <v>3</v>
      </c>
      <c r="F1567">
        <v>4563</v>
      </c>
      <c r="G1567">
        <f>TbReceitas[[#This Row],[quantidade]]*TbReceitas[[#This Row],[preco_unitario]]</f>
        <v>13689</v>
      </c>
      <c r="H1567" t="str">
        <f>TEXT(TbReceitas[[#This Row],[data_transacao]], "aaaa-mm")</f>
        <v>2025-10</v>
      </c>
    </row>
    <row r="1568" spans="1:8">
      <c r="A1568">
        <v>1567</v>
      </c>
      <c r="B1568" s="1">
        <v>46203</v>
      </c>
      <c r="C1568" t="s">
        <v>1261</v>
      </c>
      <c r="D1568" t="s">
        <v>61</v>
      </c>
      <c r="E1568">
        <v>2</v>
      </c>
      <c r="F1568">
        <v>998</v>
      </c>
      <c r="G1568">
        <f>TbReceitas[[#This Row],[quantidade]]*TbReceitas[[#This Row],[preco_unitario]]</f>
        <v>1996</v>
      </c>
      <c r="H1568" t="str">
        <f>TEXT(TbReceitas[[#This Row],[data_transacao]], "aaaa-mm")</f>
        <v>2026-06</v>
      </c>
    </row>
    <row r="1569" spans="1:8">
      <c r="A1569">
        <v>1568</v>
      </c>
      <c r="B1569" s="1">
        <v>45776</v>
      </c>
      <c r="C1569" t="s">
        <v>1019</v>
      </c>
      <c r="D1569" t="s">
        <v>493</v>
      </c>
      <c r="E1569">
        <v>5</v>
      </c>
      <c r="F1569">
        <v>13377</v>
      </c>
      <c r="G1569">
        <f>TbReceitas[[#This Row],[quantidade]]*TbReceitas[[#This Row],[preco_unitario]]</f>
        <v>66885</v>
      </c>
      <c r="H1569" t="str">
        <f>TEXT(TbReceitas[[#This Row],[data_transacao]], "aaaa-mm")</f>
        <v>2025-04</v>
      </c>
    </row>
    <row r="1570" spans="1:8">
      <c r="A1570">
        <v>1569</v>
      </c>
      <c r="B1570" s="1">
        <v>45759</v>
      </c>
      <c r="C1570" t="s">
        <v>1589</v>
      </c>
      <c r="D1570" t="s">
        <v>224</v>
      </c>
      <c r="E1570">
        <v>3</v>
      </c>
      <c r="F1570">
        <v>2181</v>
      </c>
      <c r="G1570">
        <f>TbReceitas[[#This Row],[quantidade]]*TbReceitas[[#This Row],[preco_unitario]]</f>
        <v>6543</v>
      </c>
      <c r="H1570" t="str">
        <f>TEXT(TbReceitas[[#This Row],[data_transacao]], "aaaa-mm")</f>
        <v>2025-04</v>
      </c>
    </row>
    <row r="1571" spans="1:8">
      <c r="A1571">
        <v>1570</v>
      </c>
      <c r="B1571" s="1">
        <v>45758</v>
      </c>
      <c r="C1571" t="s">
        <v>757</v>
      </c>
      <c r="D1571" t="s">
        <v>327</v>
      </c>
      <c r="E1571">
        <v>2</v>
      </c>
      <c r="F1571">
        <v>23125</v>
      </c>
      <c r="G1571">
        <f>TbReceitas[[#This Row],[quantidade]]*TbReceitas[[#This Row],[preco_unitario]]</f>
        <v>46250</v>
      </c>
      <c r="H1571" t="str">
        <f>TEXT(TbReceitas[[#This Row],[data_transacao]], "aaaa-mm")</f>
        <v>2025-04</v>
      </c>
    </row>
    <row r="1572" spans="1:8">
      <c r="A1572">
        <v>1571</v>
      </c>
      <c r="B1572" s="1">
        <v>45705</v>
      </c>
      <c r="C1572" t="s">
        <v>963</v>
      </c>
      <c r="D1572" t="s">
        <v>79</v>
      </c>
      <c r="E1572">
        <v>5</v>
      </c>
      <c r="F1572">
        <v>7278</v>
      </c>
      <c r="G1572">
        <f>TbReceitas[[#This Row],[quantidade]]*TbReceitas[[#This Row],[preco_unitario]]</f>
        <v>36390</v>
      </c>
      <c r="H1572" t="str">
        <f>TEXT(TbReceitas[[#This Row],[data_transacao]], "aaaa-mm")</f>
        <v>2025-02</v>
      </c>
    </row>
    <row r="1573" spans="1:8">
      <c r="A1573">
        <v>1572</v>
      </c>
      <c r="B1573" s="1">
        <v>46189</v>
      </c>
      <c r="C1573" t="s">
        <v>1166</v>
      </c>
      <c r="D1573" t="s">
        <v>539</v>
      </c>
      <c r="E1573">
        <v>2</v>
      </c>
      <c r="F1573">
        <v>9877</v>
      </c>
      <c r="G1573">
        <f>TbReceitas[[#This Row],[quantidade]]*TbReceitas[[#This Row],[preco_unitario]]</f>
        <v>19754</v>
      </c>
      <c r="H1573" t="str">
        <f>TEXT(TbReceitas[[#This Row],[data_transacao]], "aaaa-mm")</f>
        <v>2026-06</v>
      </c>
    </row>
    <row r="1574" spans="1:8">
      <c r="A1574">
        <v>1573</v>
      </c>
      <c r="B1574" s="1">
        <v>45579</v>
      </c>
      <c r="C1574" t="s">
        <v>1196</v>
      </c>
      <c r="D1574" t="s">
        <v>337</v>
      </c>
      <c r="E1574">
        <v>2</v>
      </c>
      <c r="F1574">
        <v>8484</v>
      </c>
      <c r="G1574">
        <f>TbReceitas[[#This Row],[quantidade]]*TbReceitas[[#This Row],[preco_unitario]]</f>
        <v>16968</v>
      </c>
      <c r="H1574" t="str">
        <f>TEXT(TbReceitas[[#This Row],[data_transacao]], "aaaa-mm")</f>
        <v>2024-10</v>
      </c>
    </row>
    <row r="1575" spans="1:8">
      <c r="A1575">
        <v>1574</v>
      </c>
      <c r="B1575" s="1">
        <v>45955</v>
      </c>
      <c r="C1575" t="s">
        <v>1103</v>
      </c>
      <c r="D1575" t="s">
        <v>628</v>
      </c>
      <c r="E1575">
        <v>5</v>
      </c>
      <c r="F1575">
        <v>4049</v>
      </c>
      <c r="G1575">
        <f>TbReceitas[[#This Row],[quantidade]]*TbReceitas[[#This Row],[preco_unitario]]</f>
        <v>20245</v>
      </c>
      <c r="H1575" t="str">
        <f>TEXT(TbReceitas[[#This Row],[data_transacao]], "aaaa-mm")</f>
        <v>2025-10</v>
      </c>
    </row>
    <row r="1576" spans="1:8">
      <c r="A1576">
        <v>1575</v>
      </c>
      <c r="B1576" s="1">
        <v>46024</v>
      </c>
      <c r="C1576" t="s">
        <v>734</v>
      </c>
      <c r="D1576" t="s">
        <v>235</v>
      </c>
      <c r="E1576">
        <v>1</v>
      </c>
      <c r="F1576">
        <v>3762</v>
      </c>
      <c r="G1576">
        <f>TbReceitas[[#This Row],[quantidade]]*TbReceitas[[#This Row],[preco_unitario]]</f>
        <v>3762</v>
      </c>
      <c r="H1576" t="str">
        <f>TEXT(TbReceitas[[#This Row],[data_transacao]], "aaaa-mm")</f>
        <v>2026-01</v>
      </c>
    </row>
    <row r="1577" spans="1:8">
      <c r="A1577">
        <v>1576</v>
      </c>
      <c r="B1577" s="1">
        <v>45805</v>
      </c>
      <c r="C1577" t="s">
        <v>1164</v>
      </c>
      <c r="D1577" t="s">
        <v>77</v>
      </c>
      <c r="E1577">
        <v>1</v>
      </c>
      <c r="F1577">
        <v>23733</v>
      </c>
      <c r="G1577">
        <f>TbReceitas[[#This Row],[quantidade]]*TbReceitas[[#This Row],[preco_unitario]]</f>
        <v>23733</v>
      </c>
      <c r="H1577" t="str">
        <f>TEXT(TbReceitas[[#This Row],[data_transacao]], "aaaa-mm")</f>
        <v>2025-05</v>
      </c>
    </row>
    <row r="1578" spans="1:8">
      <c r="A1578">
        <v>1577</v>
      </c>
      <c r="B1578" s="1">
        <v>45896</v>
      </c>
      <c r="C1578" t="s">
        <v>1224</v>
      </c>
      <c r="D1578" t="s">
        <v>269</v>
      </c>
      <c r="E1578">
        <v>1</v>
      </c>
      <c r="F1578">
        <v>12528</v>
      </c>
      <c r="G1578">
        <f>TbReceitas[[#This Row],[quantidade]]*TbReceitas[[#This Row],[preco_unitario]]</f>
        <v>12528</v>
      </c>
      <c r="H1578" t="str">
        <f>TEXT(TbReceitas[[#This Row],[data_transacao]], "aaaa-mm")</f>
        <v>2025-08</v>
      </c>
    </row>
    <row r="1579" spans="1:8">
      <c r="A1579">
        <v>1578</v>
      </c>
      <c r="B1579" s="1">
        <v>45632</v>
      </c>
      <c r="C1579" t="s">
        <v>1383</v>
      </c>
      <c r="D1579" t="s">
        <v>463</v>
      </c>
      <c r="E1579">
        <v>2</v>
      </c>
      <c r="F1579">
        <v>4334</v>
      </c>
      <c r="G1579">
        <f>TbReceitas[[#This Row],[quantidade]]*TbReceitas[[#This Row],[preco_unitario]]</f>
        <v>8668</v>
      </c>
      <c r="H1579" t="str">
        <f>TEXT(TbReceitas[[#This Row],[data_transacao]], "aaaa-mm")</f>
        <v>2024-12</v>
      </c>
    </row>
    <row r="1580" spans="1:8">
      <c r="A1580">
        <v>1579</v>
      </c>
      <c r="B1580" s="1">
        <v>46051</v>
      </c>
      <c r="C1580" t="s">
        <v>925</v>
      </c>
      <c r="D1580" t="s">
        <v>385</v>
      </c>
      <c r="E1580">
        <v>5</v>
      </c>
      <c r="F1580">
        <v>10607</v>
      </c>
      <c r="G1580">
        <f>TbReceitas[[#This Row],[quantidade]]*TbReceitas[[#This Row],[preco_unitario]]</f>
        <v>53035</v>
      </c>
      <c r="H1580" t="str">
        <f>TEXT(TbReceitas[[#This Row],[data_transacao]], "aaaa-mm")</f>
        <v>2026-01</v>
      </c>
    </row>
    <row r="1581" spans="1:8">
      <c r="A1581">
        <v>1580</v>
      </c>
      <c r="B1581" s="1">
        <v>45655</v>
      </c>
      <c r="C1581" t="s">
        <v>1292</v>
      </c>
      <c r="D1581" t="s">
        <v>664</v>
      </c>
      <c r="E1581">
        <v>2</v>
      </c>
      <c r="F1581">
        <v>11808</v>
      </c>
      <c r="G1581">
        <f>TbReceitas[[#This Row],[quantidade]]*TbReceitas[[#This Row],[preco_unitario]]</f>
        <v>23616</v>
      </c>
      <c r="H1581" t="str">
        <f>TEXT(TbReceitas[[#This Row],[data_transacao]], "aaaa-mm")</f>
        <v>2024-12</v>
      </c>
    </row>
    <row r="1582" spans="1:8">
      <c r="A1582">
        <v>1581</v>
      </c>
      <c r="B1582" s="1">
        <v>46107</v>
      </c>
      <c r="C1582" t="s">
        <v>1590</v>
      </c>
      <c r="D1582" t="s">
        <v>702</v>
      </c>
      <c r="E1582">
        <v>1</v>
      </c>
      <c r="F1582">
        <v>13503</v>
      </c>
      <c r="G1582">
        <f>TbReceitas[[#This Row],[quantidade]]*TbReceitas[[#This Row],[preco_unitario]]</f>
        <v>13503</v>
      </c>
      <c r="H1582" t="str">
        <f>TEXT(TbReceitas[[#This Row],[data_transacao]], "aaaa-mm")</f>
        <v>2026-03</v>
      </c>
    </row>
    <row r="1583" spans="1:8">
      <c r="A1583">
        <v>1582</v>
      </c>
      <c r="B1583" s="1">
        <v>45728</v>
      </c>
      <c r="C1583" t="s">
        <v>1591</v>
      </c>
      <c r="D1583" t="s">
        <v>173</v>
      </c>
      <c r="E1583">
        <v>5</v>
      </c>
      <c r="F1583">
        <v>10965</v>
      </c>
      <c r="G1583">
        <f>TbReceitas[[#This Row],[quantidade]]*TbReceitas[[#This Row],[preco_unitario]]</f>
        <v>54825</v>
      </c>
      <c r="H1583" t="str">
        <f>TEXT(TbReceitas[[#This Row],[data_transacao]], "aaaa-mm")</f>
        <v>2025-03</v>
      </c>
    </row>
    <row r="1584" spans="1:8">
      <c r="A1584">
        <v>1583</v>
      </c>
      <c r="B1584" s="1">
        <v>45550</v>
      </c>
      <c r="C1584" t="s">
        <v>1253</v>
      </c>
      <c r="D1584" t="s">
        <v>591</v>
      </c>
      <c r="E1584">
        <v>5</v>
      </c>
      <c r="F1584">
        <v>1718</v>
      </c>
      <c r="G1584">
        <f>TbReceitas[[#This Row],[quantidade]]*TbReceitas[[#This Row],[preco_unitario]]</f>
        <v>8590</v>
      </c>
      <c r="H1584" t="str">
        <f>TEXT(TbReceitas[[#This Row],[data_transacao]], "aaaa-mm")</f>
        <v>2024-09</v>
      </c>
    </row>
    <row r="1585" spans="1:8">
      <c r="A1585">
        <v>1584</v>
      </c>
      <c r="B1585" s="1">
        <v>46194</v>
      </c>
      <c r="C1585" t="s">
        <v>1369</v>
      </c>
      <c r="D1585" t="s">
        <v>629</v>
      </c>
      <c r="E1585">
        <v>4</v>
      </c>
      <c r="F1585">
        <v>24931</v>
      </c>
      <c r="G1585">
        <f>TbReceitas[[#This Row],[quantidade]]*TbReceitas[[#This Row],[preco_unitario]]</f>
        <v>99724</v>
      </c>
      <c r="H1585" t="str">
        <f>TEXT(TbReceitas[[#This Row],[data_transacao]], "aaaa-mm")</f>
        <v>2026-06</v>
      </c>
    </row>
    <row r="1586" spans="1:8">
      <c r="A1586">
        <v>1585</v>
      </c>
      <c r="B1586" s="1">
        <v>46040</v>
      </c>
      <c r="C1586" t="s">
        <v>1224</v>
      </c>
      <c r="D1586" t="s">
        <v>267</v>
      </c>
      <c r="E1586">
        <v>4</v>
      </c>
      <c r="F1586">
        <v>8433</v>
      </c>
      <c r="G1586">
        <f>TbReceitas[[#This Row],[quantidade]]*TbReceitas[[#This Row],[preco_unitario]]</f>
        <v>33732</v>
      </c>
      <c r="H1586" t="str">
        <f>TEXT(TbReceitas[[#This Row],[data_transacao]], "aaaa-mm")</f>
        <v>2026-01</v>
      </c>
    </row>
    <row r="1587" spans="1:8">
      <c r="A1587">
        <v>1586</v>
      </c>
      <c r="B1587" s="1">
        <v>46248</v>
      </c>
      <c r="C1587" t="s">
        <v>1400</v>
      </c>
      <c r="D1587" t="s">
        <v>516</v>
      </c>
      <c r="E1587">
        <v>5</v>
      </c>
      <c r="F1587">
        <v>4039</v>
      </c>
      <c r="G1587">
        <f>TbReceitas[[#This Row],[quantidade]]*TbReceitas[[#This Row],[preco_unitario]]</f>
        <v>20195</v>
      </c>
      <c r="H1587" t="str">
        <f>TEXT(TbReceitas[[#This Row],[data_transacao]], "aaaa-mm")</f>
        <v>2026-08</v>
      </c>
    </row>
    <row r="1588" spans="1:8">
      <c r="A1588">
        <v>1587</v>
      </c>
      <c r="B1588" s="1">
        <v>45905</v>
      </c>
      <c r="C1588" t="s">
        <v>1435</v>
      </c>
      <c r="D1588" t="s">
        <v>635</v>
      </c>
      <c r="E1588">
        <v>2</v>
      </c>
      <c r="F1588">
        <v>821</v>
      </c>
      <c r="G1588">
        <f>TbReceitas[[#This Row],[quantidade]]*TbReceitas[[#This Row],[preco_unitario]]</f>
        <v>1642</v>
      </c>
      <c r="H1588" t="str">
        <f>TEXT(TbReceitas[[#This Row],[data_transacao]], "aaaa-mm")</f>
        <v>2025-09</v>
      </c>
    </row>
    <row r="1589" spans="1:8">
      <c r="A1589">
        <v>1588</v>
      </c>
      <c r="B1589" s="1">
        <v>45843</v>
      </c>
      <c r="C1589" t="s">
        <v>1592</v>
      </c>
      <c r="D1589" t="s">
        <v>217</v>
      </c>
      <c r="E1589">
        <v>2</v>
      </c>
      <c r="F1589">
        <v>4789</v>
      </c>
      <c r="G1589">
        <f>TbReceitas[[#This Row],[quantidade]]*TbReceitas[[#This Row],[preco_unitario]]</f>
        <v>9578</v>
      </c>
      <c r="H1589" t="str">
        <f>TEXT(TbReceitas[[#This Row],[data_transacao]], "aaaa-mm")</f>
        <v>2025-07</v>
      </c>
    </row>
    <row r="1590" spans="1:8">
      <c r="A1590">
        <v>1589</v>
      </c>
      <c r="B1590" s="1">
        <v>45653</v>
      </c>
      <c r="C1590" t="s">
        <v>1177</v>
      </c>
      <c r="D1590" t="s">
        <v>147</v>
      </c>
      <c r="E1590">
        <v>4</v>
      </c>
      <c r="F1590">
        <v>3654</v>
      </c>
      <c r="G1590">
        <f>TbReceitas[[#This Row],[quantidade]]*TbReceitas[[#This Row],[preco_unitario]]</f>
        <v>14616</v>
      </c>
      <c r="H1590" t="str">
        <f>TEXT(TbReceitas[[#This Row],[data_transacao]], "aaaa-mm")</f>
        <v>2024-12</v>
      </c>
    </row>
    <row r="1591" spans="1:8">
      <c r="A1591">
        <v>1590</v>
      </c>
      <c r="B1591" s="1">
        <v>45864</v>
      </c>
      <c r="C1591" t="s">
        <v>1235</v>
      </c>
      <c r="D1591" t="s">
        <v>51</v>
      </c>
      <c r="E1591">
        <v>2</v>
      </c>
      <c r="F1591">
        <v>8334</v>
      </c>
      <c r="G1591">
        <f>TbReceitas[[#This Row],[quantidade]]*TbReceitas[[#This Row],[preco_unitario]]</f>
        <v>16668</v>
      </c>
      <c r="H1591" t="str">
        <f>TEXT(TbReceitas[[#This Row],[data_transacao]], "aaaa-mm")</f>
        <v>2025-07</v>
      </c>
    </row>
    <row r="1592" spans="1:8">
      <c r="A1592">
        <v>1591</v>
      </c>
      <c r="B1592" s="1">
        <v>46004</v>
      </c>
      <c r="C1592" t="s">
        <v>1060</v>
      </c>
      <c r="D1592" t="s">
        <v>407</v>
      </c>
      <c r="E1592">
        <v>3</v>
      </c>
      <c r="F1592">
        <v>6567</v>
      </c>
      <c r="G1592">
        <f>TbReceitas[[#This Row],[quantidade]]*TbReceitas[[#This Row],[preco_unitario]]</f>
        <v>19701</v>
      </c>
      <c r="H1592" t="str">
        <f>TEXT(TbReceitas[[#This Row],[data_transacao]], "aaaa-mm")</f>
        <v>2025-12</v>
      </c>
    </row>
    <row r="1593" spans="1:8">
      <c r="A1593">
        <v>1592</v>
      </c>
      <c r="B1593" s="1">
        <v>45751</v>
      </c>
      <c r="C1593" t="s">
        <v>1593</v>
      </c>
      <c r="D1593" t="s">
        <v>26</v>
      </c>
      <c r="E1593">
        <v>4</v>
      </c>
      <c r="F1593">
        <v>936</v>
      </c>
      <c r="G1593">
        <f>TbReceitas[[#This Row],[quantidade]]*TbReceitas[[#This Row],[preco_unitario]]</f>
        <v>3744</v>
      </c>
      <c r="H1593" t="str">
        <f>TEXT(TbReceitas[[#This Row],[data_transacao]], "aaaa-mm")</f>
        <v>2025-04</v>
      </c>
    </row>
    <row r="1594" spans="1:8">
      <c r="A1594">
        <v>1593</v>
      </c>
      <c r="B1594" s="1">
        <v>46258</v>
      </c>
      <c r="C1594" t="s">
        <v>1219</v>
      </c>
      <c r="D1594" t="s">
        <v>239</v>
      </c>
      <c r="E1594">
        <v>2</v>
      </c>
      <c r="F1594">
        <v>3369</v>
      </c>
      <c r="G1594">
        <f>TbReceitas[[#This Row],[quantidade]]*TbReceitas[[#This Row],[preco_unitario]]</f>
        <v>6738</v>
      </c>
      <c r="H1594" t="str">
        <f>TEXT(TbReceitas[[#This Row],[data_transacao]], "aaaa-mm")</f>
        <v>2026-08</v>
      </c>
    </row>
    <row r="1595" spans="1:8">
      <c r="A1595">
        <v>1594</v>
      </c>
      <c r="B1595" s="1">
        <v>46056</v>
      </c>
      <c r="C1595" t="s">
        <v>1391</v>
      </c>
      <c r="D1595" t="s">
        <v>294</v>
      </c>
      <c r="E1595">
        <v>3</v>
      </c>
      <c r="F1595">
        <v>18109</v>
      </c>
      <c r="G1595">
        <f>TbReceitas[[#This Row],[quantidade]]*TbReceitas[[#This Row],[preco_unitario]]</f>
        <v>54327</v>
      </c>
      <c r="H1595" t="str">
        <f>TEXT(TbReceitas[[#This Row],[data_transacao]], "aaaa-mm")</f>
        <v>2026-02</v>
      </c>
    </row>
    <row r="1596" spans="1:8">
      <c r="A1596">
        <v>1595</v>
      </c>
      <c r="B1596" s="1">
        <v>45559</v>
      </c>
      <c r="C1596" t="s">
        <v>1594</v>
      </c>
      <c r="D1596" t="s">
        <v>227</v>
      </c>
      <c r="E1596">
        <v>2</v>
      </c>
      <c r="F1596">
        <v>23168</v>
      </c>
      <c r="G1596">
        <f>TbReceitas[[#This Row],[quantidade]]*TbReceitas[[#This Row],[preco_unitario]]</f>
        <v>46336</v>
      </c>
      <c r="H1596" t="str">
        <f>TEXT(TbReceitas[[#This Row],[data_transacao]], "aaaa-mm")</f>
        <v>2024-09</v>
      </c>
    </row>
    <row r="1597" spans="1:8">
      <c r="A1597">
        <v>1596</v>
      </c>
      <c r="B1597" s="1">
        <v>45979</v>
      </c>
      <c r="C1597" t="s">
        <v>1042</v>
      </c>
      <c r="D1597" t="s">
        <v>10</v>
      </c>
      <c r="E1597">
        <v>4</v>
      </c>
      <c r="F1597">
        <v>9876</v>
      </c>
      <c r="G1597">
        <f>TbReceitas[[#This Row],[quantidade]]*TbReceitas[[#This Row],[preco_unitario]]</f>
        <v>39504</v>
      </c>
      <c r="H1597" t="str">
        <f>TEXT(TbReceitas[[#This Row],[data_transacao]], "aaaa-mm")</f>
        <v>2025-11</v>
      </c>
    </row>
    <row r="1598" spans="1:8">
      <c r="A1598">
        <v>1597</v>
      </c>
      <c r="B1598" s="1">
        <v>45794</v>
      </c>
      <c r="C1598" t="s">
        <v>1099</v>
      </c>
      <c r="D1598" t="s">
        <v>95</v>
      </c>
      <c r="E1598">
        <v>1</v>
      </c>
      <c r="F1598">
        <v>23586</v>
      </c>
      <c r="G1598">
        <f>TbReceitas[[#This Row],[quantidade]]*TbReceitas[[#This Row],[preco_unitario]]</f>
        <v>23586</v>
      </c>
      <c r="H1598" t="str">
        <f>TEXT(TbReceitas[[#This Row],[data_transacao]], "aaaa-mm")</f>
        <v>2025-05</v>
      </c>
    </row>
    <row r="1599" spans="1:8">
      <c r="A1599">
        <v>1598</v>
      </c>
      <c r="B1599" s="1">
        <v>46051</v>
      </c>
      <c r="C1599" t="s">
        <v>1284</v>
      </c>
      <c r="D1599" t="s">
        <v>182</v>
      </c>
      <c r="E1599">
        <v>3</v>
      </c>
      <c r="F1599">
        <v>19777</v>
      </c>
      <c r="G1599">
        <f>TbReceitas[[#This Row],[quantidade]]*TbReceitas[[#This Row],[preco_unitario]]</f>
        <v>59331</v>
      </c>
      <c r="H1599" t="str">
        <f>TEXT(TbReceitas[[#This Row],[data_transacao]], "aaaa-mm")</f>
        <v>2026-01</v>
      </c>
    </row>
    <row r="1600" spans="1:8">
      <c r="A1600">
        <v>1599</v>
      </c>
      <c r="B1600" s="1">
        <v>45899</v>
      </c>
      <c r="C1600" t="s">
        <v>1516</v>
      </c>
      <c r="D1600" t="s">
        <v>99</v>
      </c>
      <c r="E1600">
        <v>3</v>
      </c>
      <c r="F1600">
        <v>19038</v>
      </c>
      <c r="G1600">
        <f>TbReceitas[[#This Row],[quantidade]]*TbReceitas[[#This Row],[preco_unitario]]</f>
        <v>57114</v>
      </c>
      <c r="H1600" t="str">
        <f>TEXT(TbReceitas[[#This Row],[data_transacao]], "aaaa-mm")</f>
        <v>2025-08</v>
      </c>
    </row>
    <row r="1601" spans="1:8">
      <c r="A1601">
        <v>1600</v>
      </c>
      <c r="B1601" s="1">
        <v>45569</v>
      </c>
      <c r="C1601" t="s">
        <v>1352</v>
      </c>
      <c r="D1601" t="s">
        <v>168</v>
      </c>
      <c r="E1601">
        <v>4</v>
      </c>
      <c r="F1601">
        <v>3678</v>
      </c>
      <c r="G1601">
        <f>TbReceitas[[#This Row],[quantidade]]*TbReceitas[[#This Row],[preco_unitario]]</f>
        <v>14712</v>
      </c>
      <c r="H1601" t="str">
        <f>TEXT(TbReceitas[[#This Row],[data_transacao]], "aaaa-mm")</f>
        <v>2024-10</v>
      </c>
    </row>
    <row r="1602" spans="1:8">
      <c r="A1602">
        <v>1601</v>
      </c>
      <c r="B1602" s="1">
        <v>45694</v>
      </c>
      <c r="C1602" t="s">
        <v>1283</v>
      </c>
      <c r="D1602" t="s">
        <v>368</v>
      </c>
      <c r="E1602">
        <v>4</v>
      </c>
      <c r="F1602">
        <v>18714</v>
      </c>
      <c r="G1602">
        <f>TbReceitas[[#This Row],[quantidade]]*TbReceitas[[#This Row],[preco_unitario]]</f>
        <v>74856</v>
      </c>
      <c r="H1602" t="str">
        <f>TEXT(TbReceitas[[#This Row],[data_transacao]], "aaaa-mm")</f>
        <v>2025-02</v>
      </c>
    </row>
    <row r="1603" spans="1:8">
      <c r="A1603">
        <v>1602</v>
      </c>
      <c r="B1603" s="1">
        <v>45572</v>
      </c>
      <c r="C1603" t="s">
        <v>1391</v>
      </c>
      <c r="D1603" t="s">
        <v>703</v>
      </c>
      <c r="E1603">
        <v>3</v>
      </c>
      <c r="F1603">
        <v>5102</v>
      </c>
      <c r="G1603">
        <f>TbReceitas[[#This Row],[quantidade]]*TbReceitas[[#This Row],[preco_unitario]]</f>
        <v>15306</v>
      </c>
      <c r="H1603" t="str">
        <f>TEXT(TbReceitas[[#This Row],[data_transacao]], "aaaa-mm")</f>
        <v>2024-10</v>
      </c>
    </row>
    <row r="1604" spans="1:8">
      <c r="A1604">
        <v>1603</v>
      </c>
      <c r="B1604" s="1">
        <v>45729</v>
      </c>
      <c r="C1604" t="s">
        <v>1038</v>
      </c>
      <c r="D1604" t="s">
        <v>270</v>
      </c>
      <c r="E1604">
        <v>5</v>
      </c>
      <c r="F1604">
        <v>24663</v>
      </c>
      <c r="G1604">
        <f>TbReceitas[[#This Row],[quantidade]]*TbReceitas[[#This Row],[preco_unitario]]</f>
        <v>123315</v>
      </c>
      <c r="H1604" t="str">
        <f>TEXT(TbReceitas[[#This Row],[data_transacao]], "aaaa-mm")</f>
        <v>2025-03</v>
      </c>
    </row>
    <row r="1605" spans="1:8">
      <c r="A1605">
        <v>1604</v>
      </c>
      <c r="B1605" s="1">
        <v>45873</v>
      </c>
      <c r="C1605" t="s">
        <v>1187</v>
      </c>
      <c r="D1605" t="s">
        <v>284</v>
      </c>
      <c r="E1605">
        <v>5</v>
      </c>
      <c r="F1605">
        <v>16365</v>
      </c>
      <c r="G1605">
        <f>TbReceitas[[#This Row],[quantidade]]*TbReceitas[[#This Row],[preco_unitario]]</f>
        <v>81825</v>
      </c>
      <c r="H1605" t="str">
        <f>TEXT(TbReceitas[[#This Row],[data_transacao]], "aaaa-mm")</f>
        <v>2025-08</v>
      </c>
    </row>
    <row r="1606" spans="1:8">
      <c r="A1606">
        <v>1605</v>
      </c>
      <c r="B1606" s="1">
        <v>45816</v>
      </c>
      <c r="C1606" t="s">
        <v>1232</v>
      </c>
      <c r="D1606" t="s">
        <v>510</v>
      </c>
      <c r="E1606">
        <v>2</v>
      </c>
      <c r="F1606">
        <v>16197</v>
      </c>
      <c r="G1606">
        <f>TbReceitas[[#This Row],[quantidade]]*TbReceitas[[#This Row],[preco_unitario]]</f>
        <v>32394</v>
      </c>
      <c r="H1606" t="str">
        <f>TEXT(TbReceitas[[#This Row],[data_transacao]], "aaaa-mm")</f>
        <v>2025-06</v>
      </c>
    </row>
    <row r="1607" spans="1:8">
      <c r="A1607">
        <v>1606</v>
      </c>
      <c r="B1607" s="1">
        <v>45806</v>
      </c>
      <c r="C1607" t="s">
        <v>716</v>
      </c>
      <c r="D1607" t="s">
        <v>156</v>
      </c>
      <c r="E1607">
        <v>3</v>
      </c>
      <c r="F1607">
        <v>20451</v>
      </c>
      <c r="G1607">
        <f>TbReceitas[[#This Row],[quantidade]]*TbReceitas[[#This Row],[preco_unitario]]</f>
        <v>61353</v>
      </c>
      <c r="H1607" t="str">
        <f>TEXT(TbReceitas[[#This Row],[data_transacao]], "aaaa-mm")</f>
        <v>2025-05</v>
      </c>
    </row>
    <row r="1608" spans="1:8">
      <c r="A1608">
        <v>1607</v>
      </c>
      <c r="B1608" s="1">
        <v>46075</v>
      </c>
      <c r="C1608" t="s">
        <v>1153</v>
      </c>
      <c r="D1608" t="s">
        <v>355</v>
      </c>
      <c r="E1608">
        <v>3</v>
      </c>
      <c r="F1608">
        <v>22343</v>
      </c>
      <c r="G1608">
        <f>TbReceitas[[#This Row],[quantidade]]*TbReceitas[[#This Row],[preco_unitario]]</f>
        <v>67029</v>
      </c>
      <c r="H1608" t="str">
        <f>TEXT(TbReceitas[[#This Row],[data_transacao]], "aaaa-mm")</f>
        <v>2026-02</v>
      </c>
    </row>
    <row r="1609" spans="1:8">
      <c r="A1609">
        <v>1608</v>
      </c>
      <c r="B1609" s="1">
        <v>45952</v>
      </c>
      <c r="C1609" t="s">
        <v>1595</v>
      </c>
      <c r="D1609" t="s">
        <v>404</v>
      </c>
      <c r="E1609">
        <v>1</v>
      </c>
      <c r="F1609">
        <v>23298</v>
      </c>
      <c r="G1609">
        <f>TbReceitas[[#This Row],[quantidade]]*TbReceitas[[#This Row],[preco_unitario]]</f>
        <v>23298</v>
      </c>
      <c r="H1609" t="str">
        <f>TEXT(TbReceitas[[#This Row],[data_transacao]], "aaaa-mm")</f>
        <v>2025-10</v>
      </c>
    </row>
    <row r="1610" spans="1:8">
      <c r="A1610">
        <v>1609</v>
      </c>
      <c r="B1610" s="1">
        <v>45909</v>
      </c>
      <c r="C1610" t="s">
        <v>1512</v>
      </c>
      <c r="D1610" t="s">
        <v>606</v>
      </c>
      <c r="E1610">
        <v>4</v>
      </c>
      <c r="F1610">
        <v>7402</v>
      </c>
      <c r="G1610">
        <f>TbReceitas[[#This Row],[quantidade]]*TbReceitas[[#This Row],[preco_unitario]]</f>
        <v>29608</v>
      </c>
      <c r="H1610" t="str">
        <f>TEXT(TbReceitas[[#This Row],[data_transacao]], "aaaa-mm")</f>
        <v>2025-09</v>
      </c>
    </row>
    <row r="1611" spans="1:8">
      <c r="A1611">
        <v>1610</v>
      </c>
      <c r="B1611" s="1">
        <v>45836</v>
      </c>
      <c r="C1611" t="s">
        <v>845</v>
      </c>
      <c r="D1611" t="s">
        <v>415</v>
      </c>
      <c r="E1611">
        <v>3</v>
      </c>
      <c r="F1611">
        <v>19318</v>
      </c>
      <c r="G1611">
        <f>TbReceitas[[#This Row],[quantidade]]*TbReceitas[[#This Row],[preco_unitario]]</f>
        <v>57954</v>
      </c>
      <c r="H1611" t="str">
        <f>TEXT(TbReceitas[[#This Row],[data_transacao]], "aaaa-mm")</f>
        <v>2025-06</v>
      </c>
    </row>
    <row r="1612" spans="1:8">
      <c r="A1612">
        <v>1611</v>
      </c>
      <c r="B1612" s="1">
        <v>46063</v>
      </c>
      <c r="C1612" t="s">
        <v>1184</v>
      </c>
      <c r="D1612" t="s">
        <v>268</v>
      </c>
      <c r="E1612">
        <v>2</v>
      </c>
      <c r="F1612">
        <v>6493</v>
      </c>
      <c r="G1612">
        <f>TbReceitas[[#This Row],[quantidade]]*TbReceitas[[#This Row],[preco_unitario]]</f>
        <v>12986</v>
      </c>
      <c r="H1612" t="str">
        <f>TEXT(TbReceitas[[#This Row],[data_transacao]], "aaaa-mm")</f>
        <v>2026-02</v>
      </c>
    </row>
    <row r="1613" spans="1:8">
      <c r="A1613">
        <v>1612</v>
      </c>
      <c r="B1613" s="1">
        <v>45740</v>
      </c>
      <c r="C1613" t="s">
        <v>1092</v>
      </c>
      <c r="D1613" t="s">
        <v>72</v>
      </c>
      <c r="E1613">
        <v>5</v>
      </c>
      <c r="F1613">
        <v>22215</v>
      </c>
      <c r="G1613">
        <f>TbReceitas[[#This Row],[quantidade]]*TbReceitas[[#This Row],[preco_unitario]]</f>
        <v>111075</v>
      </c>
      <c r="H1613" t="str">
        <f>TEXT(TbReceitas[[#This Row],[data_transacao]], "aaaa-mm")</f>
        <v>2025-03</v>
      </c>
    </row>
    <row r="1614" spans="1:8">
      <c r="A1614">
        <v>1613</v>
      </c>
      <c r="B1614" s="1">
        <v>45622</v>
      </c>
      <c r="C1614" t="s">
        <v>776</v>
      </c>
      <c r="D1614" t="s">
        <v>666</v>
      </c>
      <c r="E1614">
        <v>4</v>
      </c>
      <c r="F1614">
        <v>17061</v>
      </c>
      <c r="G1614">
        <f>TbReceitas[[#This Row],[quantidade]]*TbReceitas[[#This Row],[preco_unitario]]</f>
        <v>68244</v>
      </c>
      <c r="H1614" t="str">
        <f>TEXT(TbReceitas[[#This Row],[data_transacao]], "aaaa-mm")</f>
        <v>2024-11</v>
      </c>
    </row>
    <row r="1615" spans="1:8">
      <c r="A1615">
        <v>1614</v>
      </c>
      <c r="B1615" s="1">
        <v>45714</v>
      </c>
      <c r="C1615" t="s">
        <v>1596</v>
      </c>
      <c r="D1615" t="s">
        <v>68</v>
      </c>
      <c r="E1615">
        <v>2</v>
      </c>
      <c r="F1615">
        <v>17449</v>
      </c>
      <c r="G1615">
        <f>TbReceitas[[#This Row],[quantidade]]*TbReceitas[[#This Row],[preco_unitario]]</f>
        <v>34898</v>
      </c>
      <c r="H1615" t="str">
        <f>TEXT(TbReceitas[[#This Row],[data_transacao]], "aaaa-mm")</f>
        <v>2025-02</v>
      </c>
    </row>
    <row r="1616" spans="1:8">
      <c r="A1616">
        <v>1615</v>
      </c>
      <c r="B1616" s="1">
        <v>46003</v>
      </c>
      <c r="C1616" t="s">
        <v>1422</v>
      </c>
      <c r="D1616" t="s">
        <v>268</v>
      </c>
      <c r="E1616">
        <v>2</v>
      </c>
      <c r="F1616">
        <v>6493</v>
      </c>
      <c r="G1616">
        <f>TbReceitas[[#This Row],[quantidade]]*TbReceitas[[#This Row],[preco_unitario]]</f>
        <v>12986</v>
      </c>
      <c r="H1616" t="str">
        <f>TEXT(TbReceitas[[#This Row],[data_transacao]], "aaaa-mm")</f>
        <v>2025-12</v>
      </c>
    </row>
    <row r="1617" spans="1:8">
      <c r="A1617">
        <v>1616</v>
      </c>
      <c r="B1617" s="1">
        <v>45858</v>
      </c>
      <c r="C1617" t="s">
        <v>882</v>
      </c>
      <c r="D1617" t="s">
        <v>269</v>
      </c>
      <c r="E1617">
        <v>3</v>
      </c>
      <c r="F1617">
        <v>12528</v>
      </c>
      <c r="G1617">
        <f>TbReceitas[[#This Row],[quantidade]]*TbReceitas[[#This Row],[preco_unitario]]</f>
        <v>37584</v>
      </c>
      <c r="H1617" t="str">
        <f>TEXT(TbReceitas[[#This Row],[data_transacao]], "aaaa-mm")</f>
        <v>2025-07</v>
      </c>
    </row>
    <row r="1618" spans="1:8">
      <c r="A1618">
        <v>1617</v>
      </c>
      <c r="B1618" s="1">
        <v>45801</v>
      </c>
      <c r="C1618" t="s">
        <v>1551</v>
      </c>
      <c r="D1618" t="s">
        <v>61</v>
      </c>
      <c r="E1618">
        <v>1</v>
      </c>
      <c r="F1618">
        <v>998</v>
      </c>
      <c r="G1618">
        <f>TbReceitas[[#This Row],[quantidade]]*TbReceitas[[#This Row],[preco_unitario]]</f>
        <v>998</v>
      </c>
      <c r="H1618" t="str">
        <f>TEXT(TbReceitas[[#This Row],[data_transacao]], "aaaa-mm")</f>
        <v>2025-05</v>
      </c>
    </row>
    <row r="1619" spans="1:8">
      <c r="A1619">
        <v>1618</v>
      </c>
      <c r="B1619" s="1">
        <v>46028</v>
      </c>
      <c r="C1619" t="s">
        <v>1237</v>
      </c>
      <c r="D1619" t="s">
        <v>641</v>
      </c>
      <c r="E1619">
        <v>1</v>
      </c>
      <c r="F1619">
        <v>3128</v>
      </c>
      <c r="G1619">
        <f>TbReceitas[[#This Row],[quantidade]]*TbReceitas[[#This Row],[preco_unitario]]</f>
        <v>3128</v>
      </c>
      <c r="H1619" t="str">
        <f>TEXT(TbReceitas[[#This Row],[data_transacao]], "aaaa-mm")</f>
        <v>2026-01</v>
      </c>
    </row>
    <row r="1620" spans="1:8">
      <c r="A1620">
        <v>1619</v>
      </c>
      <c r="B1620" s="1">
        <v>45560</v>
      </c>
      <c r="C1620" t="s">
        <v>1430</v>
      </c>
      <c r="D1620" t="s">
        <v>570</v>
      </c>
      <c r="E1620">
        <v>5</v>
      </c>
      <c r="F1620">
        <v>21533</v>
      </c>
      <c r="G1620">
        <f>TbReceitas[[#This Row],[quantidade]]*TbReceitas[[#This Row],[preco_unitario]]</f>
        <v>107665</v>
      </c>
      <c r="H1620" t="str">
        <f>TEXT(TbReceitas[[#This Row],[data_transacao]], "aaaa-mm")</f>
        <v>2024-09</v>
      </c>
    </row>
    <row r="1621" spans="1:8">
      <c r="A1621">
        <v>1620</v>
      </c>
      <c r="B1621" s="1">
        <v>45999</v>
      </c>
      <c r="C1621" t="s">
        <v>1136</v>
      </c>
      <c r="D1621" t="s">
        <v>456</v>
      </c>
      <c r="E1621">
        <v>4</v>
      </c>
      <c r="F1621">
        <v>4361</v>
      </c>
      <c r="G1621">
        <f>TbReceitas[[#This Row],[quantidade]]*TbReceitas[[#This Row],[preco_unitario]]</f>
        <v>17444</v>
      </c>
      <c r="H1621" t="str">
        <f>TEXT(TbReceitas[[#This Row],[data_transacao]], "aaaa-mm")</f>
        <v>2025-12</v>
      </c>
    </row>
    <row r="1622" spans="1:8">
      <c r="A1622">
        <v>1621</v>
      </c>
      <c r="B1622" s="1">
        <v>45964</v>
      </c>
      <c r="C1622" t="s">
        <v>1106</v>
      </c>
      <c r="D1622" t="s">
        <v>231</v>
      </c>
      <c r="E1622">
        <v>3</v>
      </c>
      <c r="F1622">
        <v>10892</v>
      </c>
      <c r="G1622">
        <f>TbReceitas[[#This Row],[quantidade]]*TbReceitas[[#This Row],[preco_unitario]]</f>
        <v>32676</v>
      </c>
      <c r="H1622" t="str">
        <f>TEXT(TbReceitas[[#This Row],[data_transacao]], "aaaa-mm")</f>
        <v>2025-11</v>
      </c>
    </row>
    <row r="1623" spans="1:8">
      <c r="A1623">
        <v>1622</v>
      </c>
      <c r="B1623" s="1">
        <v>45835</v>
      </c>
      <c r="C1623" t="s">
        <v>1070</v>
      </c>
      <c r="D1623" t="s">
        <v>138</v>
      </c>
      <c r="E1623">
        <v>3</v>
      </c>
      <c r="F1623">
        <v>20784</v>
      </c>
      <c r="G1623">
        <f>TbReceitas[[#This Row],[quantidade]]*TbReceitas[[#This Row],[preco_unitario]]</f>
        <v>62352</v>
      </c>
      <c r="H1623" t="str">
        <f>TEXT(TbReceitas[[#This Row],[data_transacao]], "aaaa-mm")</f>
        <v>2025-06</v>
      </c>
    </row>
    <row r="1624" spans="1:8">
      <c r="A1624">
        <v>1623</v>
      </c>
      <c r="B1624" s="1">
        <v>45588</v>
      </c>
      <c r="C1624" t="s">
        <v>1531</v>
      </c>
      <c r="D1624" t="s">
        <v>10</v>
      </c>
      <c r="E1624">
        <v>1</v>
      </c>
      <c r="F1624">
        <v>9876</v>
      </c>
      <c r="G1624">
        <f>TbReceitas[[#This Row],[quantidade]]*TbReceitas[[#This Row],[preco_unitario]]</f>
        <v>9876</v>
      </c>
      <c r="H1624" t="str">
        <f>TEXT(TbReceitas[[#This Row],[data_transacao]], "aaaa-mm")</f>
        <v>2024-10</v>
      </c>
    </row>
    <row r="1625" spans="1:8">
      <c r="A1625">
        <v>1624</v>
      </c>
      <c r="B1625" s="1">
        <v>45697</v>
      </c>
      <c r="C1625" t="s">
        <v>1374</v>
      </c>
      <c r="D1625" t="s">
        <v>528</v>
      </c>
      <c r="E1625">
        <v>1</v>
      </c>
      <c r="F1625">
        <v>17709</v>
      </c>
      <c r="G1625">
        <f>TbReceitas[[#This Row],[quantidade]]*TbReceitas[[#This Row],[preco_unitario]]</f>
        <v>17709</v>
      </c>
      <c r="H1625" t="str">
        <f>TEXT(TbReceitas[[#This Row],[data_transacao]], "aaaa-mm")</f>
        <v>2025-02</v>
      </c>
    </row>
    <row r="1626" spans="1:8">
      <c r="A1626">
        <v>1625</v>
      </c>
      <c r="B1626" s="1">
        <v>45656</v>
      </c>
      <c r="C1626" t="s">
        <v>1044</v>
      </c>
      <c r="D1626" t="s">
        <v>27</v>
      </c>
      <c r="E1626">
        <v>2</v>
      </c>
      <c r="F1626">
        <v>18944</v>
      </c>
      <c r="G1626">
        <f>TbReceitas[[#This Row],[quantidade]]*TbReceitas[[#This Row],[preco_unitario]]</f>
        <v>37888</v>
      </c>
      <c r="H1626" t="str">
        <f>TEXT(TbReceitas[[#This Row],[data_transacao]], "aaaa-mm")</f>
        <v>2024-12</v>
      </c>
    </row>
    <row r="1627" spans="1:8">
      <c r="A1627">
        <v>1626</v>
      </c>
      <c r="B1627" s="1">
        <v>45598</v>
      </c>
      <c r="C1627" t="s">
        <v>1597</v>
      </c>
      <c r="D1627" t="s">
        <v>331</v>
      </c>
      <c r="E1627">
        <v>1</v>
      </c>
      <c r="F1627">
        <v>1809</v>
      </c>
      <c r="G1627">
        <f>TbReceitas[[#This Row],[quantidade]]*TbReceitas[[#This Row],[preco_unitario]]</f>
        <v>1809</v>
      </c>
      <c r="H1627" t="str">
        <f>TEXT(TbReceitas[[#This Row],[data_transacao]], "aaaa-mm")</f>
        <v>2024-11</v>
      </c>
    </row>
    <row r="1628" spans="1:8">
      <c r="A1628">
        <v>1627</v>
      </c>
      <c r="B1628" s="1">
        <v>45634</v>
      </c>
      <c r="C1628" t="s">
        <v>957</v>
      </c>
      <c r="D1628" t="s">
        <v>610</v>
      </c>
      <c r="E1628">
        <v>2</v>
      </c>
      <c r="F1628">
        <v>2549</v>
      </c>
      <c r="G1628">
        <f>TbReceitas[[#This Row],[quantidade]]*TbReceitas[[#This Row],[preco_unitario]]</f>
        <v>5098</v>
      </c>
      <c r="H1628" t="str">
        <f>TEXT(TbReceitas[[#This Row],[data_transacao]], "aaaa-mm")</f>
        <v>2024-12</v>
      </c>
    </row>
    <row r="1629" spans="1:8">
      <c r="A1629">
        <v>1628</v>
      </c>
      <c r="B1629" s="1">
        <v>45848</v>
      </c>
      <c r="C1629" t="s">
        <v>885</v>
      </c>
      <c r="D1629" t="s">
        <v>140</v>
      </c>
      <c r="E1629">
        <v>1</v>
      </c>
      <c r="F1629">
        <v>7855</v>
      </c>
      <c r="G1629">
        <f>TbReceitas[[#This Row],[quantidade]]*TbReceitas[[#This Row],[preco_unitario]]</f>
        <v>7855</v>
      </c>
      <c r="H1629" t="str">
        <f>TEXT(TbReceitas[[#This Row],[data_transacao]], "aaaa-mm")</f>
        <v>2025-07</v>
      </c>
    </row>
    <row r="1630" spans="1:8">
      <c r="A1630">
        <v>1629</v>
      </c>
      <c r="B1630" s="1">
        <v>45786</v>
      </c>
      <c r="C1630" t="s">
        <v>847</v>
      </c>
      <c r="D1630" t="s">
        <v>116</v>
      </c>
      <c r="E1630">
        <v>3</v>
      </c>
      <c r="F1630">
        <v>1384</v>
      </c>
      <c r="G1630">
        <f>TbReceitas[[#This Row],[quantidade]]*TbReceitas[[#This Row],[preco_unitario]]</f>
        <v>4152</v>
      </c>
      <c r="H1630" t="str">
        <f>TEXT(TbReceitas[[#This Row],[data_transacao]], "aaaa-mm")</f>
        <v>2025-05</v>
      </c>
    </row>
    <row r="1631" spans="1:8">
      <c r="A1631">
        <v>1630</v>
      </c>
      <c r="B1631" s="1">
        <v>45903</v>
      </c>
      <c r="C1631" t="s">
        <v>873</v>
      </c>
      <c r="D1631" t="s">
        <v>208</v>
      </c>
      <c r="E1631">
        <v>2</v>
      </c>
      <c r="F1631">
        <v>2719</v>
      </c>
      <c r="G1631">
        <f>TbReceitas[[#This Row],[quantidade]]*TbReceitas[[#This Row],[preco_unitario]]</f>
        <v>5438</v>
      </c>
      <c r="H1631" t="str">
        <f>TEXT(TbReceitas[[#This Row],[data_transacao]], "aaaa-mm")</f>
        <v>2025-09</v>
      </c>
    </row>
    <row r="1632" spans="1:8">
      <c r="A1632">
        <v>1631</v>
      </c>
      <c r="B1632" s="1">
        <v>46276</v>
      </c>
      <c r="C1632" t="s">
        <v>920</v>
      </c>
      <c r="D1632" t="s">
        <v>399</v>
      </c>
      <c r="E1632">
        <v>2</v>
      </c>
      <c r="F1632">
        <v>2413</v>
      </c>
      <c r="G1632">
        <f>TbReceitas[[#This Row],[quantidade]]*TbReceitas[[#This Row],[preco_unitario]]</f>
        <v>4826</v>
      </c>
      <c r="H1632" t="str">
        <f>TEXT(TbReceitas[[#This Row],[data_transacao]], "aaaa-mm")</f>
        <v>2026-09</v>
      </c>
    </row>
    <row r="1633" spans="1:8">
      <c r="A1633">
        <v>1632</v>
      </c>
      <c r="B1633" s="1">
        <v>45629</v>
      </c>
      <c r="C1633" t="s">
        <v>730</v>
      </c>
      <c r="D1633" t="s">
        <v>436</v>
      </c>
      <c r="E1633">
        <v>1</v>
      </c>
      <c r="F1633">
        <v>24553</v>
      </c>
      <c r="G1633">
        <f>TbReceitas[[#This Row],[quantidade]]*TbReceitas[[#This Row],[preco_unitario]]</f>
        <v>24553</v>
      </c>
      <c r="H1633" t="str">
        <f>TEXT(TbReceitas[[#This Row],[data_transacao]], "aaaa-mm")</f>
        <v>2024-12</v>
      </c>
    </row>
    <row r="1634" spans="1:8">
      <c r="A1634">
        <v>1633</v>
      </c>
      <c r="B1634" s="1">
        <v>45761</v>
      </c>
      <c r="C1634" t="s">
        <v>989</v>
      </c>
      <c r="D1634" t="s">
        <v>146</v>
      </c>
      <c r="E1634">
        <v>2</v>
      </c>
      <c r="F1634">
        <v>2346</v>
      </c>
      <c r="G1634">
        <f>TbReceitas[[#This Row],[quantidade]]*TbReceitas[[#This Row],[preco_unitario]]</f>
        <v>4692</v>
      </c>
      <c r="H1634" t="str">
        <f>TEXT(TbReceitas[[#This Row],[data_transacao]], "aaaa-mm")</f>
        <v>2025-04</v>
      </c>
    </row>
    <row r="1635" spans="1:8">
      <c r="A1635">
        <v>1634</v>
      </c>
      <c r="B1635" s="1">
        <v>45835</v>
      </c>
      <c r="C1635" t="s">
        <v>806</v>
      </c>
      <c r="D1635" t="s">
        <v>315</v>
      </c>
      <c r="E1635">
        <v>2</v>
      </c>
      <c r="F1635">
        <v>9033</v>
      </c>
      <c r="G1635">
        <f>TbReceitas[[#This Row],[quantidade]]*TbReceitas[[#This Row],[preco_unitario]]</f>
        <v>18066</v>
      </c>
      <c r="H1635" t="str">
        <f>TEXT(TbReceitas[[#This Row],[data_transacao]], "aaaa-mm")</f>
        <v>2025-06</v>
      </c>
    </row>
    <row r="1636" spans="1:8">
      <c r="A1636">
        <v>1635</v>
      </c>
      <c r="B1636" s="1">
        <v>45795</v>
      </c>
      <c r="C1636" t="s">
        <v>1574</v>
      </c>
      <c r="D1636" t="s">
        <v>1052</v>
      </c>
      <c r="E1636">
        <v>1</v>
      </c>
      <c r="F1636">
        <v>10547</v>
      </c>
      <c r="G1636">
        <f>TbReceitas[[#This Row],[quantidade]]*TbReceitas[[#This Row],[preco_unitario]]</f>
        <v>10547</v>
      </c>
      <c r="H1636" t="str">
        <f>TEXT(TbReceitas[[#This Row],[data_transacao]], "aaaa-mm")</f>
        <v>2025-05</v>
      </c>
    </row>
    <row r="1637" spans="1:8">
      <c r="A1637">
        <v>1636</v>
      </c>
      <c r="B1637" s="1">
        <v>45635</v>
      </c>
      <c r="C1637" t="s">
        <v>1367</v>
      </c>
      <c r="D1637" t="s">
        <v>394</v>
      </c>
      <c r="E1637">
        <v>5</v>
      </c>
      <c r="F1637">
        <v>10708</v>
      </c>
      <c r="G1637">
        <f>TbReceitas[[#This Row],[quantidade]]*TbReceitas[[#This Row],[preco_unitario]]</f>
        <v>53540</v>
      </c>
      <c r="H1637" t="str">
        <f>TEXT(TbReceitas[[#This Row],[data_transacao]], "aaaa-mm")</f>
        <v>2024-12</v>
      </c>
    </row>
    <row r="1638" spans="1:8">
      <c r="A1638">
        <v>1637</v>
      </c>
      <c r="B1638" s="1">
        <v>45588</v>
      </c>
      <c r="C1638" t="s">
        <v>933</v>
      </c>
      <c r="D1638" t="s">
        <v>126</v>
      </c>
      <c r="E1638">
        <v>3</v>
      </c>
      <c r="F1638">
        <v>21775</v>
      </c>
      <c r="G1638">
        <f>TbReceitas[[#This Row],[quantidade]]*TbReceitas[[#This Row],[preco_unitario]]</f>
        <v>65325</v>
      </c>
      <c r="H1638" t="str">
        <f>TEXT(TbReceitas[[#This Row],[data_transacao]], "aaaa-mm")</f>
        <v>2024-10</v>
      </c>
    </row>
    <row r="1639" spans="1:8">
      <c r="A1639">
        <v>1638</v>
      </c>
      <c r="B1639" s="1">
        <v>46145</v>
      </c>
      <c r="C1639" t="s">
        <v>1095</v>
      </c>
      <c r="D1639" t="s">
        <v>254</v>
      </c>
      <c r="E1639">
        <v>2</v>
      </c>
      <c r="F1639">
        <v>13978</v>
      </c>
      <c r="G1639">
        <f>TbReceitas[[#This Row],[quantidade]]*TbReceitas[[#This Row],[preco_unitario]]</f>
        <v>27956</v>
      </c>
      <c r="H1639" t="str">
        <f>TEXT(TbReceitas[[#This Row],[data_transacao]], "aaaa-mm")</f>
        <v>2026-05</v>
      </c>
    </row>
    <row r="1640" spans="1:8">
      <c r="A1640">
        <v>1639</v>
      </c>
      <c r="B1640" s="1">
        <v>45879</v>
      </c>
      <c r="C1640" t="s">
        <v>873</v>
      </c>
      <c r="D1640" t="s">
        <v>902</v>
      </c>
      <c r="E1640">
        <v>5</v>
      </c>
      <c r="F1640">
        <v>14695</v>
      </c>
      <c r="G1640">
        <f>TbReceitas[[#This Row],[quantidade]]*TbReceitas[[#This Row],[preco_unitario]]</f>
        <v>73475</v>
      </c>
      <c r="H1640" t="str">
        <f>TEXT(TbReceitas[[#This Row],[data_transacao]], "aaaa-mm")</f>
        <v>2025-08</v>
      </c>
    </row>
    <row r="1641" spans="1:8">
      <c r="A1641">
        <v>1640</v>
      </c>
      <c r="B1641" s="1">
        <v>45880</v>
      </c>
      <c r="C1641" t="s">
        <v>1350</v>
      </c>
      <c r="D1641" t="s">
        <v>202</v>
      </c>
      <c r="E1641">
        <v>1</v>
      </c>
      <c r="F1641">
        <v>8469</v>
      </c>
      <c r="G1641">
        <f>TbReceitas[[#This Row],[quantidade]]*TbReceitas[[#This Row],[preco_unitario]]</f>
        <v>8469</v>
      </c>
      <c r="H1641" t="str">
        <f>TEXT(TbReceitas[[#This Row],[data_transacao]], "aaaa-mm")</f>
        <v>2025-08</v>
      </c>
    </row>
    <row r="1642" spans="1:8">
      <c r="A1642">
        <v>1641</v>
      </c>
      <c r="B1642" s="1">
        <v>46116</v>
      </c>
      <c r="C1642" t="s">
        <v>1598</v>
      </c>
      <c r="D1642" t="s">
        <v>665</v>
      </c>
      <c r="E1642">
        <v>4</v>
      </c>
      <c r="F1642">
        <v>2409</v>
      </c>
      <c r="G1642">
        <f>TbReceitas[[#This Row],[quantidade]]*TbReceitas[[#This Row],[preco_unitario]]</f>
        <v>9636</v>
      </c>
      <c r="H1642" t="str">
        <f>TEXT(TbReceitas[[#This Row],[data_transacao]], "aaaa-mm")</f>
        <v>2026-04</v>
      </c>
    </row>
    <row r="1643" spans="1:8">
      <c r="A1643">
        <v>1642</v>
      </c>
      <c r="B1643" s="1">
        <v>46053</v>
      </c>
      <c r="C1643" t="s">
        <v>884</v>
      </c>
      <c r="D1643" t="s">
        <v>168</v>
      </c>
      <c r="E1643">
        <v>1</v>
      </c>
      <c r="F1643">
        <v>3678</v>
      </c>
      <c r="G1643">
        <f>TbReceitas[[#This Row],[quantidade]]*TbReceitas[[#This Row],[preco_unitario]]</f>
        <v>3678</v>
      </c>
      <c r="H1643" t="str">
        <f>TEXT(TbReceitas[[#This Row],[data_transacao]], "aaaa-mm")</f>
        <v>2026-01</v>
      </c>
    </row>
    <row r="1644" spans="1:8">
      <c r="A1644">
        <v>1643</v>
      </c>
      <c r="B1644" s="1">
        <v>45553</v>
      </c>
      <c r="C1644" t="s">
        <v>893</v>
      </c>
      <c r="D1644" t="s">
        <v>293</v>
      </c>
      <c r="E1644">
        <v>4</v>
      </c>
      <c r="F1644">
        <v>7737</v>
      </c>
      <c r="G1644">
        <f>TbReceitas[[#This Row],[quantidade]]*TbReceitas[[#This Row],[preco_unitario]]</f>
        <v>30948</v>
      </c>
      <c r="H1644" t="str">
        <f>TEXT(TbReceitas[[#This Row],[data_transacao]], "aaaa-mm")</f>
        <v>2024-09</v>
      </c>
    </row>
    <row r="1645" spans="1:8">
      <c r="A1645">
        <v>1644</v>
      </c>
      <c r="B1645" s="1">
        <v>46119</v>
      </c>
      <c r="C1645" t="s">
        <v>1306</v>
      </c>
      <c r="D1645" t="s">
        <v>388</v>
      </c>
      <c r="E1645">
        <v>1</v>
      </c>
      <c r="F1645">
        <v>5518</v>
      </c>
      <c r="G1645">
        <f>TbReceitas[[#This Row],[quantidade]]*TbReceitas[[#This Row],[preco_unitario]]</f>
        <v>5518</v>
      </c>
      <c r="H1645" t="str">
        <f>TEXT(TbReceitas[[#This Row],[data_transacao]], "aaaa-mm")</f>
        <v>2026-04</v>
      </c>
    </row>
    <row r="1646" spans="1:8">
      <c r="A1646">
        <v>1645</v>
      </c>
      <c r="B1646" s="1">
        <v>45615</v>
      </c>
      <c r="C1646" t="s">
        <v>1329</v>
      </c>
      <c r="D1646" t="s">
        <v>152</v>
      </c>
      <c r="E1646">
        <v>4</v>
      </c>
      <c r="F1646">
        <v>23714</v>
      </c>
      <c r="G1646">
        <f>TbReceitas[[#This Row],[quantidade]]*TbReceitas[[#This Row],[preco_unitario]]</f>
        <v>94856</v>
      </c>
      <c r="H1646" t="str">
        <f>TEXT(TbReceitas[[#This Row],[data_transacao]], "aaaa-mm")</f>
        <v>2024-11</v>
      </c>
    </row>
    <row r="1647" spans="1:8">
      <c r="A1647">
        <v>1646</v>
      </c>
      <c r="B1647" s="1">
        <v>45774</v>
      </c>
      <c r="C1647" t="s">
        <v>954</v>
      </c>
      <c r="D1647" t="s">
        <v>159</v>
      </c>
      <c r="E1647">
        <v>1</v>
      </c>
      <c r="F1647">
        <v>16217</v>
      </c>
      <c r="G1647">
        <f>TbReceitas[[#This Row],[quantidade]]*TbReceitas[[#This Row],[preco_unitario]]</f>
        <v>16217</v>
      </c>
      <c r="H1647" t="str">
        <f>TEXT(TbReceitas[[#This Row],[data_transacao]], "aaaa-mm")</f>
        <v>2025-04</v>
      </c>
    </row>
    <row r="1648" spans="1:8">
      <c r="A1648">
        <v>1647</v>
      </c>
      <c r="B1648" s="1">
        <v>45588</v>
      </c>
      <c r="C1648" t="s">
        <v>1505</v>
      </c>
      <c r="D1648" t="s">
        <v>376</v>
      </c>
      <c r="E1648">
        <v>4</v>
      </c>
      <c r="F1648">
        <v>23922</v>
      </c>
      <c r="G1648">
        <f>TbReceitas[[#This Row],[quantidade]]*TbReceitas[[#This Row],[preco_unitario]]</f>
        <v>95688</v>
      </c>
      <c r="H1648" t="str">
        <f>TEXT(TbReceitas[[#This Row],[data_transacao]], "aaaa-mm")</f>
        <v>2024-10</v>
      </c>
    </row>
    <row r="1649" spans="1:8">
      <c r="A1649">
        <v>1648</v>
      </c>
      <c r="B1649" s="1">
        <v>46066</v>
      </c>
      <c r="C1649" t="s">
        <v>995</v>
      </c>
      <c r="D1649" t="s">
        <v>153</v>
      </c>
      <c r="E1649">
        <v>1</v>
      </c>
      <c r="F1649">
        <v>7366</v>
      </c>
      <c r="G1649">
        <f>TbReceitas[[#This Row],[quantidade]]*TbReceitas[[#This Row],[preco_unitario]]</f>
        <v>7366</v>
      </c>
      <c r="H1649" t="str">
        <f>TEXT(TbReceitas[[#This Row],[data_transacao]], "aaaa-mm")</f>
        <v>2026-02</v>
      </c>
    </row>
    <row r="1650" spans="1:8">
      <c r="A1650">
        <v>1649</v>
      </c>
      <c r="B1650" s="1">
        <v>45547</v>
      </c>
      <c r="C1650" t="s">
        <v>796</v>
      </c>
      <c r="D1650" t="s">
        <v>469</v>
      </c>
      <c r="E1650">
        <v>1</v>
      </c>
      <c r="F1650">
        <v>151</v>
      </c>
      <c r="G1650">
        <f>TbReceitas[[#This Row],[quantidade]]*TbReceitas[[#This Row],[preco_unitario]]</f>
        <v>151</v>
      </c>
      <c r="H1650" t="str">
        <f>TEXT(TbReceitas[[#This Row],[data_transacao]], "aaaa-mm")</f>
        <v>2024-09</v>
      </c>
    </row>
    <row r="1651" spans="1:8">
      <c r="A1651">
        <v>1650</v>
      </c>
      <c r="B1651" s="1">
        <v>45977</v>
      </c>
      <c r="C1651" t="s">
        <v>1013</v>
      </c>
      <c r="D1651" t="s">
        <v>58</v>
      </c>
      <c r="E1651">
        <v>4</v>
      </c>
      <c r="F1651">
        <v>7027</v>
      </c>
      <c r="G1651">
        <f>TbReceitas[[#This Row],[quantidade]]*TbReceitas[[#This Row],[preco_unitario]]</f>
        <v>28108</v>
      </c>
      <c r="H1651" t="str">
        <f>TEXT(TbReceitas[[#This Row],[data_transacao]], "aaaa-mm")</f>
        <v>2025-11</v>
      </c>
    </row>
    <row r="1652" spans="1:8">
      <c r="A1652">
        <v>1651</v>
      </c>
      <c r="B1652" s="1">
        <v>46124</v>
      </c>
      <c r="C1652" t="s">
        <v>1599</v>
      </c>
      <c r="D1652" t="s">
        <v>198</v>
      </c>
      <c r="E1652">
        <v>3</v>
      </c>
      <c r="F1652">
        <v>4434</v>
      </c>
      <c r="G1652">
        <f>TbReceitas[[#This Row],[quantidade]]*TbReceitas[[#This Row],[preco_unitario]]</f>
        <v>13302</v>
      </c>
      <c r="H1652" t="str">
        <f>TEXT(TbReceitas[[#This Row],[data_transacao]], "aaaa-mm")</f>
        <v>2026-04</v>
      </c>
    </row>
    <row r="1653" spans="1:8">
      <c r="A1653">
        <v>1652</v>
      </c>
      <c r="B1653" s="1">
        <v>45959</v>
      </c>
      <c r="C1653" t="s">
        <v>1379</v>
      </c>
      <c r="D1653" t="s">
        <v>160</v>
      </c>
      <c r="E1653">
        <v>2</v>
      </c>
      <c r="F1653">
        <v>22066</v>
      </c>
      <c r="G1653">
        <f>TbReceitas[[#This Row],[quantidade]]*TbReceitas[[#This Row],[preco_unitario]]</f>
        <v>44132</v>
      </c>
      <c r="H1653" t="str">
        <f>TEXT(TbReceitas[[#This Row],[data_transacao]], "aaaa-mm")</f>
        <v>2025-10</v>
      </c>
    </row>
    <row r="1654" spans="1:8">
      <c r="A1654">
        <v>1653</v>
      </c>
      <c r="B1654" s="1">
        <v>45814</v>
      </c>
      <c r="C1654" t="s">
        <v>1600</v>
      </c>
      <c r="D1654" t="s">
        <v>368</v>
      </c>
      <c r="E1654">
        <v>1</v>
      </c>
      <c r="F1654">
        <v>18714</v>
      </c>
      <c r="G1654">
        <f>TbReceitas[[#This Row],[quantidade]]*TbReceitas[[#This Row],[preco_unitario]]</f>
        <v>18714</v>
      </c>
      <c r="H1654" t="str">
        <f>TEXT(TbReceitas[[#This Row],[data_transacao]], "aaaa-mm")</f>
        <v>2025-06</v>
      </c>
    </row>
    <row r="1655" spans="1:8">
      <c r="A1655">
        <v>1654</v>
      </c>
      <c r="B1655" s="1">
        <v>46137</v>
      </c>
      <c r="C1655" t="s">
        <v>1601</v>
      </c>
      <c r="D1655" t="s">
        <v>594</v>
      </c>
      <c r="E1655">
        <v>4</v>
      </c>
      <c r="F1655">
        <v>9862</v>
      </c>
      <c r="G1655">
        <f>TbReceitas[[#This Row],[quantidade]]*TbReceitas[[#This Row],[preco_unitario]]</f>
        <v>39448</v>
      </c>
      <c r="H1655" t="str">
        <f>TEXT(TbReceitas[[#This Row],[data_transacao]], "aaaa-mm")</f>
        <v>2026-04</v>
      </c>
    </row>
    <row r="1656" spans="1:8">
      <c r="A1656">
        <v>1655</v>
      </c>
      <c r="B1656" s="1">
        <v>46218</v>
      </c>
      <c r="C1656" t="s">
        <v>1381</v>
      </c>
      <c r="D1656" t="s">
        <v>672</v>
      </c>
      <c r="E1656">
        <v>3</v>
      </c>
      <c r="F1656">
        <v>21051</v>
      </c>
      <c r="G1656">
        <f>TbReceitas[[#This Row],[quantidade]]*TbReceitas[[#This Row],[preco_unitario]]</f>
        <v>63153</v>
      </c>
      <c r="H1656" t="str">
        <f>TEXT(TbReceitas[[#This Row],[data_transacao]], "aaaa-mm")</f>
        <v>2026-07</v>
      </c>
    </row>
    <row r="1657" spans="1:8">
      <c r="A1657">
        <v>1656</v>
      </c>
      <c r="B1657" s="1">
        <v>46193</v>
      </c>
      <c r="C1657" t="s">
        <v>1602</v>
      </c>
      <c r="D1657" t="s">
        <v>631</v>
      </c>
      <c r="E1657">
        <v>1</v>
      </c>
      <c r="F1657">
        <v>23847</v>
      </c>
      <c r="G1657">
        <f>TbReceitas[[#This Row],[quantidade]]*TbReceitas[[#This Row],[preco_unitario]]</f>
        <v>23847</v>
      </c>
      <c r="H1657" t="str">
        <f>TEXT(TbReceitas[[#This Row],[data_transacao]], "aaaa-mm")</f>
        <v>2026-06</v>
      </c>
    </row>
    <row r="1658" spans="1:8">
      <c r="A1658">
        <v>1657</v>
      </c>
      <c r="B1658" s="1">
        <v>45873</v>
      </c>
      <c r="C1658" t="s">
        <v>1062</v>
      </c>
      <c r="D1658" t="s">
        <v>89</v>
      </c>
      <c r="E1658">
        <v>1</v>
      </c>
      <c r="F1658">
        <v>2978</v>
      </c>
      <c r="G1658">
        <f>TbReceitas[[#This Row],[quantidade]]*TbReceitas[[#This Row],[preco_unitario]]</f>
        <v>2978</v>
      </c>
      <c r="H1658" t="str">
        <f>TEXT(TbReceitas[[#This Row],[data_transacao]], "aaaa-mm")</f>
        <v>2025-08</v>
      </c>
    </row>
    <row r="1659" spans="1:8">
      <c r="A1659">
        <v>1658</v>
      </c>
      <c r="B1659" s="1">
        <v>45695</v>
      </c>
      <c r="C1659" t="s">
        <v>1603</v>
      </c>
      <c r="D1659" t="s">
        <v>158</v>
      </c>
      <c r="E1659">
        <v>4</v>
      </c>
      <c r="F1659">
        <v>2383</v>
      </c>
      <c r="G1659">
        <f>TbReceitas[[#This Row],[quantidade]]*TbReceitas[[#This Row],[preco_unitario]]</f>
        <v>9532</v>
      </c>
      <c r="H1659" t="str">
        <f>TEXT(TbReceitas[[#This Row],[data_transacao]], "aaaa-mm")</f>
        <v>2025-02</v>
      </c>
    </row>
    <row r="1660" spans="1:8">
      <c r="A1660">
        <v>1659</v>
      </c>
      <c r="B1660" s="1">
        <v>46107</v>
      </c>
      <c r="C1660" t="s">
        <v>829</v>
      </c>
      <c r="D1660" t="s">
        <v>44</v>
      </c>
      <c r="E1660">
        <v>5</v>
      </c>
      <c r="F1660">
        <v>14599</v>
      </c>
      <c r="G1660">
        <f>TbReceitas[[#This Row],[quantidade]]*TbReceitas[[#This Row],[preco_unitario]]</f>
        <v>72995</v>
      </c>
      <c r="H1660" t="str">
        <f>TEXT(TbReceitas[[#This Row],[data_transacao]], "aaaa-mm")</f>
        <v>2026-03</v>
      </c>
    </row>
    <row r="1661" spans="1:8">
      <c r="A1661">
        <v>1660</v>
      </c>
      <c r="B1661" s="1">
        <v>45629</v>
      </c>
      <c r="C1661" t="s">
        <v>1309</v>
      </c>
      <c r="D1661" t="s">
        <v>47</v>
      </c>
      <c r="E1661">
        <v>3</v>
      </c>
      <c r="F1661">
        <v>854</v>
      </c>
      <c r="G1661">
        <f>TbReceitas[[#This Row],[quantidade]]*TbReceitas[[#This Row],[preco_unitario]]</f>
        <v>2562</v>
      </c>
      <c r="H1661" t="str">
        <f>TEXT(TbReceitas[[#This Row],[data_transacao]], "aaaa-mm")</f>
        <v>2024-12</v>
      </c>
    </row>
    <row r="1662" spans="1:8">
      <c r="A1662">
        <v>1661</v>
      </c>
      <c r="B1662" s="1">
        <v>45911</v>
      </c>
      <c r="C1662" t="s">
        <v>1604</v>
      </c>
      <c r="D1662" t="s">
        <v>232</v>
      </c>
      <c r="E1662">
        <v>1</v>
      </c>
      <c r="F1662">
        <v>17502</v>
      </c>
      <c r="G1662">
        <f>TbReceitas[[#This Row],[quantidade]]*TbReceitas[[#This Row],[preco_unitario]]</f>
        <v>17502</v>
      </c>
      <c r="H1662" t="str">
        <f>TEXT(TbReceitas[[#This Row],[data_transacao]], "aaaa-mm")</f>
        <v>2025-09</v>
      </c>
    </row>
    <row r="1663" spans="1:8">
      <c r="A1663">
        <v>1662</v>
      </c>
      <c r="B1663" s="1">
        <v>46236</v>
      </c>
      <c r="C1663" t="s">
        <v>804</v>
      </c>
      <c r="D1663" t="s">
        <v>525</v>
      </c>
      <c r="E1663">
        <v>1</v>
      </c>
      <c r="F1663">
        <v>5995</v>
      </c>
      <c r="G1663">
        <f>TbReceitas[[#This Row],[quantidade]]*TbReceitas[[#This Row],[preco_unitario]]</f>
        <v>5995</v>
      </c>
      <c r="H1663" t="str">
        <f>TEXT(TbReceitas[[#This Row],[data_transacao]], "aaaa-mm")</f>
        <v>2026-08</v>
      </c>
    </row>
    <row r="1664" spans="1:8">
      <c r="A1664">
        <v>1663</v>
      </c>
      <c r="B1664" s="1">
        <v>46084</v>
      </c>
      <c r="C1664" t="s">
        <v>1407</v>
      </c>
      <c r="D1664" t="s">
        <v>414</v>
      </c>
      <c r="E1664">
        <v>4</v>
      </c>
      <c r="F1664">
        <v>18008</v>
      </c>
      <c r="G1664">
        <f>TbReceitas[[#This Row],[quantidade]]*TbReceitas[[#This Row],[preco_unitario]]</f>
        <v>72032</v>
      </c>
      <c r="H1664" t="str">
        <f>TEXT(TbReceitas[[#This Row],[data_transacao]], "aaaa-mm")</f>
        <v>2026-03</v>
      </c>
    </row>
    <row r="1665" spans="1:8">
      <c r="A1665">
        <v>1664</v>
      </c>
      <c r="B1665" s="1">
        <v>45834</v>
      </c>
      <c r="C1665" t="s">
        <v>1605</v>
      </c>
      <c r="D1665" t="s">
        <v>272</v>
      </c>
      <c r="E1665">
        <v>4</v>
      </c>
      <c r="F1665">
        <v>2294</v>
      </c>
      <c r="G1665">
        <f>TbReceitas[[#This Row],[quantidade]]*TbReceitas[[#This Row],[preco_unitario]]</f>
        <v>9176</v>
      </c>
      <c r="H1665" t="str">
        <f>TEXT(TbReceitas[[#This Row],[data_transacao]], "aaaa-mm")</f>
        <v>2025-06</v>
      </c>
    </row>
    <row r="1666" spans="1:8">
      <c r="A1666">
        <v>1665</v>
      </c>
      <c r="B1666" s="1">
        <v>46184</v>
      </c>
      <c r="C1666" t="s">
        <v>1606</v>
      </c>
      <c r="D1666" t="s">
        <v>204</v>
      </c>
      <c r="E1666">
        <v>1</v>
      </c>
      <c r="F1666">
        <v>34</v>
      </c>
      <c r="G1666">
        <f>TbReceitas[[#This Row],[quantidade]]*TbReceitas[[#This Row],[preco_unitario]]</f>
        <v>34</v>
      </c>
      <c r="H1666" t="str">
        <f>TEXT(TbReceitas[[#This Row],[data_transacao]], "aaaa-mm")</f>
        <v>2026-06</v>
      </c>
    </row>
    <row r="1667" spans="1:8">
      <c r="A1667">
        <v>1666</v>
      </c>
      <c r="B1667" s="1">
        <v>45967</v>
      </c>
      <c r="C1667" t="s">
        <v>1282</v>
      </c>
      <c r="D1667" t="s">
        <v>315</v>
      </c>
      <c r="E1667">
        <v>5</v>
      </c>
      <c r="F1667">
        <v>9033</v>
      </c>
      <c r="G1667">
        <f>TbReceitas[[#This Row],[quantidade]]*TbReceitas[[#This Row],[preco_unitario]]</f>
        <v>45165</v>
      </c>
      <c r="H1667" t="str">
        <f>TEXT(TbReceitas[[#This Row],[data_transacao]], "aaaa-mm")</f>
        <v>2025-11</v>
      </c>
    </row>
    <row r="1668" spans="1:8">
      <c r="A1668">
        <v>1667</v>
      </c>
      <c r="B1668" s="1">
        <v>46070</v>
      </c>
      <c r="C1668" t="s">
        <v>775</v>
      </c>
      <c r="D1668" t="s">
        <v>428</v>
      </c>
      <c r="E1668">
        <v>3</v>
      </c>
      <c r="F1668">
        <v>19405</v>
      </c>
      <c r="G1668">
        <f>TbReceitas[[#This Row],[quantidade]]*TbReceitas[[#This Row],[preco_unitario]]</f>
        <v>58215</v>
      </c>
      <c r="H1668" t="str">
        <f>TEXT(TbReceitas[[#This Row],[data_transacao]], "aaaa-mm")</f>
        <v>2026-02</v>
      </c>
    </row>
    <row r="1669" spans="1:8">
      <c r="A1669">
        <v>1668</v>
      </c>
      <c r="B1669" s="1">
        <v>45561</v>
      </c>
      <c r="C1669" t="s">
        <v>1335</v>
      </c>
      <c r="D1669" t="s">
        <v>198</v>
      </c>
      <c r="E1669">
        <v>1</v>
      </c>
      <c r="F1669">
        <v>4434</v>
      </c>
      <c r="G1669">
        <f>TbReceitas[[#This Row],[quantidade]]*TbReceitas[[#This Row],[preco_unitario]]</f>
        <v>4434</v>
      </c>
      <c r="H1669" t="str">
        <f>TEXT(TbReceitas[[#This Row],[data_transacao]], "aaaa-mm")</f>
        <v>2024-09</v>
      </c>
    </row>
    <row r="1670" spans="1:8">
      <c r="A1670">
        <v>1669</v>
      </c>
      <c r="B1670" s="1">
        <v>45746</v>
      </c>
      <c r="C1670" t="s">
        <v>736</v>
      </c>
      <c r="D1670" t="s">
        <v>299</v>
      </c>
      <c r="E1670">
        <v>4</v>
      </c>
      <c r="F1670">
        <v>2266</v>
      </c>
      <c r="G1670">
        <f>TbReceitas[[#This Row],[quantidade]]*TbReceitas[[#This Row],[preco_unitario]]</f>
        <v>9064</v>
      </c>
      <c r="H1670" t="str">
        <f>TEXT(TbReceitas[[#This Row],[data_transacao]], "aaaa-mm")</f>
        <v>2025-03</v>
      </c>
    </row>
    <row r="1671" spans="1:8">
      <c r="A1671">
        <v>1670</v>
      </c>
      <c r="B1671" s="1">
        <v>46265</v>
      </c>
      <c r="C1671" t="s">
        <v>1369</v>
      </c>
      <c r="D1671" t="s">
        <v>232</v>
      </c>
      <c r="E1671">
        <v>4</v>
      </c>
      <c r="F1671">
        <v>17502</v>
      </c>
      <c r="G1671">
        <f>TbReceitas[[#This Row],[quantidade]]*TbReceitas[[#This Row],[preco_unitario]]</f>
        <v>70008</v>
      </c>
      <c r="H1671" t="str">
        <f>TEXT(TbReceitas[[#This Row],[data_transacao]], "aaaa-mm")</f>
        <v>2026-08</v>
      </c>
    </row>
    <row r="1672" spans="1:8">
      <c r="A1672">
        <v>1671</v>
      </c>
      <c r="B1672" s="1">
        <v>46009</v>
      </c>
      <c r="C1672" t="s">
        <v>762</v>
      </c>
      <c r="D1672" t="s">
        <v>475</v>
      </c>
      <c r="E1672">
        <v>3</v>
      </c>
      <c r="F1672">
        <v>22017</v>
      </c>
      <c r="G1672">
        <f>TbReceitas[[#This Row],[quantidade]]*TbReceitas[[#This Row],[preco_unitario]]</f>
        <v>66051</v>
      </c>
      <c r="H1672" t="str">
        <f>TEXT(TbReceitas[[#This Row],[data_transacao]], "aaaa-mm")</f>
        <v>2025-12</v>
      </c>
    </row>
    <row r="1673" spans="1:8">
      <c r="A1673">
        <v>1672</v>
      </c>
      <c r="B1673" s="1">
        <v>46269</v>
      </c>
      <c r="C1673" t="s">
        <v>1324</v>
      </c>
      <c r="D1673" t="s">
        <v>1279</v>
      </c>
      <c r="E1673">
        <v>4</v>
      </c>
      <c r="F1673">
        <v>11256</v>
      </c>
      <c r="G1673">
        <f>TbReceitas[[#This Row],[quantidade]]*TbReceitas[[#This Row],[preco_unitario]]</f>
        <v>45024</v>
      </c>
      <c r="H1673" t="str">
        <f>TEXT(TbReceitas[[#This Row],[data_transacao]], "aaaa-mm")</f>
        <v>2026-09</v>
      </c>
    </row>
    <row r="1674" spans="1:8">
      <c r="A1674">
        <v>1673</v>
      </c>
      <c r="B1674" s="1">
        <v>45771</v>
      </c>
      <c r="C1674" t="s">
        <v>949</v>
      </c>
      <c r="D1674" t="s">
        <v>275</v>
      </c>
      <c r="E1674">
        <v>1</v>
      </c>
      <c r="F1674">
        <v>1708</v>
      </c>
      <c r="G1674">
        <f>TbReceitas[[#This Row],[quantidade]]*TbReceitas[[#This Row],[preco_unitario]]</f>
        <v>1708</v>
      </c>
      <c r="H1674" t="str">
        <f>TEXT(TbReceitas[[#This Row],[data_transacao]], "aaaa-mm")</f>
        <v>2025-04</v>
      </c>
    </row>
    <row r="1675" spans="1:8">
      <c r="A1675">
        <v>1674</v>
      </c>
      <c r="B1675" s="1">
        <v>45645</v>
      </c>
      <c r="C1675" t="s">
        <v>1277</v>
      </c>
      <c r="D1675" t="s">
        <v>24</v>
      </c>
      <c r="E1675">
        <v>3</v>
      </c>
      <c r="F1675">
        <v>17864</v>
      </c>
      <c r="G1675">
        <f>TbReceitas[[#This Row],[quantidade]]*TbReceitas[[#This Row],[preco_unitario]]</f>
        <v>53592</v>
      </c>
      <c r="H1675" t="str">
        <f>TEXT(TbReceitas[[#This Row],[data_transacao]], "aaaa-mm")</f>
        <v>2024-12</v>
      </c>
    </row>
    <row r="1676" spans="1:8">
      <c r="A1676">
        <v>1675</v>
      </c>
      <c r="B1676" s="1">
        <v>45610</v>
      </c>
      <c r="C1676" t="s">
        <v>1607</v>
      </c>
      <c r="D1676" t="s">
        <v>177</v>
      </c>
      <c r="E1676">
        <v>5</v>
      </c>
      <c r="F1676">
        <v>13512</v>
      </c>
      <c r="G1676">
        <f>TbReceitas[[#This Row],[quantidade]]*TbReceitas[[#This Row],[preco_unitario]]</f>
        <v>67560</v>
      </c>
      <c r="H1676" t="str">
        <f>TEXT(TbReceitas[[#This Row],[data_transacao]], "aaaa-mm")</f>
        <v>2024-11</v>
      </c>
    </row>
    <row r="1677" spans="1:8">
      <c r="A1677">
        <v>1676</v>
      </c>
      <c r="B1677" s="1">
        <v>45570</v>
      </c>
      <c r="C1677" t="s">
        <v>1242</v>
      </c>
      <c r="D1677" t="s">
        <v>620</v>
      </c>
      <c r="E1677">
        <v>1</v>
      </c>
      <c r="F1677">
        <v>1417</v>
      </c>
      <c r="G1677">
        <f>TbReceitas[[#This Row],[quantidade]]*TbReceitas[[#This Row],[preco_unitario]]</f>
        <v>1417</v>
      </c>
      <c r="H1677" t="str">
        <f>TEXT(TbReceitas[[#This Row],[data_transacao]], "aaaa-mm")</f>
        <v>2024-10</v>
      </c>
    </row>
    <row r="1678" spans="1:8">
      <c r="A1678">
        <v>1677</v>
      </c>
      <c r="B1678" s="1">
        <v>46062</v>
      </c>
      <c r="C1678" t="s">
        <v>938</v>
      </c>
      <c r="D1678" t="s">
        <v>191</v>
      </c>
      <c r="E1678">
        <v>1</v>
      </c>
      <c r="F1678">
        <v>18422</v>
      </c>
      <c r="G1678">
        <f>TbReceitas[[#This Row],[quantidade]]*TbReceitas[[#This Row],[preco_unitario]]</f>
        <v>18422</v>
      </c>
      <c r="H1678" t="str">
        <f>TEXT(TbReceitas[[#This Row],[data_transacao]], "aaaa-mm")</f>
        <v>2026-02</v>
      </c>
    </row>
    <row r="1679" spans="1:8">
      <c r="A1679">
        <v>1678</v>
      </c>
      <c r="B1679" s="1">
        <v>45896</v>
      </c>
      <c r="C1679" t="s">
        <v>1412</v>
      </c>
      <c r="D1679" t="s">
        <v>269</v>
      </c>
      <c r="E1679">
        <v>1</v>
      </c>
      <c r="F1679">
        <v>12528</v>
      </c>
      <c r="G1679">
        <f>TbReceitas[[#This Row],[quantidade]]*TbReceitas[[#This Row],[preco_unitario]]</f>
        <v>12528</v>
      </c>
      <c r="H1679" t="str">
        <f>TEXT(TbReceitas[[#This Row],[data_transacao]], "aaaa-mm")</f>
        <v>2025-08</v>
      </c>
    </row>
    <row r="1680" spans="1:8">
      <c r="A1680">
        <v>1679</v>
      </c>
      <c r="B1680" s="1">
        <v>45858</v>
      </c>
      <c r="C1680" t="s">
        <v>906</v>
      </c>
      <c r="D1680" t="s">
        <v>434</v>
      </c>
      <c r="E1680">
        <v>5</v>
      </c>
      <c r="F1680">
        <v>8034</v>
      </c>
      <c r="G1680">
        <f>TbReceitas[[#This Row],[quantidade]]*TbReceitas[[#This Row],[preco_unitario]]</f>
        <v>40170</v>
      </c>
      <c r="H1680" t="str">
        <f>TEXT(TbReceitas[[#This Row],[data_transacao]], "aaaa-mm")</f>
        <v>2025-07</v>
      </c>
    </row>
    <row r="1681" spans="1:8">
      <c r="A1681">
        <v>1680</v>
      </c>
      <c r="B1681" s="1">
        <v>46232</v>
      </c>
      <c r="C1681" t="s">
        <v>1608</v>
      </c>
      <c r="D1681" t="s">
        <v>80</v>
      </c>
      <c r="E1681">
        <v>1</v>
      </c>
      <c r="F1681">
        <v>846</v>
      </c>
      <c r="G1681">
        <f>TbReceitas[[#This Row],[quantidade]]*TbReceitas[[#This Row],[preco_unitario]]</f>
        <v>846</v>
      </c>
      <c r="H1681" t="str">
        <f>TEXT(TbReceitas[[#This Row],[data_transacao]], "aaaa-mm")</f>
        <v>2026-07</v>
      </c>
    </row>
    <row r="1682" spans="1:8">
      <c r="A1682">
        <v>1681</v>
      </c>
      <c r="B1682" s="1">
        <v>45841</v>
      </c>
      <c r="C1682" t="s">
        <v>1601</v>
      </c>
      <c r="D1682" t="s">
        <v>288</v>
      </c>
      <c r="E1682">
        <v>1</v>
      </c>
      <c r="F1682">
        <v>1219</v>
      </c>
      <c r="G1682">
        <f>TbReceitas[[#This Row],[quantidade]]*TbReceitas[[#This Row],[preco_unitario]]</f>
        <v>1219</v>
      </c>
      <c r="H1682" t="str">
        <f>TEXT(TbReceitas[[#This Row],[data_transacao]], "aaaa-mm")</f>
        <v>2025-07</v>
      </c>
    </row>
    <row r="1683" spans="1:8">
      <c r="A1683">
        <v>1682</v>
      </c>
      <c r="B1683" s="1">
        <v>46224</v>
      </c>
      <c r="C1683" t="s">
        <v>1609</v>
      </c>
      <c r="D1683" t="s">
        <v>203</v>
      </c>
      <c r="E1683">
        <v>5</v>
      </c>
      <c r="F1683">
        <v>1934</v>
      </c>
      <c r="G1683">
        <f>TbReceitas[[#This Row],[quantidade]]*TbReceitas[[#This Row],[preco_unitario]]</f>
        <v>9670</v>
      </c>
      <c r="H1683" t="str">
        <f>TEXT(TbReceitas[[#This Row],[data_transacao]], "aaaa-mm")</f>
        <v>2026-07</v>
      </c>
    </row>
    <row r="1684" spans="1:8">
      <c r="A1684">
        <v>1683</v>
      </c>
      <c r="B1684" s="1">
        <v>45831</v>
      </c>
      <c r="C1684" t="s">
        <v>773</v>
      </c>
      <c r="D1684" t="s">
        <v>219</v>
      </c>
      <c r="E1684">
        <v>3</v>
      </c>
      <c r="F1684">
        <v>8633</v>
      </c>
      <c r="G1684">
        <f>TbReceitas[[#This Row],[quantidade]]*TbReceitas[[#This Row],[preco_unitario]]</f>
        <v>25899</v>
      </c>
      <c r="H1684" t="str">
        <f>TEXT(TbReceitas[[#This Row],[data_transacao]], "aaaa-mm")</f>
        <v>2025-06</v>
      </c>
    </row>
    <row r="1685" spans="1:8">
      <c r="A1685">
        <v>1684</v>
      </c>
      <c r="B1685" s="1">
        <v>45887</v>
      </c>
      <c r="C1685" t="s">
        <v>788</v>
      </c>
      <c r="D1685" t="s">
        <v>213</v>
      </c>
      <c r="E1685">
        <v>2</v>
      </c>
      <c r="F1685">
        <v>22847</v>
      </c>
      <c r="G1685">
        <f>TbReceitas[[#This Row],[quantidade]]*TbReceitas[[#This Row],[preco_unitario]]</f>
        <v>45694</v>
      </c>
      <c r="H1685" t="str">
        <f>TEXT(TbReceitas[[#This Row],[data_transacao]], "aaaa-mm")</f>
        <v>2025-08</v>
      </c>
    </row>
    <row r="1686" spans="1:8">
      <c r="A1686">
        <v>1685</v>
      </c>
      <c r="B1686" s="1">
        <v>46271</v>
      </c>
      <c r="C1686" t="s">
        <v>830</v>
      </c>
      <c r="D1686" t="s">
        <v>220</v>
      </c>
      <c r="E1686">
        <v>5</v>
      </c>
      <c r="F1686">
        <v>22363</v>
      </c>
      <c r="G1686">
        <f>TbReceitas[[#This Row],[quantidade]]*TbReceitas[[#This Row],[preco_unitario]]</f>
        <v>111815</v>
      </c>
      <c r="H1686" t="str">
        <f>TEXT(TbReceitas[[#This Row],[data_transacao]], "aaaa-mm")</f>
        <v>2026-09</v>
      </c>
    </row>
    <row r="1687" spans="1:8">
      <c r="A1687">
        <v>1686</v>
      </c>
      <c r="B1687" s="1">
        <v>45732</v>
      </c>
      <c r="C1687" t="s">
        <v>883</v>
      </c>
      <c r="D1687" t="s">
        <v>466</v>
      </c>
      <c r="E1687">
        <v>4</v>
      </c>
      <c r="F1687">
        <v>12608</v>
      </c>
      <c r="G1687">
        <f>TbReceitas[[#This Row],[quantidade]]*TbReceitas[[#This Row],[preco_unitario]]</f>
        <v>50432</v>
      </c>
      <c r="H1687" t="str">
        <f>TEXT(TbReceitas[[#This Row],[data_transacao]], "aaaa-mm")</f>
        <v>2025-03</v>
      </c>
    </row>
    <row r="1688" spans="1:8">
      <c r="A1688">
        <v>1687</v>
      </c>
      <c r="B1688" s="1">
        <v>45817</v>
      </c>
      <c r="C1688" t="s">
        <v>1344</v>
      </c>
      <c r="D1688" t="s">
        <v>21</v>
      </c>
      <c r="E1688">
        <v>3</v>
      </c>
      <c r="F1688">
        <v>12746</v>
      </c>
      <c r="G1688">
        <f>TbReceitas[[#This Row],[quantidade]]*TbReceitas[[#This Row],[preco_unitario]]</f>
        <v>38238</v>
      </c>
      <c r="H1688" t="str">
        <f>TEXT(TbReceitas[[#This Row],[data_transacao]], "aaaa-mm")</f>
        <v>2025-06</v>
      </c>
    </row>
    <row r="1689" spans="1:8">
      <c r="A1689">
        <v>1688</v>
      </c>
      <c r="B1689" s="1">
        <v>45665</v>
      </c>
      <c r="C1689" t="s">
        <v>1037</v>
      </c>
      <c r="D1689" t="s">
        <v>668</v>
      </c>
      <c r="E1689">
        <v>5</v>
      </c>
      <c r="F1689">
        <v>11769</v>
      </c>
      <c r="G1689">
        <f>TbReceitas[[#This Row],[quantidade]]*TbReceitas[[#This Row],[preco_unitario]]</f>
        <v>58845</v>
      </c>
      <c r="H1689" t="str">
        <f>TEXT(TbReceitas[[#This Row],[data_transacao]], "aaaa-mm")</f>
        <v>2025-01</v>
      </c>
    </row>
    <row r="1690" spans="1:8">
      <c r="A1690">
        <v>1689</v>
      </c>
      <c r="B1690" s="1">
        <v>45837</v>
      </c>
      <c r="C1690" t="s">
        <v>1536</v>
      </c>
      <c r="D1690" t="s">
        <v>1000</v>
      </c>
      <c r="E1690">
        <v>1</v>
      </c>
      <c r="F1690">
        <v>21329</v>
      </c>
      <c r="G1690">
        <f>TbReceitas[[#This Row],[quantidade]]*TbReceitas[[#This Row],[preco_unitario]]</f>
        <v>21329</v>
      </c>
      <c r="H1690" t="str">
        <f>TEXT(TbReceitas[[#This Row],[data_transacao]], "aaaa-mm")</f>
        <v>2025-06</v>
      </c>
    </row>
    <row r="1691" spans="1:8">
      <c r="A1691">
        <v>1690</v>
      </c>
      <c r="B1691" s="1">
        <v>45662</v>
      </c>
      <c r="C1691" t="s">
        <v>715</v>
      </c>
      <c r="D1691" t="s">
        <v>17</v>
      </c>
      <c r="E1691">
        <v>5</v>
      </c>
      <c r="F1691">
        <v>18565</v>
      </c>
      <c r="G1691">
        <f>TbReceitas[[#This Row],[quantidade]]*TbReceitas[[#This Row],[preco_unitario]]</f>
        <v>92825</v>
      </c>
      <c r="H1691" t="str">
        <f>TEXT(TbReceitas[[#This Row],[data_transacao]], "aaaa-mm")</f>
        <v>2025-01</v>
      </c>
    </row>
    <row r="1692" spans="1:8">
      <c r="A1692">
        <v>1691</v>
      </c>
      <c r="B1692" s="1">
        <v>45768</v>
      </c>
      <c r="C1692" t="s">
        <v>774</v>
      </c>
      <c r="D1692" t="s">
        <v>422</v>
      </c>
      <c r="E1692">
        <v>1</v>
      </c>
      <c r="F1692">
        <v>4061</v>
      </c>
      <c r="G1692">
        <f>TbReceitas[[#This Row],[quantidade]]*TbReceitas[[#This Row],[preco_unitario]]</f>
        <v>4061</v>
      </c>
      <c r="H1692" t="str">
        <f>TEXT(TbReceitas[[#This Row],[data_transacao]], "aaaa-mm")</f>
        <v>2025-04</v>
      </c>
    </row>
    <row r="1693" spans="1:8">
      <c r="A1693">
        <v>1692</v>
      </c>
      <c r="B1693" s="1">
        <v>46013</v>
      </c>
      <c r="C1693" t="s">
        <v>1610</v>
      </c>
      <c r="D1693" t="s">
        <v>666</v>
      </c>
      <c r="E1693">
        <v>1</v>
      </c>
      <c r="F1693">
        <v>17061</v>
      </c>
      <c r="G1693">
        <f>TbReceitas[[#This Row],[quantidade]]*TbReceitas[[#This Row],[preco_unitario]]</f>
        <v>17061</v>
      </c>
      <c r="H1693" t="str">
        <f>TEXT(TbReceitas[[#This Row],[data_transacao]], "aaaa-mm")</f>
        <v>2025-12</v>
      </c>
    </row>
    <row r="1694" spans="1:8">
      <c r="A1694">
        <v>1693</v>
      </c>
      <c r="B1694" s="1">
        <v>45798</v>
      </c>
      <c r="C1694" t="s">
        <v>763</v>
      </c>
      <c r="D1694" t="s">
        <v>1611</v>
      </c>
      <c r="E1694">
        <v>1</v>
      </c>
      <c r="F1694">
        <v>8745</v>
      </c>
      <c r="G1694">
        <f>TbReceitas[[#This Row],[quantidade]]*TbReceitas[[#This Row],[preco_unitario]]</f>
        <v>8745</v>
      </c>
      <c r="H1694" t="str">
        <f>TEXT(TbReceitas[[#This Row],[data_transacao]], "aaaa-mm")</f>
        <v>2025-05</v>
      </c>
    </row>
    <row r="1695" spans="1:8">
      <c r="A1695">
        <v>1694</v>
      </c>
      <c r="B1695" s="1">
        <v>46277</v>
      </c>
      <c r="C1695" t="s">
        <v>856</v>
      </c>
      <c r="D1695" t="s">
        <v>309</v>
      </c>
      <c r="E1695">
        <v>3</v>
      </c>
      <c r="F1695">
        <v>11854</v>
      </c>
      <c r="G1695">
        <f>TbReceitas[[#This Row],[quantidade]]*TbReceitas[[#This Row],[preco_unitario]]</f>
        <v>35562</v>
      </c>
      <c r="H1695" t="str">
        <f>TEXT(TbReceitas[[#This Row],[data_transacao]], "aaaa-mm")</f>
        <v>2026-09</v>
      </c>
    </row>
    <row r="1696" spans="1:8">
      <c r="A1696">
        <v>1695</v>
      </c>
      <c r="B1696" s="1">
        <v>45611</v>
      </c>
      <c r="C1696" t="s">
        <v>1186</v>
      </c>
      <c r="D1696" t="s">
        <v>418</v>
      </c>
      <c r="E1696">
        <v>2</v>
      </c>
      <c r="F1696">
        <v>21076</v>
      </c>
      <c r="G1696">
        <f>TbReceitas[[#This Row],[quantidade]]*TbReceitas[[#This Row],[preco_unitario]]</f>
        <v>42152</v>
      </c>
      <c r="H1696" t="str">
        <f>TEXT(TbReceitas[[#This Row],[data_transacao]], "aaaa-mm")</f>
        <v>2024-11</v>
      </c>
    </row>
    <row r="1697" spans="1:8">
      <c r="A1697">
        <v>1696</v>
      </c>
      <c r="B1697" s="1">
        <v>45734</v>
      </c>
      <c r="C1697" t="s">
        <v>936</v>
      </c>
      <c r="D1697" t="s">
        <v>700</v>
      </c>
      <c r="E1697">
        <v>2</v>
      </c>
      <c r="F1697">
        <v>17759</v>
      </c>
      <c r="G1697">
        <f>TbReceitas[[#This Row],[quantidade]]*TbReceitas[[#This Row],[preco_unitario]]</f>
        <v>35518</v>
      </c>
      <c r="H1697" t="str">
        <f>TEXT(TbReceitas[[#This Row],[data_transacao]], "aaaa-mm")</f>
        <v>2025-03</v>
      </c>
    </row>
    <row r="1698" spans="1:8">
      <c r="A1698">
        <v>1697</v>
      </c>
      <c r="B1698" s="1">
        <v>46219</v>
      </c>
      <c r="C1698" t="s">
        <v>861</v>
      </c>
      <c r="D1698" t="s">
        <v>207</v>
      </c>
      <c r="E1698">
        <v>3</v>
      </c>
      <c r="F1698">
        <v>17156</v>
      </c>
      <c r="G1698">
        <f>TbReceitas[[#This Row],[quantidade]]*TbReceitas[[#This Row],[preco_unitario]]</f>
        <v>51468</v>
      </c>
      <c r="H1698" t="str">
        <f>TEXT(TbReceitas[[#This Row],[data_transacao]], "aaaa-mm")</f>
        <v>2026-07</v>
      </c>
    </row>
    <row r="1699" spans="1:8">
      <c r="A1699">
        <v>1698</v>
      </c>
      <c r="B1699" s="1">
        <v>45685</v>
      </c>
      <c r="C1699" t="s">
        <v>1364</v>
      </c>
      <c r="D1699" t="s">
        <v>334</v>
      </c>
      <c r="E1699">
        <v>3</v>
      </c>
      <c r="F1699">
        <v>20877</v>
      </c>
      <c r="G1699">
        <f>TbReceitas[[#This Row],[quantidade]]*TbReceitas[[#This Row],[preco_unitario]]</f>
        <v>62631</v>
      </c>
      <c r="H1699" t="str">
        <f>TEXT(TbReceitas[[#This Row],[data_transacao]], "aaaa-mm")</f>
        <v>2025-01</v>
      </c>
    </row>
    <row r="1700" spans="1:8">
      <c r="A1700">
        <v>1699</v>
      </c>
      <c r="B1700" s="1">
        <v>46039</v>
      </c>
      <c r="C1700" t="s">
        <v>1612</v>
      </c>
      <c r="D1700" t="s">
        <v>184</v>
      </c>
      <c r="E1700">
        <v>4</v>
      </c>
      <c r="F1700">
        <v>18728</v>
      </c>
      <c r="G1700">
        <f>TbReceitas[[#This Row],[quantidade]]*TbReceitas[[#This Row],[preco_unitario]]</f>
        <v>74912</v>
      </c>
      <c r="H1700" t="str">
        <f>TEXT(TbReceitas[[#This Row],[data_transacao]], "aaaa-mm")</f>
        <v>2026-01</v>
      </c>
    </row>
    <row r="1701" spans="1:8">
      <c r="A1701">
        <v>1700</v>
      </c>
      <c r="B1701" s="1">
        <v>45957</v>
      </c>
      <c r="C1701" t="s">
        <v>1613</v>
      </c>
      <c r="D1701" t="s">
        <v>144</v>
      </c>
      <c r="E1701">
        <v>5</v>
      </c>
      <c r="F1701">
        <v>11267</v>
      </c>
      <c r="G1701">
        <f>TbReceitas[[#This Row],[quantidade]]*TbReceitas[[#This Row],[preco_unitario]]</f>
        <v>56335</v>
      </c>
      <c r="H1701" t="str">
        <f>TEXT(TbReceitas[[#This Row],[data_transacao]], "aaaa-mm")</f>
        <v>2025-10</v>
      </c>
    </row>
    <row r="1702" spans="1:8">
      <c r="A1702">
        <v>1701</v>
      </c>
      <c r="B1702" s="1">
        <v>46015</v>
      </c>
      <c r="C1702" t="s">
        <v>785</v>
      </c>
      <c r="D1702" t="s">
        <v>632</v>
      </c>
      <c r="E1702">
        <v>5</v>
      </c>
      <c r="F1702">
        <v>6667</v>
      </c>
      <c r="G1702">
        <f>TbReceitas[[#This Row],[quantidade]]*TbReceitas[[#This Row],[preco_unitario]]</f>
        <v>33335</v>
      </c>
      <c r="H1702" t="str">
        <f>TEXT(TbReceitas[[#This Row],[data_transacao]], "aaaa-mm")</f>
        <v>2025-12</v>
      </c>
    </row>
    <row r="1703" spans="1:8">
      <c r="A1703">
        <v>1702</v>
      </c>
      <c r="B1703" s="1">
        <v>45649</v>
      </c>
      <c r="C1703" t="s">
        <v>1393</v>
      </c>
      <c r="D1703" t="s">
        <v>632</v>
      </c>
      <c r="E1703">
        <v>5</v>
      </c>
      <c r="F1703">
        <v>6667</v>
      </c>
      <c r="G1703">
        <f>TbReceitas[[#This Row],[quantidade]]*TbReceitas[[#This Row],[preco_unitario]]</f>
        <v>33335</v>
      </c>
      <c r="H1703" t="str">
        <f>TEXT(TbReceitas[[#This Row],[data_transacao]], "aaaa-mm")</f>
        <v>2024-12</v>
      </c>
    </row>
    <row r="1704" spans="1:8">
      <c r="A1704">
        <v>1703</v>
      </c>
      <c r="B1704" s="1">
        <v>45803</v>
      </c>
      <c r="C1704" t="s">
        <v>1272</v>
      </c>
      <c r="D1704" t="s">
        <v>635</v>
      </c>
      <c r="E1704">
        <v>5</v>
      </c>
      <c r="F1704">
        <v>821</v>
      </c>
      <c r="G1704">
        <f>TbReceitas[[#This Row],[quantidade]]*TbReceitas[[#This Row],[preco_unitario]]</f>
        <v>4105</v>
      </c>
      <c r="H1704" t="str">
        <f>TEXT(TbReceitas[[#This Row],[data_transacao]], "aaaa-mm")</f>
        <v>2025-05</v>
      </c>
    </row>
    <row r="1705" spans="1:8">
      <c r="A1705">
        <v>1704</v>
      </c>
      <c r="B1705" s="1">
        <v>46116</v>
      </c>
      <c r="C1705" t="s">
        <v>1614</v>
      </c>
      <c r="D1705" t="s">
        <v>393</v>
      </c>
      <c r="E1705">
        <v>2</v>
      </c>
      <c r="F1705">
        <v>16342</v>
      </c>
      <c r="G1705">
        <f>TbReceitas[[#This Row],[quantidade]]*TbReceitas[[#This Row],[preco_unitario]]</f>
        <v>32684</v>
      </c>
      <c r="H1705" t="str">
        <f>TEXT(TbReceitas[[#This Row],[data_transacao]], "aaaa-mm")</f>
        <v>2026-04</v>
      </c>
    </row>
    <row r="1706" spans="1:8">
      <c r="A1706">
        <v>1705</v>
      </c>
      <c r="B1706" s="1">
        <v>45789</v>
      </c>
      <c r="C1706" t="s">
        <v>1615</v>
      </c>
      <c r="D1706" t="s">
        <v>357</v>
      </c>
      <c r="E1706">
        <v>4</v>
      </c>
      <c r="F1706">
        <v>7516</v>
      </c>
      <c r="G1706">
        <f>TbReceitas[[#This Row],[quantidade]]*TbReceitas[[#This Row],[preco_unitario]]</f>
        <v>30064</v>
      </c>
      <c r="H1706" t="str">
        <f>TEXT(TbReceitas[[#This Row],[data_transacao]], "aaaa-mm")</f>
        <v>2025-05</v>
      </c>
    </row>
    <row r="1707" spans="1:8">
      <c r="A1707">
        <v>1706</v>
      </c>
      <c r="B1707" s="1">
        <v>46233</v>
      </c>
      <c r="C1707" t="s">
        <v>936</v>
      </c>
      <c r="D1707" t="s">
        <v>587</v>
      </c>
      <c r="E1707">
        <v>2</v>
      </c>
      <c r="F1707">
        <v>2411</v>
      </c>
      <c r="G1707">
        <f>TbReceitas[[#This Row],[quantidade]]*TbReceitas[[#This Row],[preco_unitario]]</f>
        <v>4822</v>
      </c>
      <c r="H1707" t="str">
        <f>TEXT(TbReceitas[[#This Row],[data_transacao]], "aaaa-mm")</f>
        <v>2026-07</v>
      </c>
    </row>
    <row r="1708" spans="1:8">
      <c r="A1708">
        <v>1707</v>
      </c>
      <c r="B1708" s="1">
        <v>45736</v>
      </c>
      <c r="C1708" t="s">
        <v>756</v>
      </c>
      <c r="D1708" t="s">
        <v>619</v>
      </c>
      <c r="E1708">
        <v>3</v>
      </c>
      <c r="F1708">
        <v>8101</v>
      </c>
      <c r="G1708">
        <f>TbReceitas[[#This Row],[quantidade]]*TbReceitas[[#This Row],[preco_unitario]]</f>
        <v>24303</v>
      </c>
      <c r="H1708" t="str">
        <f>TEXT(TbReceitas[[#This Row],[data_transacao]], "aaaa-mm")</f>
        <v>2025-03</v>
      </c>
    </row>
    <row r="1709" spans="1:8">
      <c r="A1709">
        <v>1708</v>
      </c>
      <c r="B1709" s="1">
        <v>45696</v>
      </c>
      <c r="C1709" t="s">
        <v>1225</v>
      </c>
      <c r="D1709" t="s">
        <v>165</v>
      </c>
      <c r="E1709">
        <v>2</v>
      </c>
      <c r="F1709">
        <v>16789</v>
      </c>
      <c r="G1709">
        <f>TbReceitas[[#This Row],[quantidade]]*TbReceitas[[#This Row],[preco_unitario]]</f>
        <v>33578</v>
      </c>
      <c r="H1709" t="str">
        <f>TEXT(TbReceitas[[#This Row],[data_transacao]], "aaaa-mm")</f>
        <v>2025-02</v>
      </c>
    </row>
    <row r="1710" spans="1:8">
      <c r="A1710">
        <v>1709</v>
      </c>
      <c r="B1710" s="1">
        <v>46074</v>
      </c>
      <c r="C1710" t="s">
        <v>1616</v>
      </c>
      <c r="D1710" t="s">
        <v>641</v>
      </c>
      <c r="E1710">
        <v>3</v>
      </c>
      <c r="F1710">
        <v>3128</v>
      </c>
      <c r="G1710">
        <f>TbReceitas[[#This Row],[quantidade]]*TbReceitas[[#This Row],[preco_unitario]]</f>
        <v>9384</v>
      </c>
      <c r="H1710" t="str">
        <f>TEXT(TbReceitas[[#This Row],[data_transacao]], "aaaa-mm")</f>
        <v>2026-02</v>
      </c>
    </row>
    <row r="1711" spans="1:8">
      <c r="A1711">
        <v>1710</v>
      </c>
      <c r="B1711" s="1">
        <v>46146</v>
      </c>
      <c r="C1711" t="s">
        <v>1617</v>
      </c>
      <c r="D1711" t="s">
        <v>119</v>
      </c>
      <c r="E1711">
        <v>5</v>
      </c>
      <c r="F1711">
        <v>10291</v>
      </c>
      <c r="G1711">
        <f>TbReceitas[[#This Row],[quantidade]]*TbReceitas[[#This Row],[preco_unitario]]</f>
        <v>51455</v>
      </c>
      <c r="H1711" t="str">
        <f>TEXT(TbReceitas[[#This Row],[data_transacao]], "aaaa-mm")</f>
        <v>2026-05</v>
      </c>
    </row>
    <row r="1712" spans="1:8">
      <c r="A1712">
        <v>1711</v>
      </c>
      <c r="B1712" s="1">
        <v>45639</v>
      </c>
      <c r="C1712" t="s">
        <v>1329</v>
      </c>
      <c r="D1712" t="s">
        <v>664</v>
      </c>
      <c r="E1712">
        <v>3</v>
      </c>
      <c r="F1712">
        <v>11808</v>
      </c>
      <c r="G1712">
        <f>TbReceitas[[#This Row],[quantidade]]*TbReceitas[[#This Row],[preco_unitario]]</f>
        <v>35424</v>
      </c>
      <c r="H1712" t="str">
        <f>TEXT(TbReceitas[[#This Row],[data_transacao]], "aaaa-mm")</f>
        <v>2024-12</v>
      </c>
    </row>
    <row r="1713" spans="1:8">
      <c r="A1713">
        <v>1712</v>
      </c>
      <c r="B1713" s="1">
        <v>46033</v>
      </c>
      <c r="C1713" t="s">
        <v>1112</v>
      </c>
      <c r="D1713" t="s">
        <v>563</v>
      </c>
      <c r="E1713">
        <v>3</v>
      </c>
      <c r="F1713">
        <v>3006</v>
      </c>
      <c r="G1713">
        <f>TbReceitas[[#This Row],[quantidade]]*TbReceitas[[#This Row],[preco_unitario]]</f>
        <v>9018</v>
      </c>
      <c r="H1713" t="str">
        <f>TEXT(TbReceitas[[#This Row],[data_transacao]], "aaaa-mm")</f>
        <v>2026-01</v>
      </c>
    </row>
    <row r="1714" spans="1:8">
      <c r="A1714">
        <v>1713</v>
      </c>
      <c r="B1714" s="1">
        <v>45852</v>
      </c>
      <c r="C1714" t="s">
        <v>1053</v>
      </c>
      <c r="D1714" t="s">
        <v>601</v>
      </c>
      <c r="E1714">
        <v>5</v>
      </c>
      <c r="F1714">
        <v>24408</v>
      </c>
      <c r="G1714">
        <f>TbReceitas[[#This Row],[quantidade]]*TbReceitas[[#This Row],[preco_unitario]]</f>
        <v>122040</v>
      </c>
      <c r="H1714" t="str">
        <f>TEXT(TbReceitas[[#This Row],[data_transacao]], "aaaa-mm")</f>
        <v>2025-07</v>
      </c>
    </row>
    <row r="1715" spans="1:8">
      <c r="A1715">
        <v>1714</v>
      </c>
      <c r="B1715" s="1">
        <v>45608</v>
      </c>
      <c r="C1715" t="s">
        <v>1618</v>
      </c>
      <c r="D1715" t="s">
        <v>383</v>
      </c>
      <c r="E1715">
        <v>1</v>
      </c>
      <c r="F1715">
        <v>114</v>
      </c>
      <c r="G1715">
        <f>TbReceitas[[#This Row],[quantidade]]*TbReceitas[[#This Row],[preco_unitario]]</f>
        <v>114</v>
      </c>
      <c r="H1715" t="str">
        <f>TEXT(TbReceitas[[#This Row],[data_transacao]], "aaaa-mm")</f>
        <v>2024-11</v>
      </c>
    </row>
    <row r="1716" spans="1:8">
      <c r="A1716">
        <v>1715</v>
      </c>
      <c r="B1716" s="1">
        <v>46117</v>
      </c>
      <c r="C1716" t="s">
        <v>1398</v>
      </c>
      <c r="D1716" t="s">
        <v>542</v>
      </c>
      <c r="E1716">
        <v>2</v>
      </c>
      <c r="F1716">
        <v>1697</v>
      </c>
      <c r="G1716">
        <f>TbReceitas[[#This Row],[quantidade]]*TbReceitas[[#This Row],[preco_unitario]]</f>
        <v>3394</v>
      </c>
      <c r="H1716" t="str">
        <f>TEXT(TbReceitas[[#This Row],[data_transacao]], "aaaa-mm")</f>
        <v>2026-04</v>
      </c>
    </row>
    <row r="1717" spans="1:8">
      <c r="A1717">
        <v>1716</v>
      </c>
      <c r="B1717" s="1">
        <v>45781</v>
      </c>
      <c r="C1717" t="s">
        <v>1587</v>
      </c>
      <c r="D1717" t="s">
        <v>446</v>
      </c>
      <c r="E1717">
        <v>3</v>
      </c>
      <c r="F1717">
        <v>21448</v>
      </c>
      <c r="G1717">
        <f>TbReceitas[[#This Row],[quantidade]]*TbReceitas[[#This Row],[preco_unitario]]</f>
        <v>64344</v>
      </c>
      <c r="H1717" t="str">
        <f>TEXT(TbReceitas[[#This Row],[data_transacao]], "aaaa-mm")</f>
        <v>2025-05</v>
      </c>
    </row>
    <row r="1718" spans="1:8">
      <c r="A1718">
        <v>1717</v>
      </c>
      <c r="B1718" s="1">
        <v>45904</v>
      </c>
      <c r="C1718" t="s">
        <v>1548</v>
      </c>
      <c r="D1718" t="s">
        <v>387</v>
      </c>
      <c r="E1718">
        <v>5</v>
      </c>
      <c r="F1718">
        <v>16353</v>
      </c>
      <c r="G1718">
        <f>TbReceitas[[#This Row],[quantidade]]*TbReceitas[[#This Row],[preco_unitario]]</f>
        <v>81765</v>
      </c>
      <c r="H1718" t="str">
        <f>TEXT(TbReceitas[[#This Row],[data_transacao]], "aaaa-mm")</f>
        <v>2025-09</v>
      </c>
    </row>
    <row r="1719" spans="1:8">
      <c r="A1719">
        <v>1718</v>
      </c>
      <c r="B1719" s="1">
        <v>46184</v>
      </c>
      <c r="C1719" t="s">
        <v>1619</v>
      </c>
      <c r="D1719" t="s">
        <v>35</v>
      </c>
      <c r="E1719">
        <v>4</v>
      </c>
      <c r="F1719">
        <v>132</v>
      </c>
      <c r="G1719">
        <f>TbReceitas[[#This Row],[quantidade]]*TbReceitas[[#This Row],[preco_unitario]]</f>
        <v>528</v>
      </c>
      <c r="H1719" t="str">
        <f>TEXT(TbReceitas[[#This Row],[data_transacao]], "aaaa-mm")</f>
        <v>2026-06</v>
      </c>
    </row>
    <row r="1720" spans="1:8">
      <c r="A1720">
        <v>1719</v>
      </c>
      <c r="B1720" s="1">
        <v>45789</v>
      </c>
      <c r="C1720" t="s">
        <v>1256</v>
      </c>
      <c r="D1720" t="s">
        <v>515</v>
      </c>
      <c r="E1720">
        <v>2</v>
      </c>
      <c r="F1720">
        <v>7672</v>
      </c>
      <c r="G1720">
        <f>TbReceitas[[#This Row],[quantidade]]*TbReceitas[[#This Row],[preco_unitario]]</f>
        <v>15344</v>
      </c>
      <c r="H1720" t="str">
        <f>TEXT(TbReceitas[[#This Row],[data_transacao]], "aaaa-mm")</f>
        <v>2025-05</v>
      </c>
    </row>
    <row r="1721" spans="1:8">
      <c r="A1721">
        <v>1720</v>
      </c>
      <c r="B1721" s="1">
        <v>45984</v>
      </c>
      <c r="C1721" t="s">
        <v>1620</v>
      </c>
      <c r="D1721" t="s">
        <v>214</v>
      </c>
      <c r="E1721">
        <v>2</v>
      </c>
      <c r="F1721">
        <v>11351</v>
      </c>
      <c r="G1721">
        <f>TbReceitas[[#This Row],[quantidade]]*TbReceitas[[#This Row],[preco_unitario]]</f>
        <v>22702</v>
      </c>
      <c r="H1721" t="str">
        <f>TEXT(TbReceitas[[#This Row],[data_transacao]], "aaaa-mm")</f>
        <v>2025-11</v>
      </c>
    </row>
    <row r="1722" spans="1:8">
      <c r="A1722">
        <v>1721</v>
      </c>
      <c r="B1722" s="1">
        <v>45973</v>
      </c>
      <c r="C1722" t="s">
        <v>744</v>
      </c>
      <c r="D1722" t="s">
        <v>32</v>
      </c>
      <c r="E1722">
        <v>2</v>
      </c>
      <c r="F1722">
        <v>3098</v>
      </c>
      <c r="G1722">
        <f>TbReceitas[[#This Row],[quantidade]]*TbReceitas[[#This Row],[preco_unitario]]</f>
        <v>6196</v>
      </c>
      <c r="H1722" t="str">
        <f>TEXT(TbReceitas[[#This Row],[data_transacao]], "aaaa-mm")</f>
        <v>2025-11</v>
      </c>
    </row>
    <row r="1723" spans="1:8">
      <c r="A1723">
        <v>1722</v>
      </c>
      <c r="B1723" s="1">
        <v>45679</v>
      </c>
      <c r="C1723" t="s">
        <v>1621</v>
      </c>
      <c r="D1723" t="s">
        <v>336</v>
      </c>
      <c r="E1723">
        <v>4</v>
      </c>
      <c r="F1723">
        <v>15514</v>
      </c>
      <c r="G1723">
        <f>TbReceitas[[#This Row],[quantidade]]*TbReceitas[[#This Row],[preco_unitario]]</f>
        <v>62056</v>
      </c>
      <c r="H1723" t="str">
        <f>TEXT(TbReceitas[[#This Row],[data_transacao]], "aaaa-mm")</f>
        <v>2025-01</v>
      </c>
    </row>
    <row r="1724" spans="1:8">
      <c r="A1724">
        <v>1723</v>
      </c>
      <c r="B1724" s="1">
        <v>45652</v>
      </c>
      <c r="C1724" t="s">
        <v>1162</v>
      </c>
      <c r="D1724" t="s">
        <v>172</v>
      </c>
      <c r="E1724">
        <v>3</v>
      </c>
      <c r="F1724">
        <v>9233</v>
      </c>
      <c r="G1724">
        <f>TbReceitas[[#This Row],[quantidade]]*TbReceitas[[#This Row],[preco_unitario]]</f>
        <v>27699</v>
      </c>
      <c r="H1724" t="str">
        <f>TEXT(TbReceitas[[#This Row],[data_transacao]], "aaaa-mm")</f>
        <v>2024-12</v>
      </c>
    </row>
    <row r="1725" spans="1:8">
      <c r="A1725">
        <v>1724</v>
      </c>
      <c r="B1725" s="1">
        <v>45549</v>
      </c>
      <c r="C1725" t="s">
        <v>1274</v>
      </c>
      <c r="D1725" t="s">
        <v>389</v>
      </c>
      <c r="E1725">
        <v>1</v>
      </c>
      <c r="F1725">
        <v>9915</v>
      </c>
      <c r="G1725">
        <f>TbReceitas[[#This Row],[quantidade]]*TbReceitas[[#This Row],[preco_unitario]]</f>
        <v>9915</v>
      </c>
      <c r="H1725" t="str">
        <f>TEXT(TbReceitas[[#This Row],[data_transacao]], "aaaa-mm")</f>
        <v>2024-09</v>
      </c>
    </row>
    <row r="1726" spans="1:8">
      <c r="A1726">
        <v>1725</v>
      </c>
      <c r="B1726" s="1">
        <v>46188</v>
      </c>
      <c r="C1726" t="s">
        <v>1622</v>
      </c>
      <c r="D1726" t="s">
        <v>152</v>
      </c>
      <c r="E1726">
        <v>4</v>
      </c>
      <c r="F1726">
        <v>23714</v>
      </c>
      <c r="G1726">
        <f>TbReceitas[[#This Row],[quantidade]]*TbReceitas[[#This Row],[preco_unitario]]</f>
        <v>94856</v>
      </c>
      <c r="H1726" t="str">
        <f>TEXT(TbReceitas[[#This Row],[data_transacao]], "aaaa-mm")</f>
        <v>2026-06</v>
      </c>
    </row>
    <row r="1727" spans="1:8">
      <c r="A1727">
        <v>1726</v>
      </c>
      <c r="B1727" s="1">
        <v>46234</v>
      </c>
      <c r="C1727" t="s">
        <v>1623</v>
      </c>
      <c r="D1727" t="s">
        <v>26</v>
      </c>
      <c r="E1727">
        <v>5</v>
      </c>
      <c r="F1727">
        <v>936</v>
      </c>
      <c r="G1727">
        <f>TbReceitas[[#This Row],[quantidade]]*TbReceitas[[#This Row],[preco_unitario]]</f>
        <v>4680</v>
      </c>
      <c r="H1727" t="str">
        <f>TEXT(TbReceitas[[#This Row],[data_transacao]], "aaaa-mm")</f>
        <v>2026-07</v>
      </c>
    </row>
    <row r="1728" spans="1:8">
      <c r="A1728">
        <v>1727</v>
      </c>
      <c r="B1728" s="1">
        <v>45803</v>
      </c>
      <c r="C1728" t="s">
        <v>1165</v>
      </c>
      <c r="D1728" t="s">
        <v>100</v>
      </c>
      <c r="E1728">
        <v>2</v>
      </c>
      <c r="F1728">
        <v>12034</v>
      </c>
      <c r="G1728">
        <f>TbReceitas[[#This Row],[quantidade]]*TbReceitas[[#This Row],[preco_unitario]]</f>
        <v>24068</v>
      </c>
      <c r="H1728" t="str">
        <f>TEXT(TbReceitas[[#This Row],[data_transacao]], "aaaa-mm")</f>
        <v>2025-05</v>
      </c>
    </row>
    <row r="1729" spans="1:8">
      <c r="A1729">
        <v>1728</v>
      </c>
      <c r="B1729" s="1">
        <v>45686</v>
      </c>
      <c r="C1729" t="s">
        <v>873</v>
      </c>
      <c r="D1729" t="s">
        <v>593</v>
      </c>
      <c r="E1729">
        <v>1</v>
      </c>
      <c r="F1729">
        <v>2171</v>
      </c>
      <c r="G1729">
        <f>TbReceitas[[#This Row],[quantidade]]*TbReceitas[[#This Row],[preco_unitario]]</f>
        <v>2171</v>
      </c>
      <c r="H1729" t="str">
        <f>TEXT(TbReceitas[[#This Row],[data_transacao]], "aaaa-mm")</f>
        <v>2025-01</v>
      </c>
    </row>
    <row r="1730" spans="1:8">
      <c r="A1730">
        <v>1729</v>
      </c>
      <c r="B1730" s="1">
        <v>45599</v>
      </c>
      <c r="C1730" t="s">
        <v>770</v>
      </c>
      <c r="D1730" t="s">
        <v>348</v>
      </c>
      <c r="E1730">
        <v>3</v>
      </c>
      <c r="F1730">
        <v>14528</v>
      </c>
      <c r="G1730">
        <f>TbReceitas[[#This Row],[quantidade]]*TbReceitas[[#This Row],[preco_unitario]]</f>
        <v>43584</v>
      </c>
      <c r="H1730" t="str">
        <f>TEXT(TbReceitas[[#This Row],[data_transacao]], "aaaa-mm")</f>
        <v>2024-11</v>
      </c>
    </row>
    <row r="1731" spans="1:8">
      <c r="A1731">
        <v>1730</v>
      </c>
      <c r="B1731" s="1">
        <v>46132</v>
      </c>
      <c r="C1731" t="s">
        <v>1385</v>
      </c>
      <c r="D1731" t="s">
        <v>124</v>
      </c>
      <c r="E1731">
        <v>4</v>
      </c>
      <c r="F1731">
        <v>16361</v>
      </c>
      <c r="G1731">
        <f>TbReceitas[[#This Row],[quantidade]]*TbReceitas[[#This Row],[preco_unitario]]</f>
        <v>65444</v>
      </c>
      <c r="H1731" t="str">
        <f>TEXT(TbReceitas[[#This Row],[data_transacao]], "aaaa-mm")</f>
        <v>2026-04</v>
      </c>
    </row>
    <row r="1732" spans="1:8">
      <c r="A1732">
        <v>1731</v>
      </c>
      <c r="B1732" s="1">
        <v>45789</v>
      </c>
      <c r="C1732" t="s">
        <v>1060</v>
      </c>
      <c r="D1732" t="s">
        <v>397</v>
      </c>
      <c r="E1732">
        <v>1</v>
      </c>
      <c r="F1732">
        <v>10959</v>
      </c>
      <c r="G1732">
        <f>TbReceitas[[#This Row],[quantidade]]*TbReceitas[[#This Row],[preco_unitario]]</f>
        <v>10959</v>
      </c>
      <c r="H1732" t="str">
        <f>TEXT(TbReceitas[[#This Row],[data_transacao]], "aaaa-mm")</f>
        <v>2025-05</v>
      </c>
    </row>
    <row r="1733" spans="1:8">
      <c r="A1733">
        <v>1732</v>
      </c>
      <c r="B1733" s="1">
        <v>46060</v>
      </c>
      <c r="C1733" t="s">
        <v>1079</v>
      </c>
      <c r="D1733" t="s">
        <v>696</v>
      </c>
      <c r="E1733">
        <v>5</v>
      </c>
      <c r="F1733">
        <v>24429</v>
      </c>
      <c r="G1733">
        <f>TbReceitas[[#This Row],[quantidade]]*TbReceitas[[#This Row],[preco_unitario]]</f>
        <v>122145</v>
      </c>
      <c r="H1733" t="str">
        <f>TEXT(TbReceitas[[#This Row],[data_transacao]], "aaaa-mm")</f>
        <v>2026-02</v>
      </c>
    </row>
    <row r="1734" spans="1:8">
      <c r="A1734">
        <v>1733</v>
      </c>
      <c r="B1734" s="1">
        <v>45645</v>
      </c>
      <c r="C1734" t="s">
        <v>1159</v>
      </c>
      <c r="D1734" t="s">
        <v>94</v>
      </c>
      <c r="E1734">
        <v>4</v>
      </c>
      <c r="F1734">
        <v>11961</v>
      </c>
      <c r="G1734">
        <f>TbReceitas[[#This Row],[quantidade]]*TbReceitas[[#This Row],[preco_unitario]]</f>
        <v>47844</v>
      </c>
      <c r="H1734" t="str">
        <f>TEXT(TbReceitas[[#This Row],[data_transacao]], "aaaa-mm")</f>
        <v>2024-12</v>
      </c>
    </row>
    <row r="1735" spans="1:8">
      <c r="A1735">
        <v>1734</v>
      </c>
      <c r="B1735" s="1">
        <v>45617</v>
      </c>
      <c r="C1735" t="s">
        <v>1390</v>
      </c>
      <c r="D1735" t="s">
        <v>686</v>
      </c>
      <c r="E1735">
        <v>5</v>
      </c>
      <c r="F1735">
        <v>7346</v>
      </c>
      <c r="G1735">
        <f>TbReceitas[[#This Row],[quantidade]]*TbReceitas[[#This Row],[preco_unitario]]</f>
        <v>36730</v>
      </c>
      <c r="H1735" t="str">
        <f>TEXT(TbReceitas[[#This Row],[data_transacao]], "aaaa-mm")</f>
        <v>2024-11</v>
      </c>
    </row>
    <row r="1736" spans="1:8">
      <c r="A1736">
        <v>1735</v>
      </c>
      <c r="B1736" s="1">
        <v>45721</v>
      </c>
      <c r="C1736" t="s">
        <v>1069</v>
      </c>
      <c r="D1736" t="s">
        <v>327</v>
      </c>
      <c r="E1736">
        <v>4</v>
      </c>
      <c r="F1736">
        <v>23125</v>
      </c>
      <c r="G1736">
        <f>TbReceitas[[#This Row],[quantidade]]*TbReceitas[[#This Row],[preco_unitario]]</f>
        <v>92500</v>
      </c>
      <c r="H1736" t="str">
        <f>TEXT(TbReceitas[[#This Row],[data_transacao]], "aaaa-mm")</f>
        <v>2025-03</v>
      </c>
    </row>
    <row r="1737" spans="1:8">
      <c r="A1737">
        <v>1736</v>
      </c>
      <c r="B1737" s="1">
        <v>45779</v>
      </c>
      <c r="C1737" t="s">
        <v>708</v>
      </c>
      <c r="D1737" t="s">
        <v>637</v>
      </c>
      <c r="E1737">
        <v>1</v>
      </c>
      <c r="F1737">
        <v>449</v>
      </c>
      <c r="G1737">
        <f>TbReceitas[[#This Row],[quantidade]]*TbReceitas[[#This Row],[preco_unitario]]</f>
        <v>449</v>
      </c>
      <c r="H1737" t="str">
        <f>TEXT(TbReceitas[[#This Row],[data_transacao]], "aaaa-mm")</f>
        <v>2025-05</v>
      </c>
    </row>
    <row r="1738" spans="1:8">
      <c r="A1738">
        <v>1737</v>
      </c>
      <c r="B1738" s="1">
        <v>46180</v>
      </c>
      <c r="C1738" t="s">
        <v>1624</v>
      </c>
      <c r="D1738" t="s">
        <v>80</v>
      </c>
      <c r="E1738">
        <v>3</v>
      </c>
      <c r="F1738">
        <v>846</v>
      </c>
      <c r="G1738">
        <f>TbReceitas[[#This Row],[quantidade]]*TbReceitas[[#This Row],[preco_unitario]]</f>
        <v>2538</v>
      </c>
      <c r="H1738" t="str">
        <f>TEXT(TbReceitas[[#This Row],[data_transacao]], "aaaa-mm")</f>
        <v>2026-06</v>
      </c>
    </row>
    <row r="1739" spans="1:8">
      <c r="A1739">
        <v>1738</v>
      </c>
      <c r="B1739" s="1">
        <v>46220</v>
      </c>
      <c r="C1739" t="s">
        <v>1436</v>
      </c>
      <c r="D1739" t="s">
        <v>142</v>
      </c>
      <c r="E1739">
        <v>3</v>
      </c>
      <c r="F1739">
        <v>3871</v>
      </c>
      <c r="G1739">
        <f>TbReceitas[[#This Row],[quantidade]]*TbReceitas[[#This Row],[preco_unitario]]</f>
        <v>11613</v>
      </c>
      <c r="H1739" t="str">
        <f>TEXT(TbReceitas[[#This Row],[data_transacao]], "aaaa-mm")</f>
        <v>2026-07</v>
      </c>
    </row>
    <row r="1740" spans="1:8">
      <c r="A1740">
        <v>1739</v>
      </c>
      <c r="B1740" s="1">
        <v>46164</v>
      </c>
      <c r="C1740" t="s">
        <v>933</v>
      </c>
      <c r="D1740" t="s">
        <v>207</v>
      </c>
      <c r="E1740">
        <v>4</v>
      </c>
      <c r="F1740">
        <v>17156</v>
      </c>
      <c r="G1740">
        <f>TbReceitas[[#This Row],[quantidade]]*TbReceitas[[#This Row],[preco_unitario]]</f>
        <v>68624</v>
      </c>
      <c r="H1740" t="str">
        <f>TEXT(TbReceitas[[#This Row],[data_transacao]], "aaaa-mm")</f>
        <v>2026-05</v>
      </c>
    </row>
    <row r="1741" spans="1:8">
      <c r="A1741">
        <v>1740</v>
      </c>
      <c r="B1741" s="1">
        <v>46074</v>
      </c>
      <c r="C1741" t="s">
        <v>905</v>
      </c>
      <c r="D1741" t="s">
        <v>529</v>
      </c>
      <c r="E1741">
        <v>5</v>
      </c>
      <c r="F1741">
        <v>18056</v>
      </c>
      <c r="G1741">
        <f>TbReceitas[[#This Row],[quantidade]]*TbReceitas[[#This Row],[preco_unitario]]</f>
        <v>90280</v>
      </c>
      <c r="H1741" t="str">
        <f>TEXT(TbReceitas[[#This Row],[data_transacao]], "aaaa-mm")</f>
        <v>2026-02</v>
      </c>
    </row>
    <row r="1742" spans="1:8">
      <c r="A1742">
        <v>1741</v>
      </c>
      <c r="B1742" s="1">
        <v>45934</v>
      </c>
      <c r="C1742" t="s">
        <v>779</v>
      </c>
      <c r="D1742" t="s">
        <v>596</v>
      </c>
      <c r="E1742">
        <v>1</v>
      </c>
      <c r="F1742">
        <v>11069</v>
      </c>
      <c r="G1742">
        <f>TbReceitas[[#This Row],[quantidade]]*TbReceitas[[#This Row],[preco_unitario]]</f>
        <v>11069</v>
      </c>
      <c r="H1742" t="str">
        <f>TEXT(TbReceitas[[#This Row],[data_transacao]], "aaaa-mm")</f>
        <v>2025-10</v>
      </c>
    </row>
    <row r="1743" spans="1:8">
      <c r="A1743">
        <v>1742</v>
      </c>
      <c r="B1743" s="1">
        <v>45827</v>
      </c>
      <c r="C1743" t="s">
        <v>1377</v>
      </c>
      <c r="D1743" t="s">
        <v>511</v>
      </c>
      <c r="E1743">
        <v>3</v>
      </c>
      <c r="F1743">
        <v>17603</v>
      </c>
      <c r="G1743">
        <f>TbReceitas[[#This Row],[quantidade]]*TbReceitas[[#This Row],[preco_unitario]]</f>
        <v>52809</v>
      </c>
      <c r="H1743" t="str">
        <f>TEXT(TbReceitas[[#This Row],[data_transacao]], "aaaa-mm")</f>
        <v>2025-06</v>
      </c>
    </row>
    <row r="1744" spans="1:8">
      <c r="A1744">
        <v>1743</v>
      </c>
      <c r="B1744" s="1">
        <v>45945</v>
      </c>
      <c r="C1744" t="s">
        <v>1409</v>
      </c>
      <c r="D1744" t="s">
        <v>456</v>
      </c>
      <c r="E1744">
        <v>5</v>
      </c>
      <c r="F1744">
        <v>4361</v>
      </c>
      <c r="G1744">
        <f>TbReceitas[[#This Row],[quantidade]]*TbReceitas[[#This Row],[preco_unitario]]</f>
        <v>21805</v>
      </c>
      <c r="H1744" t="str">
        <f>TEXT(TbReceitas[[#This Row],[data_transacao]], "aaaa-mm")</f>
        <v>2025-10</v>
      </c>
    </row>
    <row r="1745" spans="1:8">
      <c r="A1745">
        <v>1744</v>
      </c>
      <c r="B1745" s="1">
        <v>46232</v>
      </c>
      <c r="C1745" t="s">
        <v>887</v>
      </c>
      <c r="D1745" t="s">
        <v>208</v>
      </c>
      <c r="E1745">
        <v>3</v>
      </c>
      <c r="F1745">
        <v>2719</v>
      </c>
      <c r="G1745">
        <f>TbReceitas[[#This Row],[quantidade]]*TbReceitas[[#This Row],[preco_unitario]]</f>
        <v>8157</v>
      </c>
      <c r="H1745" t="str">
        <f>TEXT(TbReceitas[[#This Row],[data_transacao]], "aaaa-mm")</f>
        <v>2026-07</v>
      </c>
    </row>
    <row r="1746" spans="1:8">
      <c r="A1746">
        <v>1745</v>
      </c>
      <c r="B1746" s="1">
        <v>46226</v>
      </c>
      <c r="C1746" t="s">
        <v>1455</v>
      </c>
      <c r="D1746" t="s">
        <v>88</v>
      </c>
      <c r="E1746">
        <v>1</v>
      </c>
      <c r="F1746">
        <v>4181</v>
      </c>
      <c r="G1746">
        <f>TbReceitas[[#This Row],[quantidade]]*TbReceitas[[#This Row],[preco_unitario]]</f>
        <v>4181</v>
      </c>
      <c r="H1746" t="str">
        <f>TEXT(TbReceitas[[#This Row],[data_transacao]], "aaaa-mm")</f>
        <v>2026-07</v>
      </c>
    </row>
    <row r="1747" spans="1:8">
      <c r="A1747">
        <v>1746</v>
      </c>
      <c r="B1747" s="1">
        <v>46109</v>
      </c>
      <c r="C1747" t="s">
        <v>1413</v>
      </c>
      <c r="D1747" t="s">
        <v>424</v>
      </c>
      <c r="E1747">
        <v>4</v>
      </c>
      <c r="F1747">
        <v>7332</v>
      </c>
      <c r="G1747">
        <f>TbReceitas[[#This Row],[quantidade]]*TbReceitas[[#This Row],[preco_unitario]]</f>
        <v>29328</v>
      </c>
      <c r="H1747" t="str">
        <f>TEXT(TbReceitas[[#This Row],[data_transacao]], "aaaa-mm")</f>
        <v>2026-03</v>
      </c>
    </row>
    <row r="1748" spans="1:8">
      <c r="A1748">
        <v>1747</v>
      </c>
      <c r="B1748" s="1">
        <v>45803</v>
      </c>
      <c r="C1748" t="s">
        <v>710</v>
      </c>
      <c r="D1748" t="s">
        <v>331</v>
      </c>
      <c r="E1748">
        <v>1</v>
      </c>
      <c r="F1748">
        <v>1809</v>
      </c>
      <c r="G1748">
        <f>TbReceitas[[#This Row],[quantidade]]*TbReceitas[[#This Row],[preco_unitario]]</f>
        <v>1809</v>
      </c>
      <c r="H1748" t="str">
        <f>TEXT(TbReceitas[[#This Row],[data_transacao]], "aaaa-mm")</f>
        <v>2025-05</v>
      </c>
    </row>
    <row r="1749" spans="1:8">
      <c r="A1749">
        <v>1748</v>
      </c>
      <c r="B1749" s="1">
        <v>45702</v>
      </c>
      <c r="C1749" t="s">
        <v>1427</v>
      </c>
      <c r="D1749" t="s">
        <v>621</v>
      </c>
      <c r="E1749">
        <v>2</v>
      </c>
      <c r="F1749">
        <v>9823</v>
      </c>
      <c r="G1749">
        <f>TbReceitas[[#This Row],[quantidade]]*TbReceitas[[#This Row],[preco_unitario]]</f>
        <v>19646</v>
      </c>
      <c r="H1749" t="str">
        <f>TEXT(TbReceitas[[#This Row],[data_transacao]], "aaaa-mm")</f>
        <v>2025-02</v>
      </c>
    </row>
    <row r="1750" spans="1:8">
      <c r="A1750">
        <v>1749</v>
      </c>
      <c r="B1750" s="1">
        <v>45550</v>
      </c>
      <c r="C1750" t="s">
        <v>1526</v>
      </c>
      <c r="D1750" t="s">
        <v>529</v>
      </c>
      <c r="E1750">
        <v>1</v>
      </c>
      <c r="F1750">
        <v>18056</v>
      </c>
      <c r="G1750">
        <f>TbReceitas[[#This Row],[quantidade]]*TbReceitas[[#This Row],[preco_unitario]]</f>
        <v>18056</v>
      </c>
      <c r="H1750" t="str">
        <f>TEXT(TbReceitas[[#This Row],[data_transacao]], "aaaa-mm")</f>
        <v>2024-09</v>
      </c>
    </row>
    <row r="1751" spans="1:8">
      <c r="A1751">
        <v>1750</v>
      </c>
      <c r="B1751" s="1">
        <v>45668</v>
      </c>
      <c r="C1751" t="s">
        <v>1140</v>
      </c>
      <c r="D1751" t="s">
        <v>342</v>
      </c>
      <c r="E1751">
        <v>3</v>
      </c>
      <c r="F1751">
        <v>12967</v>
      </c>
      <c r="G1751">
        <f>TbReceitas[[#This Row],[quantidade]]*TbReceitas[[#This Row],[preco_unitario]]</f>
        <v>38901</v>
      </c>
      <c r="H1751" t="str">
        <f>TEXT(TbReceitas[[#This Row],[data_transacao]], "aaaa-mm")</f>
        <v>2025-01</v>
      </c>
    </row>
    <row r="1752" spans="1:8">
      <c r="A1752">
        <v>1751</v>
      </c>
      <c r="B1752" s="1">
        <v>46074</v>
      </c>
      <c r="C1752" t="s">
        <v>822</v>
      </c>
      <c r="D1752" t="s">
        <v>120</v>
      </c>
      <c r="E1752">
        <v>1</v>
      </c>
      <c r="F1752">
        <v>13463</v>
      </c>
      <c r="G1752">
        <f>TbReceitas[[#This Row],[quantidade]]*TbReceitas[[#This Row],[preco_unitario]]</f>
        <v>13463</v>
      </c>
      <c r="H1752" t="str">
        <f>TEXT(TbReceitas[[#This Row],[data_transacao]], "aaaa-mm")</f>
        <v>2026-02</v>
      </c>
    </row>
    <row r="1753" spans="1:8">
      <c r="A1753">
        <v>1752</v>
      </c>
      <c r="B1753" s="1">
        <v>46152</v>
      </c>
      <c r="C1753" t="s">
        <v>1084</v>
      </c>
      <c r="D1753" t="s">
        <v>685</v>
      </c>
      <c r="E1753">
        <v>3</v>
      </c>
      <c r="F1753">
        <v>11639</v>
      </c>
      <c r="G1753">
        <f>TbReceitas[[#This Row],[quantidade]]*TbReceitas[[#This Row],[preco_unitario]]</f>
        <v>34917</v>
      </c>
      <c r="H1753" t="str">
        <f>TEXT(TbReceitas[[#This Row],[data_transacao]], "aaaa-mm")</f>
        <v>2026-05</v>
      </c>
    </row>
    <row r="1754" spans="1:8">
      <c r="A1754">
        <v>1753</v>
      </c>
      <c r="B1754" s="1">
        <v>45967</v>
      </c>
      <c r="C1754" t="s">
        <v>1625</v>
      </c>
      <c r="D1754" t="s">
        <v>666</v>
      </c>
      <c r="E1754">
        <v>5</v>
      </c>
      <c r="F1754">
        <v>17061</v>
      </c>
      <c r="G1754">
        <f>TbReceitas[[#This Row],[quantidade]]*TbReceitas[[#This Row],[preco_unitario]]</f>
        <v>85305</v>
      </c>
      <c r="H1754" t="str">
        <f>TEXT(TbReceitas[[#This Row],[data_transacao]], "aaaa-mm")</f>
        <v>2025-11</v>
      </c>
    </row>
    <row r="1755" spans="1:8">
      <c r="A1755">
        <v>1754</v>
      </c>
      <c r="B1755" s="1">
        <v>46205</v>
      </c>
      <c r="C1755" t="s">
        <v>1138</v>
      </c>
      <c r="D1755" t="s">
        <v>496</v>
      </c>
      <c r="E1755">
        <v>4</v>
      </c>
      <c r="F1755">
        <v>2496</v>
      </c>
      <c r="G1755">
        <f>TbReceitas[[#This Row],[quantidade]]*TbReceitas[[#This Row],[preco_unitario]]</f>
        <v>9984</v>
      </c>
      <c r="H1755" t="str">
        <f>TEXT(TbReceitas[[#This Row],[data_transacao]], "aaaa-mm")</f>
        <v>2026-07</v>
      </c>
    </row>
    <row r="1756" spans="1:8">
      <c r="A1756">
        <v>1755</v>
      </c>
      <c r="B1756" s="1">
        <v>46076</v>
      </c>
      <c r="C1756" t="s">
        <v>1374</v>
      </c>
      <c r="D1756" t="s">
        <v>567</v>
      </c>
      <c r="E1756">
        <v>4</v>
      </c>
      <c r="F1756">
        <v>15916</v>
      </c>
      <c r="G1756">
        <f>TbReceitas[[#This Row],[quantidade]]*TbReceitas[[#This Row],[preco_unitario]]</f>
        <v>63664</v>
      </c>
      <c r="H1756" t="str">
        <f>TEXT(TbReceitas[[#This Row],[data_transacao]], "aaaa-mm")</f>
        <v>2026-02</v>
      </c>
    </row>
    <row r="1757" spans="1:8">
      <c r="A1757">
        <v>1756</v>
      </c>
      <c r="B1757" s="1">
        <v>46052</v>
      </c>
      <c r="C1757" t="s">
        <v>1430</v>
      </c>
      <c r="D1757" t="s">
        <v>9</v>
      </c>
      <c r="E1757">
        <v>4</v>
      </c>
      <c r="F1757">
        <v>751</v>
      </c>
      <c r="G1757">
        <f>TbReceitas[[#This Row],[quantidade]]*TbReceitas[[#This Row],[preco_unitario]]</f>
        <v>3004</v>
      </c>
      <c r="H1757" t="str">
        <f>TEXT(TbReceitas[[#This Row],[data_transacao]], "aaaa-mm")</f>
        <v>2026-01</v>
      </c>
    </row>
    <row r="1758" spans="1:8">
      <c r="A1758">
        <v>1757</v>
      </c>
      <c r="B1758" s="1">
        <v>45782</v>
      </c>
      <c r="C1758" t="s">
        <v>1523</v>
      </c>
      <c r="D1758" t="s">
        <v>299</v>
      </c>
      <c r="E1758">
        <v>3</v>
      </c>
      <c r="F1758">
        <v>2266</v>
      </c>
      <c r="G1758">
        <f>TbReceitas[[#This Row],[quantidade]]*TbReceitas[[#This Row],[preco_unitario]]</f>
        <v>6798</v>
      </c>
      <c r="H1758" t="str">
        <f>TEXT(TbReceitas[[#This Row],[data_transacao]], "aaaa-mm")</f>
        <v>2025-05</v>
      </c>
    </row>
    <row r="1759" spans="1:8">
      <c r="A1759">
        <v>1758</v>
      </c>
      <c r="B1759" s="1">
        <v>46110</v>
      </c>
      <c r="C1759" t="s">
        <v>823</v>
      </c>
      <c r="D1759" t="s">
        <v>219</v>
      </c>
      <c r="E1759">
        <v>3</v>
      </c>
      <c r="F1759">
        <v>8633</v>
      </c>
      <c r="G1759">
        <f>TbReceitas[[#This Row],[quantidade]]*TbReceitas[[#This Row],[preco_unitario]]</f>
        <v>25899</v>
      </c>
      <c r="H1759" t="str">
        <f>TEXT(TbReceitas[[#This Row],[data_transacao]], "aaaa-mm")</f>
        <v>2026-03</v>
      </c>
    </row>
    <row r="1760" spans="1:8">
      <c r="A1760">
        <v>1759</v>
      </c>
      <c r="B1760" s="1">
        <v>46063</v>
      </c>
      <c r="C1760" t="s">
        <v>942</v>
      </c>
      <c r="D1760" t="s">
        <v>581</v>
      </c>
      <c r="E1760">
        <v>2</v>
      </c>
      <c r="F1760">
        <v>2067</v>
      </c>
      <c r="G1760">
        <f>TbReceitas[[#This Row],[quantidade]]*TbReceitas[[#This Row],[preco_unitario]]</f>
        <v>4134</v>
      </c>
      <c r="H1760" t="str">
        <f>TEXT(TbReceitas[[#This Row],[data_transacao]], "aaaa-mm")</f>
        <v>2026-02</v>
      </c>
    </row>
    <row r="1761" spans="1:8">
      <c r="A1761">
        <v>1760</v>
      </c>
      <c r="B1761" s="1">
        <v>45821</v>
      </c>
      <c r="C1761" t="s">
        <v>875</v>
      </c>
      <c r="D1761" t="s">
        <v>196</v>
      </c>
      <c r="E1761">
        <v>4</v>
      </c>
      <c r="F1761">
        <v>8167</v>
      </c>
      <c r="G1761">
        <f>TbReceitas[[#This Row],[quantidade]]*TbReceitas[[#This Row],[preco_unitario]]</f>
        <v>32668</v>
      </c>
      <c r="H1761" t="str">
        <f>TEXT(TbReceitas[[#This Row],[data_transacao]], "aaaa-mm")</f>
        <v>2025-06</v>
      </c>
    </row>
    <row r="1762" spans="1:8">
      <c r="A1762">
        <v>1761</v>
      </c>
      <c r="B1762" s="1">
        <v>45623</v>
      </c>
      <c r="C1762" t="s">
        <v>1626</v>
      </c>
      <c r="D1762" t="s">
        <v>151</v>
      </c>
      <c r="E1762">
        <v>4</v>
      </c>
      <c r="F1762">
        <v>19706</v>
      </c>
      <c r="G1762">
        <f>TbReceitas[[#This Row],[quantidade]]*TbReceitas[[#This Row],[preco_unitario]]</f>
        <v>78824</v>
      </c>
      <c r="H1762" t="str">
        <f>TEXT(TbReceitas[[#This Row],[data_transacao]], "aaaa-mm")</f>
        <v>2024-11</v>
      </c>
    </row>
    <row r="1763" spans="1:8">
      <c r="A1763">
        <v>1762</v>
      </c>
      <c r="B1763" s="1">
        <v>45650</v>
      </c>
      <c r="C1763" t="s">
        <v>1561</v>
      </c>
      <c r="D1763" t="s">
        <v>40</v>
      </c>
      <c r="E1763">
        <v>1</v>
      </c>
      <c r="F1763">
        <v>736</v>
      </c>
      <c r="G1763">
        <f>TbReceitas[[#This Row],[quantidade]]*TbReceitas[[#This Row],[preco_unitario]]</f>
        <v>736</v>
      </c>
      <c r="H1763" t="str">
        <f>TEXT(TbReceitas[[#This Row],[data_transacao]], "aaaa-mm")</f>
        <v>2024-12</v>
      </c>
    </row>
    <row r="1764" spans="1:8">
      <c r="A1764">
        <v>1763</v>
      </c>
      <c r="B1764" s="1">
        <v>45685</v>
      </c>
      <c r="C1764" t="s">
        <v>1188</v>
      </c>
      <c r="D1764" t="s">
        <v>370</v>
      </c>
      <c r="E1764">
        <v>3</v>
      </c>
      <c r="F1764">
        <v>10127</v>
      </c>
      <c r="G1764">
        <f>TbReceitas[[#This Row],[quantidade]]*TbReceitas[[#This Row],[preco_unitario]]</f>
        <v>30381</v>
      </c>
      <c r="H1764" t="str">
        <f>TEXT(TbReceitas[[#This Row],[data_transacao]], "aaaa-mm")</f>
        <v>2025-01</v>
      </c>
    </row>
    <row r="1765" spans="1:8">
      <c r="A1765">
        <v>1764</v>
      </c>
      <c r="B1765" s="1">
        <v>45747</v>
      </c>
      <c r="C1765" t="s">
        <v>1145</v>
      </c>
      <c r="D1765" t="s">
        <v>324</v>
      </c>
      <c r="E1765">
        <v>2</v>
      </c>
      <c r="F1765">
        <v>16348</v>
      </c>
      <c r="G1765">
        <f>TbReceitas[[#This Row],[quantidade]]*TbReceitas[[#This Row],[preco_unitario]]</f>
        <v>32696</v>
      </c>
      <c r="H1765" t="str">
        <f>TEXT(TbReceitas[[#This Row],[data_transacao]], "aaaa-mm")</f>
        <v>2025-03</v>
      </c>
    </row>
    <row r="1766" spans="1:8">
      <c r="A1766">
        <v>1765</v>
      </c>
      <c r="B1766" s="1">
        <v>45598</v>
      </c>
      <c r="C1766" t="s">
        <v>1627</v>
      </c>
      <c r="D1766" t="s">
        <v>465</v>
      </c>
      <c r="E1766">
        <v>1</v>
      </c>
      <c r="F1766">
        <v>6944</v>
      </c>
      <c r="G1766">
        <f>TbReceitas[[#This Row],[quantidade]]*TbReceitas[[#This Row],[preco_unitario]]</f>
        <v>6944</v>
      </c>
      <c r="H1766" t="str">
        <f>TEXT(TbReceitas[[#This Row],[data_transacao]], "aaaa-mm")</f>
        <v>2024-11</v>
      </c>
    </row>
    <row r="1767" spans="1:8">
      <c r="A1767">
        <v>1766</v>
      </c>
      <c r="B1767" s="1">
        <v>45669</v>
      </c>
      <c r="C1767" t="s">
        <v>1190</v>
      </c>
      <c r="D1767" t="s">
        <v>576</v>
      </c>
      <c r="E1767">
        <v>5</v>
      </c>
      <c r="F1767">
        <v>13142</v>
      </c>
      <c r="G1767">
        <f>TbReceitas[[#This Row],[quantidade]]*TbReceitas[[#This Row],[preco_unitario]]</f>
        <v>65710</v>
      </c>
      <c r="H1767" t="str">
        <f>TEXT(TbReceitas[[#This Row],[data_transacao]], "aaaa-mm")</f>
        <v>2025-01</v>
      </c>
    </row>
    <row r="1768" spans="1:8">
      <c r="A1768">
        <v>1767</v>
      </c>
      <c r="B1768" s="1">
        <v>45930</v>
      </c>
      <c r="C1768" t="s">
        <v>799</v>
      </c>
      <c r="D1768" t="s">
        <v>672</v>
      </c>
      <c r="E1768">
        <v>3</v>
      </c>
      <c r="F1768">
        <v>21051</v>
      </c>
      <c r="G1768">
        <f>TbReceitas[[#This Row],[quantidade]]*TbReceitas[[#This Row],[preco_unitario]]</f>
        <v>63153</v>
      </c>
      <c r="H1768" t="str">
        <f>TEXT(TbReceitas[[#This Row],[data_transacao]], "aaaa-mm")</f>
        <v>2025-09</v>
      </c>
    </row>
    <row r="1769" spans="1:8">
      <c r="A1769">
        <v>1768</v>
      </c>
      <c r="B1769" s="1">
        <v>46269</v>
      </c>
      <c r="C1769" t="s">
        <v>1092</v>
      </c>
      <c r="D1769" t="s">
        <v>1440</v>
      </c>
      <c r="E1769">
        <v>5</v>
      </c>
      <c r="F1769">
        <v>17606</v>
      </c>
      <c r="G1769">
        <f>TbReceitas[[#This Row],[quantidade]]*TbReceitas[[#This Row],[preco_unitario]]</f>
        <v>88030</v>
      </c>
      <c r="H1769" t="str">
        <f>TEXT(TbReceitas[[#This Row],[data_transacao]], "aaaa-mm")</f>
        <v>2026-09</v>
      </c>
    </row>
    <row r="1770" spans="1:8">
      <c r="A1770">
        <v>1769</v>
      </c>
      <c r="B1770" s="1">
        <v>46072</v>
      </c>
      <c r="C1770" t="s">
        <v>1174</v>
      </c>
      <c r="D1770" t="s">
        <v>634</v>
      </c>
      <c r="E1770">
        <v>5</v>
      </c>
      <c r="F1770">
        <v>21686</v>
      </c>
      <c r="G1770">
        <f>TbReceitas[[#This Row],[quantidade]]*TbReceitas[[#This Row],[preco_unitario]]</f>
        <v>108430</v>
      </c>
      <c r="H1770" t="str">
        <f>TEXT(TbReceitas[[#This Row],[data_transacao]], "aaaa-mm")</f>
        <v>2026-02</v>
      </c>
    </row>
    <row r="1771" spans="1:8">
      <c r="A1771">
        <v>1770</v>
      </c>
      <c r="B1771" s="1">
        <v>45720</v>
      </c>
      <c r="C1771" t="s">
        <v>1628</v>
      </c>
      <c r="D1771" t="s">
        <v>546</v>
      </c>
      <c r="E1771">
        <v>5</v>
      </c>
      <c r="F1771">
        <v>21187</v>
      </c>
      <c r="G1771">
        <f>TbReceitas[[#This Row],[quantidade]]*TbReceitas[[#This Row],[preco_unitario]]</f>
        <v>105935</v>
      </c>
      <c r="H1771" t="str">
        <f>TEXT(TbReceitas[[#This Row],[data_transacao]], "aaaa-mm")</f>
        <v>2025-03</v>
      </c>
    </row>
    <row r="1772" spans="1:8">
      <c r="A1772">
        <v>1771</v>
      </c>
      <c r="B1772" s="1">
        <v>45606</v>
      </c>
      <c r="C1772" t="s">
        <v>1629</v>
      </c>
      <c r="D1772" t="s">
        <v>1447</v>
      </c>
      <c r="E1772">
        <v>4</v>
      </c>
      <c r="F1772">
        <v>2613</v>
      </c>
      <c r="G1772">
        <f>TbReceitas[[#This Row],[quantidade]]*TbReceitas[[#This Row],[preco_unitario]]</f>
        <v>10452</v>
      </c>
      <c r="H1772" t="str">
        <f>TEXT(TbReceitas[[#This Row],[data_transacao]], "aaaa-mm")</f>
        <v>2024-11</v>
      </c>
    </row>
    <row r="1773" spans="1:8">
      <c r="A1773">
        <v>1772</v>
      </c>
      <c r="B1773" s="1">
        <v>45733</v>
      </c>
      <c r="C1773" t="s">
        <v>1630</v>
      </c>
      <c r="D1773" t="s">
        <v>567</v>
      </c>
      <c r="E1773">
        <v>1</v>
      </c>
      <c r="F1773">
        <v>15916</v>
      </c>
      <c r="G1773">
        <f>TbReceitas[[#This Row],[quantidade]]*TbReceitas[[#This Row],[preco_unitario]]</f>
        <v>15916</v>
      </c>
      <c r="H1773" t="str">
        <f>TEXT(TbReceitas[[#This Row],[data_transacao]], "aaaa-mm")</f>
        <v>2025-03</v>
      </c>
    </row>
    <row r="1774" spans="1:8">
      <c r="A1774">
        <v>1773</v>
      </c>
      <c r="B1774" s="1">
        <v>45904</v>
      </c>
      <c r="C1774" t="s">
        <v>883</v>
      </c>
      <c r="D1774" t="s">
        <v>546</v>
      </c>
      <c r="E1774">
        <v>4</v>
      </c>
      <c r="F1774">
        <v>21187</v>
      </c>
      <c r="G1774">
        <f>TbReceitas[[#This Row],[quantidade]]*TbReceitas[[#This Row],[preco_unitario]]</f>
        <v>84748</v>
      </c>
      <c r="H1774" t="str">
        <f>TEXT(TbReceitas[[#This Row],[data_transacao]], "aaaa-mm")</f>
        <v>2025-09</v>
      </c>
    </row>
    <row r="1775" spans="1:8">
      <c r="A1775">
        <v>1774</v>
      </c>
      <c r="B1775" s="1">
        <v>45641</v>
      </c>
      <c r="C1775" t="s">
        <v>711</v>
      </c>
      <c r="D1775" t="s">
        <v>515</v>
      </c>
      <c r="E1775">
        <v>5</v>
      </c>
      <c r="F1775">
        <v>7672</v>
      </c>
      <c r="G1775">
        <f>TbReceitas[[#This Row],[quantidade]]*TbReceitas[[#This Row],[preco_unitario]]</f>
        <v>38360</v>
      </c>
      <c r="H1775" t="str">
        <f>TEXT(TbReceitas[[#This Row],[data_transacao]], "aaaa-mm")</f>
        <v>2024-12</v>
      </c>
    </row>
    <row r="1776" spans="1:8">
      <c r="A1776">
        <v>1775</v>
      </c>
      <c r="B1776" s="1">
        <v>45942</v>
      </c>
      <c r="C1776" t="s">
        <v>1507</v>
      </c>
      <c r="D1776" t="s">
        <v>336</v>
      </c>
      <c r="E1776">
        <v>1</v>
      </c>
      <c r="F1776">
        <v>15514</v>
      </c>
      <c r="G1776">
        <f>TbReceitas[[#This Row],[quantidade]]*TbReceitas[[#This Row],[preco_unitario]]</f>
        <v>15514</v>
      </c>
      <c r="H1776" t="str">
        <f>TEXT(TbReceitas[[#This Row],[data_transacao]], "aaaa-mm")</f>
        <v>2025-10</v>
      </c>
    </row>
    <row r="1777" spans="1:8">
      <c r="A1777">
        <v>1776</v>
      </c>
      <c r="B1777" s="1">
        <v>45607</v>
      </c>
      <c r="C1777" t="s">
        <v>872</v>
      </c>
      <c r="D1777" t="s">
        <v>375</v>
      </c>
      <c r="E1777">
        <v>5</v>
      </c>
      <c r="F1777">
        <v>3952</v>
      </c>
      <c r="G1777">
        <f>TbReceitas[[#This Row],[quantidade]]*TbReceitas[[#This Row],[preco_unitario]]</f>
        <v>19760</v>
      </c>
      <c r="H1777" t="str">
        <f>TEXT(TbReceitas[[#This Row],[data_transacao]], "aaaa-mm")</f>
        <v>2024-11</v>
      </c>
    </row>
    <row r="1778" spans="1:8">
      <c r="A1778">
        <v>1777</v>
      </c>
      <c r="B1778" s="1">
        <v>45710</v>
      </c>
      <c r="C1778" t="s">
        <v>1631</v>
      </c>
      <c r="D1778" t="s">
        <v>275</v>
      </c>
      <c r="E1778">
        <v>1</v>
      </c>
      <c r="F1778">
        <v>1708</v>
      </c>
      <c r="G1778">
        <f>TbReceitas[[#This Row],[quantidade]]*TbReceitas[[#This Row],[preco_unitario]]</f>
        <v>1708</v>
      </c>
      <c r="H1778" t="str">
        <f>TEXT(TbReceitas[[#This Row],[data_transacao]], "aaaa-mm")</f>
        <v>2025-02</v>
      </c>
    </row>
    <row r="1779" spans="1:8">
      <c r="A1779">
        <v>1778</v>
      </c>
      <c r="B1779" s="1">
        <v>45988</v>
      </c>
      <c r="C1779" t="s">
        <v>878</v>
      </c>
      <c r="D1779" t="s">
        <v>364</v>
      </c>
      <c r="E1779">
        <v>5</v>
      </c>
      <c r="F1779">
        <v>176</v>
      </c>
      <c r="G1779">
        <f>TbReceitas[[#This Row],[quantidade]]*TbReceitas[[#This Row],[preco_unitario]]</f>
        <v>880</v>
      </c>
      <c r="H1779" t="str">
        <f>TEXT(TbReceitas[[#This Row],[data_transacao]], "aaaa-mm")</f>
        <v>2025-11</v>
      </c>
    </row>
    <row r="1780" spans="1:8">
      <c r="A1780">
        <v>1779</v>
      </c>
      <c r="B1780" s="1">
        <v>46259</v>
      </c>
      <c r="C1780" t="s">
        <v>1575</v>
      </c>
      <c r="D1780" t="s">
        <v>78</v>
      </c>
      <c r="E1780">
        <v>4</v>
      </c>
      <c r="F1780">
        <v>22164</v>
      </c>
      <c r="G1780">
        <f>TbReceitas[[#This Row],[quantidade]]*TbReceitas[[#This Row],[preco_unitario]]</f>
        <v>88656</v>
      </c>
      <c r="H1780" t="str">
        <f>TEXT(TbReceitas[[#This Row],[data_transacao]], "aaaa-mm")</f>
        <v>2026-08</v>
      </c>
    </row>
    <row r="1781" spans="1:8">
      <c r="A1781">
        <v>1780</v>
      </c>
      <c r="B1781" s="1">
        <v>45680</v>
      </c>
      <c r="C1781" t="s">
        <v>1047</v>
      </c>
      <c r="D1781" t="s">
        <v>363</v>
      </c>
      <c r="E1781">
        <v>1</v>
      </c>
      <c r="F1781">
        <v>452</v>
      </c>
      <c r="G1781">
        <f>TbReceitas[[#This Row],[quantidade]]*TbReceitas[[#This Row],[preco_unitario]]</f>
        <v>452</v>
      </c>
      <c r="H1781" t="str">
        <f>TEXT(TbReceitas[[#This Row],[data_transacao]], "aaaa-mm")</f>
        <v>2025-01</v>
      </c>
    </row>
    <row r="1782" spans="1:8">
      <c r="A1782">
        <v>1781</v>
      </c>
      <c r="B1782" s="1">
        <v>46090</v>
      </c>
      <c r="C1782" t="s">
        <v>1304</v>
      </c>
      <c r="D1782" t="s">
        <v>183</v>
      </c>
      <c r="E1782">
        <v>3</v>
      </c>
      <c r="F1782">
        <v>21471</v>
      </c>
      <c r="G1782">
        <f>TbReceitas[[#This Row],[quantidade]]*TbReceitas[[#This Row],[preco_unitario]]</f>
        <v>64413</v>
      </c>
      <c r="H1782" t="str">
        <f>TEXT(TbReceitas[[#This Row],[data_transacao]], "aaaa-mm")</f>
        <v>2026-03</v>
      </c>
    </row>
    <row r="1783" spans="1:8">
      <c r="A1783">
        <v>1782</v>
      </c>
      <c r="B1783" s="1">
        <v>46220</v>
      </c>
      <c r="C1783" t="s">
        <v>1367</v>
      </c>
      <c r="D1783" t="s">
        <v>240</v>
      </c>
      <c r="E1783">
        <v>2</v>
      </c>
      <c r="F1783">
        <v>19846</v>
      </c>
      <c r="G1783">
        <f>TbReceitas[[#This Row],[quantidade]]*TbReceitas[[#This Row],[preco_unitario]]</f>
        <v>39692</v>
      </c>
      <c r="H1783" t="str">
        <f>TEXT(TbReceitas[[#This Row],[data_transacao]], "aaaa-mm")</f>
        <v>2026-07</v>
      </c>
    </row>
    <row r="1784" spans="1:8">
      <c r="A1784">
        <v>1783</v>
      </c>
      <c r="B1784" s="1">
        <v>45735</v>
      </c>
      <c r="C1784" t="s">
        <v>1350</v>
      </c>
      <c r="D1784" t="s">
        <v>612</v>
      </c>
      <c r="E1784">
        <v>2</v>
      </c>
      <c r="F1784">
        <v>20797</v>
      </c>
      <c r="G1784">
        <f>TbReceitas[[#This Row],[quantidade]]*TbReceitas[[#This Row],[preco_unitario]]</f>
        <v>41594</v>
      </c>
      <c r="H1784" t="str">
        <f>TEXT(TbReceitas[[#This Row],[data_transacao]], "aaaa-mm")</f>
        <v>2025-03</v>
      </c>
    </row>
    <row r="1785" spans="1:8">
      <c r="A1785">
        <v>1784</v>
      </c>
      <c r="B1785" s="1">
        <v>45809</v>
      </c>
      <c r="C1785" t="s">
        <v>1131</v>
      </c>
      <c r="D1785" t="s">
        <v>198</v>
      </c>
      <c r="E1785">
        <v>3</v>
      </c>
      <c r="F1785">
        <v>4434</v>
      </c>
      <c r="G1785">
        <f>TbReceitas[[#This Row],[quantidade]]*TbReceitas[[#This Row],[preco_unitario]]</f>
        <v>13302</v>
      </c>
      <c r="H1785" t="str">
        <f>TEXT(TbReceitas[[#This Row],[data_transacao]], "aaaa-mm")</f>
        <v>2025-06</v>
      </c>
    </row>
    <row r="1786" spans="1:8">
      <c r="A1786">
        <v>1785</v>
      </c>
      <c r="B1786" s="1">
        <v>45977</v>
      </c>
      <c r="C1786" t="s">
        <v>1280</v>
      </c>
      <c r="D1786" t="s">
        <v>295</v>
      </c>
      <c r="E1786">
        <v>1</v>
      </c>
      <c r="F1786">
        <v>15397</v>
      </c>
      <c r="G1786">
        <f>TbReceitas[[#This Row],[quantidade]]*TbReceitas[[#This Row],[preco_unitario]]</f>
        <v>15397</v>
      </c>
      <c r="H1786" t="str">
        <f>TEXT(TbReceitas[[#This Row],[data_transacao]], "aaaa-mm")</f>
        <v>2025-11</v>
      </c>
    </row>
    <row r="1787" spans="1:8">
      <c r="A1787">
        <v>1786</v>
      </c>
      <c r="B1787" s="1">
        <v>45991</v>
      </c>
      <c r="C1787" t="s">
        <v>1632</v>
      </c>
      <c r="D1787" t="s">
        <v>26</v>
      </c>
      <c r="E1787">
        <v>4</v>
      </c>
      <c r="F1787">
        <v>936</v>
      </c>
      <c r="G1787">
        <f>TbReceitas[[#This Row],[quantidade]]*TbReceitas[[#This Row],[preco_unitario]]</f>
        <v>3744</v>
      </c>
      <c r="H1787" t="str">
        <f>TEXT(TbReceitas[[#This Row],[data_transacao]], "aaaa-mm")</f>
        <v>2025-11</v>
      </c>
    </row>
    <row r="1788" spans="1:8">
      <c r="A1788">
        <v>1787</v>
      </c>
      <c r="B1788" s="1">
        <v>46269</v>
      </c>
      <c r="C1788" t="s">
        <v>1108</v>
      </c>
      <c r="D1788" t="s">
        <v>282</v>
      </c>
      <c r="E1788">
        <v>2</v>
      </c>
      <c r="F1788">
        <v>2647</v>
      </c>
      <c r="G1788">
        <f>TbReceitas[[#This Row],[quantidade]]*TbReceitas[[#This Row],[preco_unitario]]</f>
        <v>5294</v>
      </c>
      <c r="H1788" t="str">
        <f>TEXT(TbReceitas[[#This Row],[data_transacao]], "aaaa-mm")</f>
        <v>2026-09</v>
      </c>
    </row>
    <row r="1789" spans="1:8">
      <c r="A1789">
        <v>1788</v>
      </c>
      <c r="B1789" s="1">
        <v>46058</v>
      </c>
      <c r="C1789" t="s">
        <v>875</v>
      </c>
      <c r="D1789" t="s">
        <v>625</v>
      </c>
      <c r="E1789">
        <v>3</v>
      </c>
      <c r="F1789">
        <v>2485</v>
      </c>
      <c r="G1789">
        <f>TbReceitas[[#This Row],[quantidade]]*TbReceitas[[#This Row],[preco_unitario]]</f>
        <v>7455</v>
      </c>
      <c r="H1789" t="str">
        <f>TEXT(TbReceitas[[#This Row],[data_transacao]], "aaaa-mm")</f>
        <v>2026-02</v>
      </c>
    </row>
    <row r="1790" spans="1:8">
      <c r="A1790">
        <v>1789</v>
      </c>
      <c r="B1790" s="1">
        <v>45652</v>
      </c>
      <c r="C1790" t="s">
        <v>1350</v>
      </c>
      <c r="D1790" t="s">
        <v>527</v>
      </c>
      <c r="E1790">
        <v>2</v>
      </c>
      <c r="F1790">
        <v>14693</v>
      </c>
      <c r="G1790">
        <f>TbReceitas[[#This Row],[quantidade]]*TbReceitas[[#This Row],[preco_unitario]]</f>
        <v>29386</v>
      </c>
      <c r="H1790" t="str">
        <f>TEXT(TbReceitas[[#This Row],[data_transacao]], "aaaa-mm")</f>
        <v>2024-12</v>
      </c>
    </row>
    <row r="1791" spans="1:8">
      <c r="A1791">
        <v>1790</v>
      </c>
      <c r="B1791" s="1">
        <v>46113</v>
      </c>
      <c r="C1791" t="s">
        <v>1434</v>
      </c>
      <c r="D1791" t="s">
        <v>167</v>
      </c>
      <c r="E1791">
        <v>3</v>
      </c>
      <c r="F1791">
        <v>13706</v>
      </c>
      <c r="G1791">
        <f>TbReceitas[[#This Row],[quantidade]]*TbReceitas[[#This Row],[preco_unitario]]</f>
        <v>41118</v>
      </c>
      <c r="H1791" t="str">
        <f>TEXT(TbReceitas[[#This Row],[data_transacao]], "aaaa-mm")</f>
        <v>2026-04</v>
      </c>
    </row>
    <row r="1792" spans="1:8">
      <c r="A1792">
        <v>1791</v>
      </c>
      <c r="B1792" s="1">
        <v>45686</v>
      </c>
      <c r="C1792" t="s">
        <v>907</v>
      </c>
      <c r="D1792" t="s">
        <v>606</v>
      </c>
      <c r="E1792">
        <v>3</v>
      </c>
      <c r="F1792">
        <v>7402</v>
      </c>
      <c r="G1792">
        <f>TbReceitas[[#This Row],[quantidade]]*TbReceitas[[#This Row],[preco_unitario]]</f>
        <v>22206</v>
      </c>
      <c r="H1792" t="str">
        <f>TEXT(TbReceitas[[#This Row],[data_transacao]], "aaaa-mm")</f>
        <v>2025-01</v>
      </c>
    </row>
    <row r="1793" spans="1:8">
      <c r="A1793">
        <v>1792</v>
      </c>
      <c r="B1793" s="1">
        <v>45569</v>
      </c>
      <c r="C1793" t="s">
        <v>1098</v>
      </c>
      <c r="D1793" t="s">
        <v>272</v>
      </c>
      <c r="E1793">
        <v>3</v>
      </c>
      <c r="F1793">
        <v>2294</v>
      </c>
      <c r="G1793">
        <f>TbReceitas[[#This Row],[quantidade]]*TbReceitas[[#This Row],[preco_unitario]]</f>
        <v>6882</v>
      </c>
      <c r="H1793" t="str">
        <f>TEXT(TbReceitas[[#This Row],[data_transacao]], "aaaa-mm")</f>
        <v>2024-10</v>
      </c>
    </row>
    <row r="1794" spans="1:8">
      <c r="A1794">
        <v>1793</v>
      </c>
      <c r="B1794" s="1">
        <v>45567</v>
      </c>
      <c r="C1794" t="s">
        <v>1496</v>
      </c>
      <c r="D1794" t="s">
        <v>298</v>
      </c>
      <c r="E1794">
        <v>1</v>
      </c>
      <c r="F1794">
        <v>9609</v>
      </c>
      <c r="G1794">
        <f>TbReceitas[[#This Row],[quantidade]]*TbReceitas[[#This Row],[preco_unitario]]</f>
        <v>9609</v>
      </c>
      <c r="H1794" t="str">
        <f>TEXT(TbReceitas[[#This Row],[data_transacao]], "aaaa-mm")</f>
        <v>2024-10</v>
      </c>
    </row>
    <row r="1795" spans="1:8">
      <c r="A1795">
        <v>1794</v>
      </c>
      <c r="B1795" s="1">
        <v>46230</v>
      </c>
      <c r="C1795" t="s">
        <v>1212</v>
      </c>
      <c r="D1795" t="s">
        <v>902</v>
      </c>
      <c r="E1795">
        <v>2</v>
      </c>
      <c r="F1795">
        <v>14695</v>
      </c>
      <c r="G1795">
        <f>TbReceitas[[#This Row],[quantidade]]*TbReceitas[[#This Row],[preco_unitario]]</f>
        <v>29390</v>
      </c>
      <c r="H1795" t="str">
        <f>TEXT(TbReceitas[[#This Row],[data_transacao]], "aaaa-mm")</f>
        <v>2026-07</v>
      </c>
    </row>
    <row r="1796" spans="1:8">
      <c r="A1796">
        <v>1795</v>
      </c>
      <c r="B1796" s="1">
        <v>46232</v>
      </c>
      <c r="C1796" t="s">
        <v>1496</v>
      </c>
      <c r="D1796" t="s">
        <v>621</v>
      </c>
      <c r="E1796">
        <v>2</v>
      </c>
      <c r="F1796">
        <v>9823</v>
      </c>
      <c r="G1796">
        <f>TbReceitas[[#This Row],[quantidade]]*TbReceitas[[#This Row],[preco_unitario]]</f>
        <v>19646</v>
      </c>
      <c r="H1796" t="str">
        <f>TEXT(TbReceitas[[#This Row],[data_transacao]], "aaaa-mm")</f>
        <v>2026-07</v>
      </c>
    </row>
    <row r="1797" spans="1:8">
      <c r="A1797">
        <v>1796</v>
      </c>
      <c r="B1797" s="1">
        <v>46237</v>
      </c>
      <c r="C1797" t="s">
        <v>1633</v>
      </c>
      <c r="D1797" t="s">
        <v>236</v>
      </c>
      <c r="E1797">
        <v>1</v>
      </c>
      <c r="F1797">
        <v>8167</v>
      </c>
      <c r="G1797">
        <f>TbReceitas[[#This Row],[quantidade]]*TbReceitas[[#This Row],[preco_unitario]]</f>
        <v>8167</v>
      </c>
      <c r="H1797" t="str">
        <f>TEXT(TbReceitas[[#This Row],[data_transacao]], "aaaa-mm")</f>
        <v>2026-08</v>
      </c>
    </row>
    <row r="1798" spans="1:8">
      <c r="A1798">
        <v>1797</v>
      </c>
      <c r="B1798" s="1">
        <v>46023</v>
      </c>
      <c r="C1798" t="s">
        <v>1634</v>
      </c>
      <c r="D1798" t="s">
        <v>516</v>
      </c>
      <c r="E1798">
        <v>1</v>
      </c>
      <c r="F1798">
        <v>4039</v>
      </c>
      <c r="G1798">
        <f>TbReceitas[[#This Row],[quantidade]]*TbReceitas[[#This Row],[preco_unitario]]</f>
        <v>4039</v>
      </c>
      <c r="H1798" t="str">
        <f>TEXT(TbReceitas[[#This Row],[data_transacao]], "aaaa-mm")</f>
        <v>2026-01</v>
      </c>
    </row>
    <row r="1799" spans="1:8">
      <c r="A1799">
        <v>1798</v>
      </c>
      <c r="B1799" s="1">
        <v>45848</v>
      </c>
      <c r="C1799" t="s">
        <v>828</v>
      </c>
      <c r="D1799" t="s">
        <v>722</v>
      </c>
      <c r="E1799">
        <v>4</v>
      </c>
      <c r="F1799">
        <v>1511</v>
      </c>
      <c r="G1799">
        <f>TbReceitas[[#This Row],[quantidade]]*TbReceitas[[#This Row],[preco_unitario]]</f>
        <v>6044</v>
      </c>
      <c r="H1799" t="str">
        <f>TEXT(TbReceitas[[#This Row],[data_transacao]], "aaaa-mm")</f>
        <v>2025-07</v>
      </c>
    </row>
    <row r="1800" spans="1:8">
      <c r="A1800">
        <v>1799</v>
      </c>
      <c r="B1800" s="1">
        <v>45640</v>
      </c>
      <c r="C1800" t="s">
        <v>1335</v>
      </c>
      <c r="D1800" t="s">
        <v>255</v>
      </c>
      <c r="E1800">
        <v>5</v>
      </c>
      <c r="F1800">
        <v>16027</v>
      </c>
      <c r="G1800">
        <f>TbReceitas[[#This Row],[quantidade]]*TbReceitas[[#This Row],[preco_unitario]]</f>
        <v>80135</v>
      </c>
      <c r="H1800" t="str">
        <f>TEXT(TbReceitas[[#This Row],[data_transacao]], "aaaa-mm")</f>
        <v>2024-12</v>
      </c>
    </row>
    <row r="1801" spans="1:8">
      <c r="A1801">
        <v>1800</v>
      </c>
      <c r="B1801" s="1">
        <v>45742</v>
      </c>
      <c r="C1801" t="s">
        <v>786</v>
      </c>
      <c r="D1801" t="s">
        <v>573</v>
      </c>
      <c r="E1801">
        <v>2</v>
      </c>
      <c r="F1801">
        <v>1212</v>
      </c>
      <c r="G1801">
        <f>TbReceitas[[#This Row],[quantidade]]*TbReceitas[[#This Row],[preco_unitario]]</f>
        <v>2424</v>
      </c>
      <c r="H1801" t="str">
        <f>TEXT(TbReceitas[[#This Row],[data_transacao]], "aaaa-mm")</f>
        <v>2025-03</v>
      </c>
    </row>
    <row r="1802" spans="1:8">
      <c r="A1802">
        <v>1801</v>
      </c>
      <c r="B1802" s="1">
        <v>45947</v>
      </c>
      <c r="C1802" t="s">
        <v>1247</v>
      </c>
      <c r="D1802" t="s">
        <v>251</v>
      </c>
      <c r="E1802">
        <v>4</v>
      </c>
      <c r="F1802">
        <v>4862</v>
      </c>
      <c r="G1802">
        <f>TbReceitas[[#This Row],[quantidade]]*TbReceitas[[#This Row],[preco_unitario]]</f>
        <v>19448</v>
      </c>
      <c r="H1802" t="str">
        <f>TEXT(TbReceitas[[#This Row],[data_transacao]], "aaaa-mm")</f>
        <v>2025-10</v>
      </c>
    </row>
    <row r="1803" spans="1:8">
      <c r="A1803">
        <v>1802</v>
      </c>
      <c r="B1803" s="1">
        <v>46261</v>
      </c>
      <c r="C1803" t="s">
        <v>1118</v>
      </c>
      <c r="D1803" t="s">
        <v>675</v>
      </c>
      <c r="E1803">
        <v>5</v>
      </c>
      <c r="F1803">
        <v>808</v>
      </c>
      <c r="G1803">
        <f>TbReceitas[[#This Row],[quantidade]]*TbReceitas[[#This Row],[preco_unitario]]</f>
        <v>4040</v>
      </c>
      <c r="H1803" t="str">
        <f>TEXT(TbReceitas[[#This Row],[data_transacao]], "aaaa-mm")</f>
        <v>2026-08</v>
      </c>
    </row>
    <row r="1804" spans="1:8">
      <c r="A1804">
        <v>1803</v>
      </c>
      <c r="B1804" s="1">
        <v>45554</v>
      </c>
      <c r="C1804" t="s">
        <v>1560</v>
      </c>
      <c r="D1804" t="s">
        <v>624</v>
      </c>
      <c r="E1804">
        <v>4</v>
      </c>
      <c r="F1804">
        <v>4705</v>
      </c>
      <c r="G1804">
        <f>TbReceitas[[#This Row],[quantidade]]*TbReceitas[[#This Row],[preco_unitario]]</f>
        <v>18820</v>
      </c>
      <c r="H1804" t="str">
        <f>TEXT(TbReceitas[[#This Row],[data_transacao]], "aaaa-mm")</f>
        <v>2024-09</v>
      </c>
    </row>
    <row r="1805" spans="1:8">
      <c r="A1805">
        <v>1804</v>
      </c>
      <c r="B1805" s="1">
        <v>45781</v>
      </c>
      <c r="C1805" t="s">
        <v>1434</v>
      </c>
      <c r="D1805" t="s">
        <v>505</v>
      </c>
      <c r="E1805">
        <v>1</v>
      </c>
      <c r="F1805">
        <v>9217</v>
      </c>
      <c r="G1805">
        <f>TbReceitas[[#This Row],[quantidade]]*TbReceitas[[#This Row],[preco_unitario]]</f>
        <v>9217</v>
      </c>
      <c r="H1805" t="str">
        <f>TEXT(TbReceitas[[#This Row],[data_transacao]], "aaaa-mm")</f>
        <v>2025-05</v>
      </c>
    </row>
    <row r="1806" spans="1:8">
      <c r="A1806">
        <v>1805</v>
      </c>
      <c r="B1806" s="1">
        <v>46201</v>
      </c>
      <c r="C1806" t="s">
        <v>967</v>
      </c>
      <c r="D1806" t="s">
        <v>439</v>
      </c>
      <c r="E1806">
        <v>2</v>
      </c>
      <c r="F1806">
        <v>1782</v>
      </c>
      <c r="G1806">
        <f>TbReceitas[[#This Row],[quantidade]]*TbReceitas[[#This Row],[preco_unitario]]</f>
        <v>3564</v>
      </c>
      <c r="H1806" t="str">
        <f>TEXT(TbReceitas[[#This Row],[data_transacao]], "aaaa-mm")</f>
        <v>2026-06</v>
      </c>
    </row>
    <row r="1807" spans="1:8">
      <c r="A1807">
        <v>1806</v>
      </c>
      <c r="B1807" s="1">
        <v>45613</v>
      </c>
      <c r="C1807" t="s">
        <v>880</v>
      </c>
      <c r="D1807" t="s">
        <v>642</v>
      </c>
      <c r="E1807">
        <v>1</v>
      </c>
      <c r="F1807">
        <v>3555</v>
      </c>
      <c r="G1807">
        <f>TbReceitas[[#This Row],[quantidade]]*TbReceitas[[#This Row],[preco_unitario]]</f>
        <v>3555</v>
      </c>
      <c r="H1807" t="str">
        <f>TEXT(TbReceitas[[#This Row],[data_transacao]], "aaaa-mm")</f>
        <v>2024-11</v>
      </c>
    </row>
    <row r="1808" spans="1:8">
      <c r="A1808">
        <v>1807</v>
      </c>
      <c r="B1808" s="1">
        <v>45852</v>
      </c>
      <c r="C1808" t="s">
        <v>1192</v>
      </c>
      <c r="D1808" t="s">
        <v>36</v>
      </c>
      <c r="E1808">
        <v>4</v>
      </c>
      <c r="F1808">
        <v>20503</v>
      </c>
      <c r="G1808">
        <f>TbReceitas[[#This Row],[quantidade]]*TbReceitas[[#This Row],[preco_unitario]]</f>
        <v>82012</v>
      </c>
      <c r="H1808" t="str">
        <f>TEXT(TbReceitas[[#This Row],[data_transacao]], "aaaa-mm")</f>
        <v>2025-07</v>
      </c>
    </row>
    <row r="1809" spans="1:8">
      <c r="A1809">
        <v>1808</v>
      </c>
      <c r="B1809" s="1">
        <v>46068</v>
      </c>
      <c r="C1809" t="s">
        <v>1420</v>
      </c>
      <c r="D1809" t="s">
        <v>665</v>
      </c>
      <c r="E1809">
        <v>4</v>
      </c>
      <c r="F1809">
        <v>2409</v>
      </c>
      <c r="G1809">
        <f>TbReceitas[[#This Row],[quantidade]]*TbReceitas[[#This Row],[preco_unitario]]</f>
        <v>9636</v>
      </c>
      <c r="H1809" t="str">
        <f>TEXT(TbReceitas[[#This Row],[data_transacao]], "aaaa-mm")</f>
        <v>2026-02</v>
      </c>
    </row>
    <row r="1810" spans="1:8">
      <c r="A1810">
        <v>1809</v>
      </c>
      <c r="B1810" s="1">
        <v>45751</v>
      </c>
      <c r="C1810" t="s">
        <v>1477</v>
      </c>
      <c r="D1810" t="s">
        <v>186</v>
      </c>
      <c r="E1810">
        <v>3</v>
      </c>
      <c r="F1810">
        <v>5111</v>
      </c>
      <c r="G1810">
        <f>TbReceitas[[#This Row],[quantidade]]*TbReceitas[[#This Row],[preco_unitario]]</f>
        <v>15333</v>
      </c>
      <c r="H1810" t="str">
        <f>TEXT(TbReceitas[[#This Row],[data_transacao]], "aaaa-mm")</f>
        <v>2025-04</v>
      </c>
    </row>
    <row r="1811" spans="1:8">
      <c r="A1811">
        <v>1810</v>
      </c>
      <c r="B1811" s="1">
        <v>45758</v>
      </c>
      <c r="C1811" t="s">
        <v>1485</v>
      </c>
      <c r="D1811" t="s">
        <v>686</v>
      </c>
      <c r="E1811">
        <v>2</v>
      </c>
      <c r="F1811">
        <v>7346</v>
      </c>
      <c r="G1811">
        <f>TbReceitas[[#This Row],[quantidade]]*TbReceitas[[#This Row],[preco_unitario]]</f>
        <v>14692</v>
      </c>
      <c r="H1811" t="str">
        <f>TEXT(TbReceitas[[#This Row],[data_transacao]], "aaaa-mm")</f>
        <v>2025-04</v>
      </c>
    </row>
    <row r="1812" spans="1:8">
      <c r="A1812">
        <v>1811</v>
      </c>
      <c r="B1812" s="1">
        <v>45854</v>
      </c>
      <c r="C1812" t="s">
        <v>1523</v>
      </c>
      <c r="D1812" t="s">
        <v>562</v>
      </c>
      <c r="E1812">
        <v>3</v>
      </c>
      <c r="F1812">
        <v>1203</v>
      </c>
      <c r="G1812">
        <f>TbReceitas[[#This Row],[quantidade]]*TbReceitas[[#This Row],[preco_unitario]]</f>
        <v>3609</v>
      </c>
      <c r="H1812" t="str">
        <f>TEXT(TbReceitas[[#This Row],[data_transacao]], "aaaa-mm")</f>
        <v>2025-07</v>
      </c>
    </row>
    <row r="1813" spans="1:8">
      <c r="A1813">
        <v>1812</v>
      </c>
      <c r="B1813" s="1">
        <v>45657</v>
      </c>
      <c r="C1813" t="s">
        <v>968</v>
      </c>
      <c r="D1813" t="s">
        <v>148</v>
      </c>
      <c r="E1813">
        <v>2</v>
      </c>
      <c r="F1813">
        <v>20605</v>
      </c>
      <c r="G1813">
        <f>TbReceitas[[#This Row],[quantidade]]*TbReceitas[[#This Row],[preco_unitario]]</f>
        <v>41210</v>
      </c>
      <c r="H1813" t="str">
        <f>TEXT(TbReceitas[[#This Row],[data_transacao]], "aaaa-mm")</f>
        <v>2024-12</v>
      </c>
    </row>
    <row r="1814" spans="1:8">
      <c r="A1814">
        <v>1813</v>
      </c>
      <c r="B1814" s="1">
        <v>45650</v>
      </c>
      <c r="C1814" t="s">
        <v>1048</v>
      </c>
      <c r="D1814" t="s">
        <v>395</v>
      </c>
      <c r="E1814">
        <v>1</v>
      </c>
      <c r="F1814">
        <v>17573</v>
      </c>
      <c r="G1814">
        <f>TbReceitas[[#This Row],[quantidade]]*TbReceitas[[#This Row],[preco_unitario]]</f>
        <v>17573</v>
      </c>
      <c r="H1814" t="str">
        <f>TEXT(TbReceitas[[#This Row],[data_transacao]], "aaaa-mm")</f>
        <v>2024-12</v>
      </c>
    </row>
    <row r="1815" spans="1:8">
      <c r="A1815">
        <v>1814</v>
      </c>
      <c r="B1815" s="1">
        <v>46174</v>
      </c>
      <c r="C1815" t="s">
        <v>1504</v>
      </c>
      <c r="D1815" t="s">
        <v>208</v>
      </c>
      <c r="E1815">
        <v>2</v>
      </c>
      <c r="F1815">
        <v>2719</v>
      </c>
      <c r="G1815">
        <f>TbReceitas[[#This Row],[quantidade]]*TbReceitas[[#This Row],[preco_unitario]]</f>
        <v>5438</v>
      </c>
      <c r="H1815" t="str">
        <f>TEXT(TbReceitas[[#This Row],[data_transacao]], "aaaa-mm")</f>
        <v>2026-06</v>
      </c>
    </row>
    <row r="1816" spans="1:8">
      <c r="A1816">
        <v>1815</v>
      </c>
      <c r="B1816" s="1">
        <v>46127</v>
      </c>
      <c r="C1816" t="s">
        <v>1569</v>
      </c>
      <c r="D1816" t="s">
        <v>80</v>
      </c>
      <c r="E1816">
        <v>4</v>
      </c>
      <c r="F1816">
        <v>846</v>
      </c>
      <c r="G1816">
        <f>TbReceitas[[#This Row],[quantidade]]*TbReceitas[[#This Row],[preco_unitario]]</f>
        <v>3384</v>
      </c>
      <c r="H1816" t="str">
        <f>TEXT(TbReceitas[[#This Row],[data_transacao]], "aaaa-mm")</f>
        <v>2026-04</v>
      </c>
    </row>
    <row r="1817" spans="1:8">
      <c r="A1817">
        <v>1816</v>
      </c>
      <c r="B1817" s="1">
        <v>45566</v>
      </c>
      <c r="C1817" t="s">
        <v>1057</v>
      </c>
      <c r="D1817" t="s">
        <v>61</v>
      </c>
      <c r="E1817">
        <v>4</v>
      </c>
      <c r="F1817">
        <v>998</v>
      </c>
      <c r="G1817">
        <f>TbReceitas[[#This Row],[quantidade]]*TbReceitas[[#This Row],[preco_unitario]]</f>
        <v>3992</v>
      </c>
      <c r="H1817" t="str">
        <f>TEXT(TbReceitas[[#This Row],[data_transacao]], "aaaa-mm")</f>
        <v>2024-10</v>
      </c>
    </row>
    <row r="1818" spans="1:8">
      <c r="A1818">
        <v>1817</v>
      </c>
      <c r="B1818" s="1">
        <v>46227</v>
      </c>
      <c r="C1818" t="s">
        <v>1635</v>
      </c>
      <c r="D1818" t="s">
        <v>334</v>
      </c>
      <c r="E1818">
        <v>4</v>
      </c>
      <c r="F1818">
        <v>20877</v>
      </c>
      <c r="G1818">
        <f>TbReceitas[[#This Row],[quantidade]]*TbReceitas[[#This Row],[preco_unitario]]</f>
        <v>83508</v>
      </c>
      <c r="H1818" t="str">
        <f>TEXT(TbReceitas[[#This Row],[data_transacao]], "aaaa-mm")</f>
        <v>2026-07</v>
      </c>
    </row>
    <row r="1819" spans="1:8">
      <c r="A1819">
        <v>1818</v>
      </c>
      <c r="B1819" s="1">
        <v>46157</v>
      </c>
      <c r="C1819" t="s">
        <v>1636</v>
      </c>
      <c r="D1819" t="s">
        <v>278</v>
      </c>
      <c r="E1819">
        <v>1</v>
      </c>
      <c r="F1819">
        <v>17591</v>
      </c>
      <c r="G1819">
        <f>TbReceitas[[#This Row],[quantidade]]*TbReceitas[[#This Row],[preco_unitario]]</f>
        <v>17591</v>
      </c>
      <c r="H1819" t="str">
        <f>TEXT(TbReceitas[[#This Row],[data_transacao]], "aaaa-mm")</f>
        <v>2026-05</v>
      </c>
    </row>
    <row r="1820" spans="1:8">
      <c r="A1820">
        <v>1819</v>
      </c>
      <c r="B1820" s="1">
        <v>46010</v>
      </c>
      <c r="C1820" t="s">
        <v>1637</v>
      </c>
      <c r="D1820" t="s">
        <v>24</v>
      </c>
      <c r="E1820">
        <v>3</v>
      </c>
      <c r="F1820">
        <v>17864</v>
      </c>
      <c r="G1820">
        <f>TbReceitas[[#This Row],[quantidade]]*TbReceitas[[#This Row],[preco_unitario]]</f>
        <v>53592</v>
      </c>
      <c r="H1820" t="str">
        <f>TEXT(TbReceitas[[#This Row],[data_transacao]], "aaaa-mm")</f>
        <v>2025-12</v>
      </c>
    </row>
    <row r="1821" spans="1:8">
      <c r="A1821">
        <v>1820</v>
      </c>
      <c r="B1821" s="1">
        <v>46224</v>
      </c>
      <c r="C1821" t="s">
        <v>931</v>
      </c>
      <c r="D1821" t="s">
        <v>323</v>
      </c>
      <c r="E1821">
        <v>3</v>
      </c>
      <c r="F1821">
        <v>10232</v>
      </c>
      <c r="G1821">
        <f>TbReceitas[[#This Row],[quantidade]]*TbReceitas[[#This Row],[preco_unitario]]</f>
        <v>30696</v>
      </c>
      <c r="H1821" t="str">
        <f>TEXT(TbReceitas[[#This Row],[data_transacao]], "aaaa-mm")</f>
        <v>2026-07</v>
      </c>
    </row>
    <row r="1822" spans="1:8">
      <c r="A1822">
        <v>1821</v>
      </c>
      <c r="B1822" s="1">
        <v>45632</v>
      </c>
      <c r="C1822" t="s">
        <v>736</v>
      </c>
      <c r="D1822" t="s">
        <v>621</v>
      </c>
      <c r="E1822">
        <v>2</v>
      </c>
      <c r="F1822">
        <v>9823</v>
      </c>
      <c r="G1822">
        <f>TbReceitas[[#This Row],[quantidade]]*TbReceitas[[#This Row],[preco_unitario]]</f>
        <v>19646</v>
      </c>
      <c r="H1822" t="str">
        <f>TEXT(TbReceitas[[#This Row],[data_transacao]], "aaaa-mm")</f>
        <v>2024-12</v>
      </c>
    </row>
    <row r="1823" spans="1:8">
      <c r="A1823">
        <v>1822</v>
      </c>
      <c r="B1823" s="1">
        <v>45796</v>
      </c>
      <c r="C1823" t="s">
        <v>1638</v>
      </c>
      <c r="D1823" t="s">
        <v>214</v>
      </c>
      <c r="E1823">
        <v>1</v>
      </c>
      <c r="F1823">
        <v>11351</v>
      </c>
      <c r="G1823">
        <f>TbReceitas[[#This Row],[quantidade]]*TbReceitas[[#This Row],[preco_unitario]]</f>
        <v>11351</v>
      </c>
      <c r="H1823" t="str">
        <f>TEXT(TbReceitas[[#This Row],[data_transacao]], "aaaa-mm")</f>
        <v>2025-05</v>
      </c>
    </row>
    <row r="1824" spans="1:8">
      <c r="A1824">
        <v>1823</v>
      </c>
      <c r="B1824" s="1">
        <v>45979</v>
      </c>
      <c r="C1824" t="s">
        <v>1639</v>
      </c>
      <c r="D1824" t="s">
        <v>509</v>
      </c>
      <c r="E1824">
        <v>5</v>
      </c>
      <c r="F1824">
        <v>2421</v>
      </c>
      <c r="G1824">
        <f>TbReceitas[[#This Row],[quantidade]]*TbReceitas[[#This Row],[preco_unitario]]</f>
        <v>12105</v>
      </c>
      <c r="H1824" t="str">
        <f>TEXT(TbReceitas[[#This Row],[data_transacao]], "aaaa-mm")</f>
        <v>2025-11</v>
      </c>
    </row>
    <row r="1825" spans="1:8">
      <c r="A1825">
        <v>1824</v>
      </c>
      <c r="B1825" s="1">
        <v>46015</v>
      </c>
      <c r="C1825" t="s">
        <v>1500</v>
      </c>
      <c r="D1825" t="s">
        <v>427</v>
      </c>
      <c r="E1825">
        <v>3</v>
      </c>
      <c r="F1825">
        <v>9083</v>
      </c>
      <c r="G1825">
        <f>TbReceitas[[#This Row],[quantidade]]*TbReceitas[[#This Row],[preco_unitario]]</f>
        <v>27249</v>
      </c>
      <c r="H1825" t="str">
        <f>TEXT(TbReceitas[[#This Row],[data_transacao]], "aaaa-mm")</f>
        <v>2025-12</v>
      </c>
    </row>
    <row r="1826" spans="1:8">
      <c r="A1826">
        <v>1825</v>
      </c>
      <c r="B1826" s="1">
        <v>45920</v>
      </c>
      <c r="C1826" t="s">
        <v>1640</v>
      </c>
      <c r="D1826" t="s">
        <v>253</v>
      </c>
      <c r="E1826">
        <v>1</v>
      </c>
      <c r="F1826">
        <v>20646</v>
      </c>
      <c r="G1826">
        <f>TbReceitas[[#This Row],[quantidade]]*TbReceitas[[#This Row],[preco_unitario]]</f>
        <v>20646</v>
      </c>
      <c r="H1826" t="str">
        <f>TEXT(TbReceitas[[#This Row],[data_transacao]], "aaaa-mm")</f>
        <v>2025-09</v>
      </c>
    </row>
    <row r="1827" spans="1:8">
      <c r="A1827">
        <v>1826</v>
      </c>
      <c r="B1827" s="1">
        <v>46157</v>
      </c>
      <c r="C1827" t="s">
        <v>1318</v>
      </c>
      <c r="D1827" t="s">
        <v>374</v>
      </c>
      <c r="E1827">
        <v>5</v>
      </c>
      <c r="F1827">
        <v>24867</v>
      </c>
      <c r="G1827">
        <f>TbReceitas[[#This Row],[quantidade]]*TbReceitas[[#This Row],[preco_unitario]]</f>
        <v>124335</v>
      </c>
      <c r="H1827" t="str">
        <f>TEXT(TbReceitas[[#This Row],[data_transacao]], "aaaa-mm")</f>
        <v>2026-05</v>
      </c>
    </row>
    <row r="1828" spans="1:8">
      <c r="A1828">
        <v>1827</v>
      </c>
      <c r="B1828" s="1">
        <v>45647</v>
      </c>
      <c r="C1828" t="s">
        <v>1414</v>
      </c>
      <c r="D1828" t="s">
        <v>160</v>
      </c>
      <c r="E1828">
        <v>5</v>
      </c>
      <c r="F1828">
        <v>22066</v>
      </c>
      <c r="G1828">
        <f>TbReceitas[[#This Row],[quantidade]]*TbReceitas[[#This Row],[preco_unitario]]</f>
        <v>110330</v>
      </c>
      <c r="H1828" t="str">
        <f>TEXT(TbReceitas[[#This Row],[data_transacao]], "aaaa-mm")</f>
        <v>2024-12</v>
      </c>
    </row>
    <row r="1829" spans="1:8">
      <c r="A1829">
        <v>1828</v>
      </c>
      <c r="B1829" s="1">
        <v>46132</v>
      </c>
      <c r="C1829" t="s">
        <v>1255</v>
      </c>
      <c r="D1829" t="s">
        <v>665</v>
      </c>
      <c r="E1829">
        <v>3</v>
      </c>
      <c r="F1829">
        <v>2409</v>
      </c>
      <c r="G1829">
        <f>TbReceitas[[#This Row],[quantidade]]*TbReceitas[[#This Row],[preco_unitario]]</f>
        <v>7227</v>
      </c>
      <c r="H1829" t="str">
        <f>TEXT(TbReceitas[[#This Row],[data_transacao]], "aaaa-mm")</f>
        <v>2026-04</v>
      </c>
    </row>
    <row r="1830" spans="1:8">
      <c r="A1830">
        <v>1829</v>
      </c>
      <c r="B1830" s="1">
        <v>46134</v>
      </c>
      <c r="C1830" t="s">
        <v>1641</v>
      </c>
      <c r="D1830" t="s">
        <v>407</v>
      </c>
      <c r="E1830">
        <v>2</v>
      </c>
      <c r="F1830">
        <v>6567</v>
      </c>
      <c r="G1830">
        <f>TbReceitas[[#This Row],[quantidade]]*TbReceitas[[#This Row],[preco_unitario]]</f>
        <v>13134</v>
      </c>
      <c r="H1830" t="str">
        <f>TEXT(TbReceitas[[#This Row],[data_transacao]], "aaaa-mm")</f>
        <v>2026-04</v>
      </c>
    </row>
    <row r="1831" spans="1:8">
      <c r="A1831">
        <v>1830</v>
      </c>
      <c r="B1831" s="1">
        <v>45772</v>
      </c>
      <c r="C1831" t="s">
        <v>1599</v>
      </c>
      <c r="D1831" t="s">
        <v>88</v>
      </c>
      <c r="E1831">
        <v>2</v>
      </c>
      <c r="F1831">
        <v>4181</v>
      </c>
      <c r="G1831">
        <f>TbReceitas[[#This Row],[quantidade]]*TbReceitas[[#This Row],[preco_unitario]]</f>
        <v>8362</v>
      </c>
      <c r="H1831" t="str">
        <f>TEXT(TbReceitas[[#This Row],[data_transacao]], "aaaa-mm")</f>
        <v>2025-04</v>
      </c>
    </row>
    <row r="1832" spans="1:8">
      <c r="A1832">
        <v>1831</v>
      </c>
      <c r="B1832" s="1">
        <v>45585</v>
      </c>
      <c r="C1832" t="s">
        <v>1099</v>
      </c>
      <c r="D1832" t="s">
        <v>313</v>
      </c>
      <c r="E1832">
        <v>4</v>
      </c>
      <c r="F1832">
        <v>24233</v>
      </c>
      <c r="G1832">
        <f>TbReceitas[[#This Row],[quantidade]]*TbReceitas[[#This Row],[preco_unitario]]</f>
        <v>96932</v>
      </c>
      <c r="H1832" t="str">
        <f>TEXT(TbReceitas[[#This Row],[data_transacao]], "aaaa-mm")</f>
        <v>2024-10</v>
      </c>
    </row>
    <row r="1833" spans="1:8">
      <c r="A1833">
        <v>1832</v>
      </c>
      <c r="B1833" s="1">
        <v>45716</v>
      </c>
      <c r="C1833" t="s">
        <v>1642</v>
      </c>
      <c r="D1833" t="s">
        <v>148</v>
      </c>
      <c r="E1833">
        <v>3</v>
      </c>
      <c r="F1833">
        <v>20605</v>
      </c>
      <c r="G1833">
        <f>TbReceitas[[#This Row],[quantidade]]*TbReceitas[[#This Row],[preco_unitario]]</f>
        <v>61815</v>
      </c>
      <c r="H1833" t="str">
        <f>TEXT(TbReceitas[[#This Row],[data_transacao]], "aaaa-mm")</f>
        <v>2025-02</v>
      </c>
    </row>
    <row r="1834" spans="1:8">
      <c r="A1834">
        <v>1833</v>
      </c>
      <c r="B1834" s="1">
        <v>45800</v>
      </c>
      <c r="C1834" t="s">
        <v>1277</v>
      </c>
      <c r="D1834" t="s">
        <v>104</v>
      </c>
      <c r="E1834">
        <v>4</v>
      </c>
      <c r="F1834">
        <v>11181</v>
      </c>
      <c r="G1834">
        <f>TbReceitas[[#This Row],[quantidade]]*TbReceitas[[#This Row],[preco_unitario]]</f>
        <v>44724</v>
      </c>
      <c r="H1834" t="str">
        <f>TEXT(TbReceitas[[#This Row],[data_transacao]], "aaaa-mm")</f>
        <v>2025-05</v>
      </c>
    </row>
    <row r="1835" spans="1:8">
      <c r="A1835">
        <v>1834</v>
      </c>
      <c r="B1835" s="1">
        <v>46269</v>
      </c>
      <c r="C1835" t="s">
        <v>998</v>
      </c>
      <c r="D1835" t="s">
        <v>548</v>
      </c>
      <c r="E1835">
        <v>2</v>
      </c>
      <c r="F1835">
        <v>12414</v>
      </c>
      <c r="G1835">
        <f>TbReceitas[[#This Row],[quantidade]]*TbReceitas[[#This Row],[preco_unitario]]</f>
        <v>24828</v>
      </c>
      <c r="H1835" t="str">
        <f>TEXT(TbReceitas[[#This Row],[data_transacao]], "aaaa-mm")</f>
        <v>2026-09</v>
      </c>
    </row>
    <row r="1836" spans="1:8">
      <c r="A1836">
        <v>1835</v>
      </c>
      <c r="B1836" s="1">
        <v>45970</v>
      </c>
      <c r="C1836" t="s">
        <v>1643</v>
      </c>
      <c r="D1836" t="s">
        <v>570</v>
      </c>
      <c r="E1836">
        <v>5</v>
      </c>
      <c r="F1836">
        <v>21533</v>
      </c>
      <c r="G1836">
        <f>TbReceitas[[#This Row],[quantidade]]*TbReceitas[[#This Row],[preco_unitario]]</f>
        <v>107665</v>
      </c>
      <c r="H1836" t="str">
        <f>TEXT(TbReceitas[[#This Row],[data_transacao]], "aaaa-mm")</f>
        <v>2025-11</v>
      </c>
    </row>
    <row r="1837" spans="1:8">
      <c r="A1837">
        <v>1836</v>
      </c>
      <c r="B1837" s="1">
        <v>45670</v>
      </c>
      <c r="C1837" t="s">
        <v>1584</v>
      </c>
      <c r="D1837" t="s">
        <v>56</v>
      </c>
      <c r="E1837">
        <v>5</v>
      </c>
      <c r="F1837">
        <v>6886</v>
      </c>
      <c r="G1837">
        <f>TbReceitas[[#This Row],[quantidade]]*TbReceitas[[#This Row],[preco_unitario]]</f>
        <v>34430</v>
      </c>
      <c r="H1837" t="str">
        <f>TEXT(TbReceitas[[#This Row],[data_transacao]], "aaaa-mm")</f>
        <v>2025-01</v>
      </c>
    </row>
    <row r="1838" spans="1:8">
      <c r="A1838">
        <v>1837</v>
      </c>
      <c r="B1838" s="1">
        <v>46246</v>
      </c>
      <c r="C1838" t="s">
        <v>1521</v>
      </c>
      <c r="D1838" t="s">
        <v>148</v>
      </c>
      <c r="E1838">
        <v>1</v>
      </c>
      <c r="F1838">
        <v>20605</v>
      </c>
      <c r="G1838">
        <f>TbReceitas[[#This Row],[quantidade]]*TbReceitas[[#This Row],[preco_unitario]]</f>
        <v>20605</v>
      </c>
      <c r="H1838" t="str">
        <f>TEXT(TbReceitas[[#This Row],[data_transacao]], "aaaa-mm")</f>
        <v>2026-08</v>
      </c>
    </row>
    <row r="1839" spans="1:8">
      <c r="A1839">
        <v>1838</v>
      </c>
      <c r="B1839" s="1">
        <v>45699</v>
      </c>
      <c r="C1839" t="s">
        <v>1644</v>
      </c>
      <c r="D1839" t="s">
        <v>567</v>
      </c>
      <c r="E1839">
        <v>4</v>
      </c>
      <c r="F1839">
        <v>15916</v>
      </c>
      <c r="G1839">
        <f>TbReceitas[[#This Row],[quantidade]]*TbReceitas[[#This Row],[preco_unitario]]</f>
        <v>63664</v>
      </c>
      <c r="H1839" t="str">
        <f>TEXT(TbReceitas[[#This Row],[data_transacao]], "aaaa-mm")</f>
        <v>2025-02</v>
      </c>
    </row>
    <row r="1840" spans="1:8">
      <c r="A1840">
        <v>1839</v>
      </c>
      <c r="B1840" s="1">
        <v>46063</v>
      </c>
      <c r="C1840" t="s">
        <v>1256</v>
      </c>
      <c r="D1840" t="s">
        <v>454</v>
      </c>
      <c r="E1840">
        <v>4</v>
      </c>
      <c r="F1840">
        <v>4692</v>
      </c>
      <c r="G1840">
        <f>TbReceitas[[#This Row],[quantidade]]*TbReceitas[[#This Row],[preco_unitario]]</f>
        <v>18768</v>
      </c>
      <c r="H1840" t="str">
        <f>TEXT(TbReceitas[[#This Row],[data_transacao]], "aaaa-mm")</f>
        <v>2026-02</v>
      </c>
    </row>
    <row r="1841" spans="1:8">
      <c r="A1841">
        <v>1840</v>
      </c>
      <c r="B1841" s="1">
        <v>46255</v>
      </c>
      <c r="C1841" t="s">
        <v>1645</v>
      </c>
      <c r="D1841" t="s">
        <v>496</v>
      </c>
      <c r="E1841">
        <v>5</v>
      </c>
      <c r="F1841">
        <v>2496</v>
      </c>
      <c r="G1841">
        <f>TbReceitas[[#This Row],[quantidade]]*TbReceitas[[#This Row],[preco_unitario]]</f>
        <v>12480</v>
      </c>
      <c r="H1841" t="str">
        <f>TEXT(TbReceitas[[#This Row],[data_transacao]], "aaaa-mm")</f>
        <v>2026-08</v>
      </c>
    </row>
    <row r="1842" spans="1:8">
      <c r="A1842">
        <v>1841</v>
      </c>
      <c r="B1842" s="1">
        <v>46233</v>
      </c>
      <c r="C1842" t="s">
        <v>1646</v>
      </c>
      <c r="D1842" t="s">
        <v>365</v>
      </c>
      <c r="E1842">
        <v>2</v>
      </c>
      <c r="F1842">
        <v>20402</v>
      </c>
      <c r="G1842">
        <f>TbReceitas[[#This Row],[quantidade]]*TbReceitas[[#This Row],[preco_unitario]]</f>
        <v>40804</v>
      </c>
      <c r="H1842" t="str">
        <f>TEXT(TbReceitas[[#This Row],[data_transacao]], "aaaa-mm")</f>
        <v>2026-07</v>
      </c>
    </row>
    <row r="1843" spans="1:8">
      <c r="A1843">
        <v>1842</v>
      </c>
      <c r="B1843" s="1">
        <v>45719</v>
      </c>
      <c r="C1843" t="s">
        <v>1009</v>
      </c>
      <c r="D1843" t="s">
        <v>39</v>
      </c>
      <c r="E1843">
        <v>5</v>
      </c>
      <c r="F1843">
        <v>12748</v>
      </c>
      <c r="G1843">
        <f>TbReceitas[[#This Row],[quantidade]]*TbReceitas[[#This Row],[preco_unitario]]</f>
        <v>63740</v>
      </c>
      <c r="H1843" t="str">
        <f>TEXT(TbReceitas[[#This Row],[data_transacao]], "aaaa-mm")</f>
        <v>2025-03</v>
      </c>
    </row>
    <row r="1844" spans="1:8">
      <c r="A1844">
        <v>1843</v>
      </c>
      <c r="B1844" s="1">
        <v>46004</v>
      </c>
      <c r="C1844" t="s">
        <v>1099</v>
      </c>
      <c r="D1844" t="s">
        <v>834</v>
      </c>
      <c r="E1844">
        <v>1</v>
      </c>
      <c r="F1844">
        <v>19601</v>
      </c>
      <c r="G1844">
        <f>TbReceitas[[#This Row],[quantidade]]*TbReceitas[[#This Row],[preco_unitario]]</f>
        <v>19601</v>
      </c>
      <c r="H1844" t="str">
        <f>TEXT(TbReceitas[[#This Row],[data_transacao]], "aaaa-mm")</f>
        <v>2025-12</v>
      </c>
    </row>
    <row r="1845" spans="1:8">
      <c r="A1845">
        <v>1844</v>
      </c>
      <c r="B1845" s="1">
        <v>45924</v>
      </c>
      <c r="C1845" t="s">
        <v>1647</v>
      </c>
      <c r="D1845" t="s">
        <v>197</v>
      </c>
      <c r="E1845">
        <v>3</v>
      </c>
      <c r="F1845">
        <v>1917</v>
      </c>
      <c r="G1845">
        <f>TbReceitas[[#This Row],[quantidade]]*TbReceitas[[#This Row],[preco_unitario]]</f>
        <v>5751</v>
      </c>
      <c r="H1845" t="str">
        <f>TEXT(TbReceitas[[#This Row],[data_transacao]], "aaaa-mm")</f>
        <v>2025-09</v>
      </c>
    </row>
    <row r="1846" spans="1:8">
      <c r="A1846">
        <v>1845</v>
      </c>
      <c r="B1846" s="1">
        <v>45966</v>
      </c>
      <c r="C1846" t="s">
        <v>1648</v>
      </c>
      <c r="D1846" t="s">
        <v>123</v>
      </c>
      <c r="E1846">
        <v>5</v>
      </c>
      <c r="F1846">
        <v>8019</v>
      </c>
      <c r="G1846">
        <f>TbReceitas[[#This Row],[quantidade]]*TbReceitas[[#This Row],[preco_unitario]]</f>
        <v>40095</v>
      </c>
      <c r="H1846" t="str">
        <f>TEXT(TbReceitas[[#This Row],[data_transacao]], "aaaa-mm")</f>
        <v>2025-11</v>
      </c>
    </row>
    <row r="1847" spans="1:8">
      <c r="A1847">
        <v>1846</v>
      </c>
      <c r="B1847" s="1">
        <v>45885</v>
      </c>
      <c r="C1847" t="s">
        <v>1156</v>
      </c>
      <c r="D1847" t="s">
        <v>407</v>
      </c>
      <c r="E1847">
        <v>1</v>
      </c>
      <c r="F1847">
        <v>6567</v>
      </c>
      <c r="G1847">
        <f>TbReceitas[[#This Row],[quantidade]]*TbReceitas[[#This Row],[preco_unitario]]</f>
        <v>6567</v>
      </c>
      <c r="H1847" t="str">
        <f>TEXT(TbReceitas[[#This Row],[data_transacao]], "aaaa-mm")</f>
        <v>2025-08</v>
      </c>
    </row>
    <row r="1848" spans="1:8">
      <c r="A1848">
        <v>1847</v>
      </c>
      <c r="B1848" s="1">
        <v>46022</v>
      </c>
      <c r="C1848" t="s">
        <v>1649</v>
      </c>
      <c r="D1848" t="s">
        <v>379</v>
      </c>
      <c r="E1848">
        <v>3</v>
      </c>
      <c r="F1848">
        <v>1792</v>
      </c>
      <c r="G1848">
        <f>TbReceitas[[#This Row],[quantidade]]*TbReceitas[[#This Row],[preco_unitario]]</f>
        <v>5376</v>
      </c>
      <c r="H1848" t="str">
        <f>TEXT(TbReceitas[[#This Row],[data_transacao]], "aaaa-mm")</f>
        <v>2025-12</v>
      </c>
    </row>
    <row r="1849" spans="1:8">
      <c r="A1849">
        <v>1848</v>
      </c>
      <c r="B1849" s="1">
        <v>46046</v>
      </c>
      <c r="C1849" t="s">
        <v>1599</v>
      </c>
      <c r="D1849" t="s">
        <v>32</v>
      </c>
      <c r="E1849">
        <v>5</v>
      </c>
      <c r="F1849">
        <v>3098</v>
      </c>
      <c r="G1849">
        <f>TbReceitas[[#This Row],[quantidade]]*TbReceitas[[#This Row],[preco_unitario]]</f>
        <v>15490</v>
      </c>
      <c r="H1849" t="str">
        <f>TEXT(TbReceitas[[#This Row],[data_transacao]], "aaaa-mm")</f>
        <v>2026-01</v>
      </c>
    </row>
    <row r="1850" spans="1:8">
      <c r="A1850">
        <v>1849</v>
      </c>
      <c r="B1850" s="1">
        <v>45999</v>
      </c>
      <c r="C1850" t="s">
        <v>729</v>
      </c>
      <c r="D1850" t="s">
        <v>382</v>
      </c>
      <c r="E1850">
        <v>5</v>
      </c>
      <c r="F1850">
        <v>4188</v>
      </c>
      <c r="G1850">
        <f>TbReceitas[[#This Row],[quantidade]]*TbReceitas[[#This Row],[preco_unitario]]</f>
        <v>20940</v>
      </c>
      <c r="H1850" t="str">
        <f>TEXT(TbReceitas[[#This Row],[data_transacao]], "aaaa-mm")</f>
        <v>2025-12</v>
      </c>
    </row>
    <row r="1851" spans="1:8">
      <c r="A1851">
        <v>1850</v>
      </c>
      <c r="B1851" s="1">
        <v>45914</v>
      </c>
      <c r="C1851" t="s">
        <v>1337</v>
      </c>
      <c r="D1851" t="s">
        <v>258</v>
      </c>
      <c r="E1851">
        <v>1</v>
      </c>
      <c r="F1851">
        <v>19424</v>
      </c>
      <c r="G1851">
        <f>TbReceitas[[#This Row],[quantidade]]*TbReceitas[[#This Row],[preco_unitario]]</f>
        <v>19424</v>
      </c>
      <c r="H1851" t="str">
        <f>TEXT(TbReceitas[[#This Row],[data_transacao]], "aaaa-mm")</f>
        <v>2025-09</v>
      </c>
    </row>
    <row r="1852" spans="1:8">
      <c r="A1852">
        <v>1851</v>
      </c>
      <c r="B1852" s="1">
        <v>45733</v>
      </c>
      <c r="C1852" t="s">
        <v>1184</v>
      </c>
      <c r="D1852" t="s">
        <v>271</v>
      </c>
      <c r="E1852">
        <v>5</v>
      </c>
      <c r="F1852">
        <v>10155</v>
      </c>
      <c r="G1852">
        <f>TbReceitas[[#This Row],[quantidade]]*TbReceitas[[#This Row],[preco_unitario]]</f>
        <v>50775</v>
      </c>
      <c r="H1852" t="str">
        <f>TEXT(TbReceitas[[#This Row],[data_transacao]], "aaaa-mm")</f>
        <v>2025-03</v>
      </c>
    </row>
    <row r="1853" spans="1:8">
      <c r="A1853">
        <v>1852</v>
      </c>
      <c r="B1853" s="1">
        <v>45918</v>
      </c>
      <c r="C1853" t="s">
        <v>1045</v>
      </c>
      <c r="D1853" t="s">
        <v>127</v>
      </c>
      <c r="E1853">
        <v>2</v>
      </c>
      <c r="F1853">
        <v>648</v>
      </c>
      <c r="G1853">
        <f>TbReceitas[[#This Row],[quantidade]]*TbReceitas[[#This Row],[preco_unitario]]</f>
        <v>1296</v>
      </c>
      <c r="H1853" t="str">
        <f>TEXT(TbReceitas[[#This Row],[data_transacao]], "aaaa-mm")</f>
        <v>2025-09</v>
      </c>
    </row>
    <row r="1854" spans="1:8">
      <c r="A1854">
        <v>1853</v>
      </c>
      <c r="B1854" s="1">
        <v>45595</v>
      </c>
      <c r="C1854" t="s">
        <v>1650</v>
      </c>
      <c r="D1854" t="s">
        <v>459</v>
      </c>
      <c r="E1854">
        <v>4</v>
      </c>
      <c r="F1854">
        <v>23355</v>
      </c>
      <c r="G1854">
        <f>TbReceitas[[#This Row],[quantidade]]*TbReceitas[[#This Row],[preco_unitario]]</f>
        <v>93420</v>
      </c>
      <c r="H1854" t="str">
        <f>TEXT(TbReceitas[[#This Row],[data_transacao]], "aaaa-mm")</f>
        <v>2024-10</v>
      </c>
    </row>
    <row r="1855" spans="1:8">
      <c r="A1855">
        <v>1854</v>
      </c>
      <c r="B1855" s="1">
        <v>45691</v>
      </c>
      <c r="C1855" t="s">
        <v>1651</v>
      </c>
      <c r="D1855" t="s">
        <v>94</v>
      </c>
      <c r="E1855">
        <v>2</v>
      </c>
      <c r="F1855">
        <v>11961</v>
      </c>
      <c r="G1855">
        <f>TbReceitas[[#This Row],[quantidade]]*TbReceitas[[#This Row],[preco_unitario]]</f>
        <v>23922</v>
      </c>
      <c r="H1855" t="str">
        <f>TEXT(TbReceitas[[#This Row],[data_transacao]], "aaaa-mm")</f>
        <v>2025-02</v>
      </c>
    </row>
    <row r="1856" spans="1:8">
      <c r="A1856">
        <v>1855</v>
      </c>
      <c r="B1856" s="1">
        <v>45854</v>
      </c>
      <c r="C1856" t="s">
        <v>932</v>
      </c>
      <c r="D1856" t="s">
        <v>382</v>
      </c>
      <c r="E1856">
        <v>4</v>
      </c>
      <c r="F1856">
        <v>4188</v>
      </c>
      <c r="G1856">
        <f>TbReceitas[[#This Row],[quantidade]]*TbReceitas[[#This Row],[preco_unitario]]</f>
        <v>16752</v>
      </c>
      <c r="H1856" t="str">
        <f>TEXT(TbReceitas[[#This Row],[data_transacao]], "aaaa-mm")</f>
        <v>2025-07</v>
      </c>
    </row>
    <row r="1857" spans="1:8">
      <c r="A1857">
        <v>1856</v>
      </c>
      <c r="B1857" s="1">
        <v>46191</v>
      </c>
      <c r="C1857" t="s">
        <v>718</v>
      </c>
      <c r="D1857" t="s">
        <v>274</v>
      </c>
      <c r="E1857">
        <v>3</v>
      </c>
      <c r="F1857">
        <v>1178</v>
      </c>
      <c r="G1857">
        <f>TbReceitas[[#This Row],[quantidade]]*TbReceitas[[#This Row],[preco_unitario]]</f>
        <v>3534</v>
      </c>
      <c r="H1857" t="str">
        <f>TEXT(TbReceitas[[#This Row],[data_transacao]], "aaaa-mm")</f>
        <v>2026-06</v>
      </c>
    </row>
    <row r="1858" spans="1:8">
      <c r="A1858">
        <v>1857</v>
      </c>
      <c r="B1858" s="1">
        <v>46237</v>
      </c>
      <c r="C1858" t="s">
        <v>1619</v>
      </c>
      <c r="D1858" t="s">
        <v>71</v>
      </c>
      <c r="E1858">
        <v>5</v>
      </c>
      <c r="F1858">
        <v>3011</v>
      </c>
      <c r="G1858">
        <f>TbReceitas[[#This Row],[quantidade]]*TbReceitas[[#This Row],[preco_unitario]]</f>
        <v>15055</v>
      </c>
      <c r="H1858" t="str">
        <f>TEXT(TbReceitas[[#This Row],[data_transacao]], "aaaa-mm")</f>
        <v>2026-08</v>
      </c>
    </row>
    <row r="1859" spans="1:8">
      <c r="A1859">
        <v>1858</v>
      </c>
      <c r="B1859" s="1">
        <v>46271</v>
      </c>
      <c r="C1859" t="s">
        <v>1533</v>
      </c>
      <c r="D1859" t="s">
        <v>147</v>
      </c>
      <c r="E1859">
        <v>1</v>
      </c>
      <c r="F1859">
        <v>3654</v>
      </c>
      <c r="G1859">
        <f>TbReceitas[[#This Row],[quantidade]]*TbReceitas[[#This Row],[preco_unitario]]</f>
        <v>3654</v>
      </c>
      <c r="H1859" t="str">
        <f>TEXT(TbReceitas[[#This Row],[data_transacao]], "aaaa-mm")</f>
        <v>2026-09</v>
      </c>
    </row>
    <row r="1860" spans="1:8">
      <c r="A1860">
        <v>1859</v>
      </c>
      <c r="B1860" s="1">
        <v>45849</v>
      </c>
      <c r="C1860" t="s">
        <v>737</v>
      </c>
      <c r="D1860" t="s">
        <v>307</v>
      </c>
      <c r="E1860">
        <v>1</v>
      </c>
      <c r="F1860">
        <v>1722</v>
      </c>
      <c r="G1860">
        <f>TbReceitas[[#This Row],[quantidade]]*TbReceitas[[#This Row],[preco_unitario]]</f>
        <v>1722</v>
      </c>
      <c r="H1860" t="str">
        <f>TEXT(TbReceitas[[#This Row],[data_transacao]], "aaaa-mm")</f>
        <v>2025-07</v>
      </c>
    </row>
    <row r="1861" spans="1:8">
      <c r="A1861">
        <v>1860</v>
      </c>
      <c r="B1861" s="1">
        <v>46070</v>
      </c>
      <c r="C1861" t="s">
        <v>1420</v>
      </c>
      <c r="D1861" t="s">
        <v>558</v>
      </c>
      <c r="E1861">
        <v>5</v>
      </c>
      <c r="F1861">
        <v>616</v>
      </c>
      <c r="G1861">
        <f>TbReceitas[[#This Row],[quantidade]]*TbReceitas[[#This Row],[preco_unitario]]</f>
        <v>3080</v>
      </c>
      <c r="H1861" t="str">
        <f>TEXT(TbReceitas[[#This Row],[data_transacao]], "aaaa-mm")</f>
        <v>2026-02</v>
      </c>
    </row>
    <row r="1862" spans="1:8">
      <c r="A1862">
        <v>1861</v>
      </c>
      <c r="B1862" s="1">
        <v>45755</v>
      </c>
      <c r="C1862" t="s">
        <v>1061</v>
      </c>
      <c r="D1862" t="s">
        <v>176</v>
      </c>
      <c r="E1862">
        <v>3</v>
      </c>
      <c r="F1862">
        <v>776</v>
      </c>
      <c r="G1862">
        <f>TbReceitas[[#This Row],[quantidade]]*TbReceitas[[#This Row],[preco_unitario]]</f>
        <v>2328</v>
      </c>
      <c r="H1862" t="str">
        <f>TEXT(TbReceitas[[#This Row],[data_transacao]], "aaaa-mm")</f>
        <v>2025-04</v>
      </c>
    </row>
    <row r="1863" spans="1:8">
      <c r="A1863">
        <v>1862</v>
      </c>
      <c r="B1863" s="1">
        <v>45551</v>
      </c>
      <c r="C1863" t="s">
        <v>1359</v>
      </c>
      <c r="D1863" t="s">
        <v>435</v>
      </c>
      <c r="E1863">
        <v>1</v>
      </c>
      <c r="F1863">
        <v>7686</v>
      </c>
      <c r="G1863">
        <f>TbReceitas[[#This Row],[quantidade]]*TbReceitas[[#This Row],[preco_unitario]]</f>
        <v>7686</v>
      </c>
      <c r="H1863" t="str">
        <f>TEXT(TbReceitas[[#This Row],[data_transacao]], "aaaa-mm")</f>
        <v>2024-09</v>
      </c>
    </row>
    <row r="1864" spans="1:8">
      <c r="A1864">
        <v>1863</v>
      </c>
      <c r="B1864" s="1">
        <v>45812</v>
      </c>
      <c r="C1864" t="s">
        <v>1270</v>
      </c>
      <c r="D1864" t="s">
        <v>59</v>
      </c>
      <c r="E1864">
        <v>2</v>
      </c>
      <c r="F1864">
        <v>13531</v>
      </c>
      <c r="G1864">
        <f>TbReceitas[[#This Row],[quantidade]]*TbReceitas[[#This Row],[preco_unitario]]</f>
        <v>27062</v>
      </c>
      <c r="H1864" t="str">
        <f>TEXT(TbReceitas[[#This Row],[data_transacao]], "aaaa-mm")</f>
        <v>2025-06</v>
      </c>
    </row>
    <row r="1865" spans="1:8">
      <c r="A1865">
        <v>1864</v>
      </c>
      <c r="B1865" s="1">
        <v>45980</v>
      </c>
      <c r="C1865" t="s">
        <v>1652</v>
      </c>
      <c r="D1865" t="s">
        <v>256</v>
      </c>
      <c r="E1865">
        <v>3</v>
      </c>
      <c r="F1865">
        <v>9187</v>
      </c>
      <c r="G1865">
        <f>TbReceitas[[#This Row],[quantidade]]*TbReceitas[[#This Row],[preco_unitario]]</f>
        <v>27561</v>
      </c>
      <c r="H1865" t="str">
        <f>TEXT(TbReceitas[[#This Row],[data_transacao]], "aaaa-mm")</f>
        <v>2025-11</v>
      </c>
    </row>
    <row r="1866" spans="1:8">
      <c r="A1866">
        <v>1865</v>
      </c>
      <c r="B1866" s="1">
        <v>45730</v>
      </c>
      <c r="C1866" t="s">
        <v>1653</v>
      </c>
      <c r="D1866" t="s">
        <v>680</v>
      </c>
      <c r="E1866">
        <v>5</v>
      </c>
      <c r="F1866">
        <v>7316</v>
      </c>
      <c r="G1866">
        <f>TbReceitas[[#This Row],[quantidade]]*TbReceitas[[#This Row],[preco_unitario]]</f>
        <v>36580</v>
      </c>
      <c r="H1866" t="str">
        <f>TEXT(TbReceitas[[#This Row],[data_transacao]], "aaaa-mm")</f>
        <v>2025-03</v>
      </c>
    </row>
    <row r="1867" spans="1:8">
      <c r="A1867">
        <v>1866</v>
      </c>
      <c r="B1867" s="1">
        <v>45601</v>
      </c>
      <c r="C1867" t="s">
        <v>1418</v>
      </c>
      <c r="D1867" t="s">
        <v>439</v>
      </c>
      <c r="E1867">
        <v>2</v>
      </c>
      <c r="F1867">
        <v>1782</v>
      </c>
      <c r="G1867">
        <f>TbReceitas[[#This Row],[quantidade]]*TbReceitas[[#This Row],[preco_unitario]]</f>
        <v>3564</v>
      </c>
      <c r="H1867" t="str">
        <f>TEXT(TbReceitas[[#This Row],[data_transacao]], "aaaa-mm")</f>
        <v>2024-11</v>
      </c>
    </row>
    <row r="1868" spans="1:8">
      <c r="A1868">
        <v>1867</v>
      </c>
      <c r="B1868" s="1">
        <v>45688</v>
      </c>
      <c r="C1868" t="s">
        <v>1293</v>
      </c>
      <c r="D1868" t="s">
        <v>624</v>
      </c>
      <c r="E1868">
        <v>3</v>
      </c>
      <c r="F1868">
        <v>4705</v>
      </c>
      <c r="G1868">
        <f>TbReceitas[[#This Row],[quantidade]]*TbReceitas[[#This Row],[preco_unitario]]</f>
        <v>14115</v>
      </c>
      <c r="H1868" t="str">
        <f>TEXT(TbReceitas[[#This Row],[data_transacao]], "aaaa-mm")</f>
        <v>2025-01</v>
      </c>
    </row>
    <row r="1869" spans="1:8">
      <c r="A1869">
        <v>1868</v>
      </c>
      <c r="B1869" s="1">
        <v>45828</v>
      </c>
      <c r="C1869" t="s">
        <v>1019</v>
      </c>
      <c r="D1869" t="s">
        <v>1313</v>
      </c>
      <c r="E1869">
        <v>1</v>
      </c>
      <c r="F1869">
        <v>4935</v>
      </c>
      <c r="G1869">
        <f>TbReceitas[[#This Row],[quantidade]]*TbReceitas[[#This Row],[preco_unitario]]</f>
        <v>4935</v>
      </c>
      <c r="H1869" t="str">
        <f>TEXT(TbReceitas[[#This Row],[data_transacao]], "aaaa-mm")</f>
        <v>2025-06</v>
      </c>
    </row>
    <row r="1870" spans="1:8">
      <c r="A1870">
        <v>1869</v>
      </c>
      <c r="B1870" s="1">
        <v>45975</v>
      </c>
      <c r="C1870" t="s">
        <v>1482</v>
      </c>
      <c r="D1870" t="s">
        <v>439</v>
      </c>
      <c r="E1870">
        <v>3</v>
      </c>
      <c r="F1870">
        <v>1782</v>
      </c>
      <c r="G1870">
        <f>TbReceitas[[#This Row],[quantidade]]*TbReceitas[[#This Row],[preco_unitario]]</f>
        <v>5346</v>
      </c>
      <c r="H1870" t="str">
        <f>TEXT(TbReceitas[[#This Row],[data_transacao]], "aaaa-mm")</f>
        <v>2025-11</v>
      </c>
    </row>
    <row r="1871" spans="1:8">
      <c r="A1871">
        <v>1870</v>
      </c>
      <c r="B1871" s="1">
        <v>45817</v>
      </c>
      <c r="C1871" t="s">
        <v>1281</v>
      </c>
      <c r="D1871" t="s">
        <v>574</v>
      </c>
      <c r="E1871">
        <v>1</v>
      </c>
      <c r="F1871">
        <v>19723</v>
      </c>
      <c r="G1871">
        <f>TbReceitas[[#This Row],[quantidade]]*TbReceitas[[#This Row],[preco_unitario]]</f>
        <v>19723</v>
      </c>
      <c r="H1871" t="str">
        <f>TEXT(TbReceitas[[#This Row],[data_transacao]], "aaaa-mm")</f>
        <v>2025-06</v>
      </c>
    </row>
    <row r="1872" spans="1:8">
      <c r="A1872">
        <v>1871</v>
      </c>
      <c r="B1872" s="1">
        <v>45554</v>
      </c>
      <c r="C1872" t="s">
        <v>1232</v>
      </c>
      <c r="D1872" t="s">
        <v>375</v>
      </c>
      <c r="E1872">
        <v>4</v>
      </c>
      <c r="F1872">
        <v>3952</v>
      </c>
      <c r="G1872">
        <f>TbReceitas[[#This Row],[quantidade]]*TbReceitas[[#This Row],[preco_unitario]]</f>
        <v>15808</v>
      </c>
      <c r="H1872" t="str">
        <f>TEXT(TbReceitas[[#This Row],[data_transacao]], "aaaa-mm")</f>
        <v>2024-09</v>
      </c>
    </row>
    <row r="1873" spans="1:8">
      <c r="A1873">
        <v>1872</v>
      </c>
      <c r="B1873" s="1">
        <v>46251</v>
      </c>
      <c r="C1873" t="s">
        <v>1499</v>
      </c>
      <c r="D1873" t="s">
        <v>444</v>
      </c>
      <c r="E1873">
        <v>2</v>
      </c>
      <c r="F1873">
        <v>6184</v>
      </c>
      <c r="G1873">
        <f>TbReceitas[[#This Row],[quantidade]]*TbReceitas[[#This Row],[preco_unitario]]</f>
        <v>12368</v>
      </c>
      <c r="H1873" t="str">
        <f>TEXT(TbReceitas[[#This Row],[data_transacao]], "aaaa-mm")</f>
        <v>2026-08</v>
      </c>
    </row>
    <row r="1874" spans="1:8">
      <c r="A1874">
        <v>1873</v>
      </c>
      <c r="B1874" s="1">
        <v>46062</v>
      </c>
      <c r="C1874" t="s">
        <v>762</v>
      </c>
      <c r="D1874" t="s">
        <v>20</v>
      </c>
      <c r="E1874">
        <v>4</v>
      </c>
      <c r="F1874">
        <v>5319</v>
      </c>
      <c r="G1874">
        <f>TbReceitas[[#This Row],[quantidade]]*TbReceitas[[#This Row],[preco_unitario]]</f>
        <v>21276</v>
      </c>
      <c r="H1874" t="str">
        <f>TEXT(TbReceitas[[#This Row],[data_transacao]], "aaaa-mm")</f>
        <v>2026-02</v>
      </c>
    </row>
    <row r="1875" spans="1:8">
      <c r="A1875">
        <v>1874</v>
      </c>
      <c r="B1875" s="1">
        <v>45823</v>
      </c>
      <c r="C1875" t="s">
        <v>827</v>
      </c>
      <c r="D1875" t="s">
        <v>625</v>
      </c>
      <c r="E1875">
        <v>2</v>
      </c>
      <c r="F1875">
        <v>2485</v>
      </c>
      <c r="G1875">
        <f>TbReceitas[[#This Row],[quantidade]]*TbReceitas[[#This Row],[preco_unitario]]</f>
        <v>4970</v>
      </c>
      <c r="H1875" t="str">
        <f>TEXT(TbReceitas[[#This Row],[data_transacao]], "aaaa-mm")</f>
        <v>2025-06</v>
      </c>
    </row>
    <row r="1876" spans="1:8">
      <c r="A1876">
        <v>1875</v>
      </c>
      <c r="B1876" s="1">
        <v>46119</v>
      </c>
      <c r="C1876" t="s">
        <v>775</v>
      </c>
      <c r="D1876" t="s">
        <v>416</v>
      </c>
      <c r="E1876">
        <v>1</v>
      </c>
      <c r="F1876">
        <v>2143</v>
      </c>
      <c r="G1876">
        <f>TbReceitas[[#This Row],[quantidade]]*TbReceitas[[#This Row],[preco_unitario]]</f>
        <v>2143</v>
      </c>
      <c r="H1876" t="str">
        <f>TEXT(TbReceitas[[#This Row],[data_transacao]], "aaaa-mm")</f>
        <v>2026-04</v>
      </c>
    </row>
    <row r="1877" spans="1:8">
      <c r="A1877">
        <v>1876</v>
      </c>
      <c r="B1877" s="1">
        <v>46108</v>
      </c>
      <c r="C1877" t="s">
        <v>1654</v>
      </c>
      <c r="D1877" t="s">
        <v>585</v>
      </c>
      <c r="E1877">
        <v>5</v>
      </c>
      <c r="F1877">
        <v>19456</v>
      </c>
      <c r="G1877">
        <f>TbReceitas[[#This Row],[quantidade]]*TbReceitas[[#This Row],[preco_unitario]]</f>
        <v>97280</v>
      </c>
      <c r="H1877" t="str">
        <f>TEXT(TbReceitas[[#This Row],[data_transacao]], "aaaa-mm")</f>
        <v>2026-03</v>
      </c>
    </row>
    <row r="1878" spans="1:8">
      <c r="A1878">
        <v>1877</v>
      </c>
      <c r="B1878" s="1">
        <v>45919</v>
      </c>
      <c r="C1878" t="s">
        <v>996</v>
      </c>
      <c r="D1878" t="s">
        <v>418</v>
      </c>
      <c r="E1878">
        <v>3</v>
      </c>
      <c r="F1878">
        <v>21076</v>
      </c>
      <c r="G1878">
        <f>TbReceitas[[#This Row],[quantidade]]*TbReceitas[[#This Row],[preco_unitario]]</f>
        <v>63228</v>
      </c>
      <c r="H1878" t="str">
        <f>TEXT(TbReceitas[[#This Row],[data_transacao]], "aaaa-mm")</f>
        <v>2025-09</v>
      </c>
    </row>
    <row r="1879" spans="1:8">
      <c r="A1879">
        <v>1878</v>
      </c>
      <c r="B1879" s="1">
        <v>45930</v>
      </c>
      <c r="C1879" t="s">
        <v>1024</v>
      </c>
      <c r="D1879" t="s">
        <v>1611</v>
      </c>
      <c r="E1879">
        <v>5</v>
      </c>
      <c r="F1879">
        <v>8745</v>
      </c>
      <c r="G1879">
        <f>TbReceitas[[#This Row],[quantidade]]*TbReceitas[[#This Row],[preco_unitario]]</f>
        <v>43725</v>
      </c>
      <c r="H1879" t="str">
        <f>TEXT(TbReceitas[[#This Row],[data_transacao]], "aaaa-mm")</f>
        <v>2025-09</v>
      </c>
    </row>
    <row r="1880" spans="1:8">
      <c r="A1880">
        <v>1879</v>
      </c>
      <c r="B1880" s="1">
        <v>46010</v>
      </c>
      <c r="C1880" t="s">
        <v>1449</v>
      </c>
      <c r="D1880" t="s">
        <v>697</v>
      </c>
      <c r="E1880">
        <v>4</v>
      </c>
      <c r="F1880">
        <v>24199</v>
      </c>
      <c r="G1880">
        <f>TbReceitas[[#This Row],[quantidade]]*TbReceitas[[#This Row],[preco_unitario]]</f>
        <v>96796</v>
      </c>
      <c r="H1880" t="str">
        <f>TEXT(TbReceitas[[#This Row],[data_transacao]], "aaaa-mm")</f>
        <v>2025-12</v>
      </c>
    </row>
    <row r="1881" spans="1:8">
      <c r="A1881">
        <v>1880</v>
      </c>
      <c r="B1881" s="1">
        <v>46161</v>
      </c>
      <c r="C1881" t="s">
        <v>979</v>
      </c>
      <c r="D1881" t="s">
        <v>394</v>
      </c>
      <c r="E1881">
        <v>4</v>
      </c>
      <c r="F1881">
        <v>10708</v>
      </c>
      <c r="G1881">
        <f>TbReceitas[[#This Row],[quantidade]]*TbReceitas[[#This Row],[preco_unitario]]</f>
        <v>42832</v>
      </c>
      <c r="H1881" t="str">
        <f>TEXT(TbReceitas[[#This Row],[data_transacao]], "aaaa-mm")</f>
        <v>2026-05</v>
      </c>
    </row>
    <row r="1882" spans="1:8">
      <c r="A1882">
        <v>1881</v>
      </c>
      <c r="B1882" s="1">
        <v>45614</v>
      </c>
      <c r="C1882" t="s">
        <v>1044</v>
      </c>
      <c r="D1882" t="s">
        <v>115</v>
      </c>
      <c r="E1882">
        <v>4</v>
      </c>
      <c r="F1882">
        <v>10588</v>
      </c>
      <c r="G1882">
        <f>TbReceitas[[#This Row],[quantidade]]*TbReceitas[[#This Row],[preco_unitario]]</f>
        <v>42352</v>
      </c>
      <c r="H1882" t="str">
        <f>TEXT(TbReceitas[[#This Row],[data_transacao]], "aaaa-mm")</f>
        <v>2024-11</v>
      </c>
    </row>
    <row r="1883" spans="1:8">
      <c r="A1883">
        <v>1882</v>
      </c>
      <c r="B1883" s="1">
        <v>45904</v>
      </c>
      <c r="C1883" t="s">
        <v>1655</v>
      </c>
      <c r="D1883" t="s">
        <v>502</v>
      </c>
      <c r="E1883">
        <v>3</v>
      </c>
      <c r="F1883">
        <v>18946</v>
      </c>
      <c r="G1883">
        <f>TbReceitas[[#This Row],[quantidade]]*TbReceitas[[#This Row],[preco_unitario]]</f>
        <v>56838</v>
      </c>
      <c r="H1883" t="str">
        <f>TEXT(TbReceitas[[#This Row],[data_transacao]], "aaaa-mm")</f>
        <v>2025-09</v>
      </c>
    </row>
    <row r="1884" spans="1:8">
      <c r="A1884">
        <v>1883</v>
      </c>
      <c r="B1884" s="1">
        <v>46057</v>
      </c>
      <c r="C1884" t="s">
        <v>1222</v>
      </c>
      <c r="D1884" t="s">
        <v>238</v>
      </c>
      <c r="E1884">
        <v>2</v>
      </c>
      <c r="F1884">
        <v>17869</v>
      </c>
      <c r="G1884">
        <f>TbReceitas[[#This Row],[quantidade]]*TbReceitas[[#This Row],[preco_unitario]]</f>
        <v>35738</v>
      </c>
      <c r="H1884" t="str">
        <f>TEXT(TbReceitas[[#This Row],[data_transacao]], "aaaa-mm")</f>
        <v>2026-02</v>
      </c>
    </row>
    <row r="1885" spans="1:8">
      <c r="A1885">
        <v>1884</v>
      </c>
      <c r="B1885" s="1">
        <v>46178</v>
      </c>
      <c r="C1885" t="s">
        <v>1656</v>
      </c>
      <c r="D1885" t="s">
        <v>87</v>
      </c>
      <c r="E1885">
        <v>5</v>
      </c>
      <c r="F1885">
        <v>5365</v>
      </c>
      <c r="G1885">
        <f>TbReceitas[[#This Row],[quantidade]]*TbReceitas[[#This Row],[preco_unitario]]</f>
        <v>26825</v>
      </c>
      <c r="H1885" t="str">
        <f>TEXT(TbReceitas[[#This Row],[data_transacao]], "aaaa-mm")</f>
        <v>2026-06</v>
      </c>
    </row>
    <row r="1886" spans="1:8">
      <c r="A1886">
        <v>1885</v>
      </c>
      <c r="B1886" s="1">
        <v>45762</v>
      </c>
      <c r="C1886" t="s">
        <v>1463</v>
      </c>
      <c r="D1886" t="s">
        <v>433</v>
      </c>
      <c r="E1886">
        <v>2</v>
      </c>
      <c r="F1886">
        <v>3071</v>
      </c>
      <c r="G1886">
        <f>TbReceitas[[#This Row],[quantidade]]*TbReceitas[[#This Row],[preco_unitario]]</f>
        <v>6142</v>
      </c>
      <c r="H1886" t="str">
        <f>TEXT(TbReceitas[[#This Row],[data_transacao]], "aaaa-mm")</f>
        <v>2025-04</v>
      </c>
    </row>
    <row r="1887" spans="1:8">
      <c r="A1887">
        <v>1886</v>
      </c>
      <c r="B1887" s="1">
        <v>46093</v>
      </c>
      <c r="C1887" t="s">
        <v>1171</v>
      </c>
      <c r="D1887" t="s">
        <v>343</v>
      </c>
      <c r="E1887">
        <v>3</v>
      </c>
      <c r="F1887">
        <v>4997</v>
      </c>
      <c r="G1887">
        <f>TbReceitas[[#This Row],[quantidade]]*TbReceitas[[#This Row],[preco_unitario]]</f>
        <v>14991</v>
      </c>
      <c r="H1887" t="str">
        <f>TEXT(TbReceitas[[#This Row],[data_transacao]], "aaaa-mm")</f>
        <v>2026-03</v>
      </c>
    </row>
    <row r="1888" spans="1:8">
      <c r="A1888">
        <v>1887</v>
      </c>
      <c r="B1888" s="1">
        <v>46267</v>
      </c>
      <c r="C1888" t="s">
        <v>1599</v>
      </c>
      <c r="D1888" t="s">
        <v>308</v>
      </c>
      <c r="E1888">
        <v>3</v>
      </c>
      <c r="F1888">
        <v>3639</v>
      </c>
      <c r="G1888">
        <f>TbReceitas[[#This Row],[quantidade]]*TbReceitas[[#This Row],[preco_unitario]]</f>
        <v>10917</v>
      </c>
      <c r="H1888" t="str">
        <f>TEXT(TbReceitas[[#This Row],[data_transacao]], "aaaa-mm")</f>
        <v>2026-09</v>
      </c>
    </row>
    <row r="1889" spans="1:8">
      <c r="A1889">
        <v>1888</v>
      </c>
      <c r="B1889" s="1">
        <v>45575</v>
      </c>
      <c r="C1889" t="s">
        <v>1374</v>
      </c>
      <c r="D1889" t="s">
        <v>213</v>
      </c>
      <c r="E1889">
        <v>5</v>
      </c>
      <c r="F1889">
        <v>22847</v>
      </c>
      <c r="G1889">
        <f>TbReceitas[[#This Row],[quantidade]]*TbReceitas[[#This Row],[preco_unitario]]</f>
        <v>114235</v>
      </c>
      <c r="H1889" t="str">
        <f>TEXT(TbReceitas[[#This Row],[data_transacao]], "aaaa-mm")</f>
        <v>2024-10</v>
      </c>
    </row>
    <row r="1890" spans="1:8">
      <c r="A1890">
        <v>1889</v>
      </c>
      <c r="B1890" s="1">
        <v>45552</v>
      </c>
      <c r="C1890" t="s">
        <v>1554</v>
      </c>
      <c r="D1890" t="s">
        <v>225</v>
      </c>
      <c r="E1890">
        <v>1</v>
      </c>
      <c r="F1890">
        <v>17354</v>
      </c>
      <c r="G1890">
        <f>TbReceitas[[#This Row],[quantidade]]*TbReceitas[[#This Row],[preco_unitario]]</f>
        <v>17354</v>
      </c>
      <c r="H1890" t="str">
        <f>TEXT(TbReceitas[[#This Row],[data_transacao]], "aaaa-mm")</f>
        <v>2024-09</v>
      </c>
    </row>
    <row r="1891" spans="1:8">
      <c r="A1891">
        <v>1890</v>
      </c>
      <c r="B1891" s="1">
        <v>45860</v>
      </c>
      <c r="C1891" t="s">
        <v>1657</v>
      </c>
      <c r="D1891" t="s">
        <v>91</v>
      </c>
      <c r="E1891">
        <v>1</v>
      </c>
      <c r="F1891">
        <v>16905</v>
      </c>
      <c r="G1891">
        <f>TbReceitas[[#This Row],[quantidade]]*TbReceitas[[#This Row],[preco_unitario]]</f>
        <v>16905</v>
      </c>
      <c r="H1891" t="str">
        <f>TEXT(TbReceitas[[#This Row],[data_transacao]], "aaaa-mm")</f>
        <v>2025-07</v>
      </c>
    </row>
    <row r="1892" spans="1:8">
      <c r="A1892">
        <v>1891</v>
      </c>
      <c r="B1892" s="1">
        <v>46076</v>
      </c>
      <c r="C1892" t="s">
        <v>993</v>
      </c>
      <c r="D1892" t="s">
        <v>261</v>
      </c>
      <c r="E1892">
        <v>3</v>
      </c>
      <c r="F1892">
        <v>17079</v>
      </c>
      <c r="G1892">
        <f>TbReceitas[[#This Row],[quantidade]]*TbReceitas[[#This Row],[preco_unitario]]</f>
        <v>51237</v>
      </c>
      <c r="H1892" t="str">
        <f>TEXT(TbReceitas[[#This Row],[data_transacao]], "aaaa-mm")</f>
        <v>2026-02</v>
      </c>
    </row>
    <row r="1893" spans="1:8">
      <c r="A1893">
        <v>1892</v>
      </c>
      <c r="B1893" s="1">
        <v>45882</v>
      </c>
      <c r="C1893" t="s">
        <v>1503</v>
      </c>
      <c r="D1893" t="s">
        <v>444</v>
      </c>
      <c r="E1893">
        <v>3</v>
      </c>
      <c r="F1893">
        <v>6184</v>
      </c>
      <c r="G1893">
        <f>TbReceitas[[#This Row],[quantidade]]*TbReceitas[[#This Row],[preco_unitario]]</f>
        <v>18552</v>
      </c>
      <c r="H1893" t="str">
        <f>TEXT(TbReceitas[[#This Row],[data_transacao]], "aaaa-mm")</f>
        <v>2025-08</v>
      </c>
    </row>
    <row r="1894" spans="1:8">
      <c r="A1894">
        <v>1893</v>
      </c>
      <c r="B1894" s="1">
        <v>46035</v>
      </c>
      <c r="C1894" t="s">
        <v>1649</v>
      </c>
      <c r="D1894" t="s">
        <v>134</v>
      </c>
      <c r="E1894">
        <v>2</v>
      </c>
      <c r="F1894">
        <v>12384</v>
      </c>
      <c r="G1894">
        <f>TbReceitas[[#This Row],[quantidade]]*TbReceitas[[#This Row],[preco_unitario]]</f>
        <v>24768</v>
      </c>
      <c r="H1894" t="str">
        <f>TEXT(TbReceitas[[#This Row],[data_transacao]], "aaaa-mm")</f>
        <v>2026-01</v>
      </c>
    </row>
    <row r="1895" spans="1:8">
      <c r="A1895">
        <v>1894</v>
      </c>
      <c r="B1895" s="1">
        <v>46071</v>
      </c>
      <c r="C1895" t="s">
        <v>1101</v>
      </c>
      <c r="D1895" t="s">
        <v>125</v>
      </c>
      <c r="E1895">
        <v>1</v>
      </c>
      <c r="F1895">
        <v>22842</v>
      </c>
      <c r="G1895">
        <f>TbReceitas[[#This Row],[quantidade]]*TbReceitas[[#This Row],[preco_unitario]]</f>
        <v>22842</v>
      </c>
      <c r="H1895" t="str">
        <f>TEXT(TbReceitas[[#This Row],[data_transacao]], "aaaa-mm")</f>
        <v>2026-02</v>
      </c>
    </row>
    <row r="1896" spans="1:8">
      <c r="A1896">
        <v>1895</v>
      </c>
      <c r="B1896" s="1">
        <v>46092</v>
      </c>
      <c r="C1896" t="s">
        <v>1122</v>
      </c>
      <c r="D1896" t="s">
        <v>902</v>
      </c>
      <c r="E1896">
        <v>2</v>
      </c>
      <c r="F1896">
        <v>14695</v>
      </c>
      <c r="G1896">
        <f>TbReceitas[[#This Row],[quantidade]]*TbReceitas[[#This Row],[preco_unitario]]</f>
        <v>29390</v>
      </c>
      <c r="H1896" t="str">
        <f>TEXT(TbReceitas[[#This Row],[data_transacao]], "aaaa-mm")</f>
        <v>2026-03</v>
      </c>
    </row>
    <row r="1897" spans="1:8">
      <c r="A1897">
        <v>1896</v>
      </c>
      <c r="B1897" s="1">
        <v>45967</v>
      </c>
      <c r="C1897" t="s">
        <v>868</v>
      </c>
      <c r="D1897" t="s">
        <v>107</v>
      </c>
      <c r="E1897">
        <v>5</v>
      </c>
      <c r="F1897">
        <v>16331</v>
      </c>
      <c r="G1897">
        <f>TbReceitas[[#This Row],[quantidade]]*TbReceitas[[#This Row],[preco_unitario]]</f>
        <v>81655</v>
      </c>
      <c r="H1897" t="str">
        <f>TEXT(TbReceitas[[#This Row],[data_transacao]], "aaaa-mm")</f>
        <v>2025-11</v>
      </c>
    </row>
    <row r="1898" spans="1:8">
      <c r="A1898">
        <v>1897</v>
      </c>
      <c r="B1898" s="1">
        <v>46087</v>
      </c>
      <c r="C1898" t="s">
        <v>1509</v>
      </c>
      <c r="D1898" t="s">
        <v>399</v>
      </c>
      <c r="E1898">
        <v>3</v>
      </c>
      <c r="F1898">
        <v>2413</v>
      </c>
      <c r="G1898">
        <f>TbReceitas[[#This Row],[quantidade]]*TbReceitas[[#This Row],[preco_unitario]]</f>
        <v>7239</v>
      </c>
      <c r="H1898" t="str">
        <f>TEXT(TbReceitas[[#This Row],[data_transacao]], "aaaa-mm")</f>
        <v>2026-03</v>
      </c>
    </row>
    <row r="1899" spans="1:8">
      <c r="A1899">
        <v>1898</v>
      </c>
      <c r="B1899" s="1">
        <v>45693</v>
      </c>
      <c r="C1899" t="s">
        <v>1151</v>
      </c>
      <c r="D1899" t="s">
        <v>585</v>
      </c>
      <c r="E1899">
        <v>4</v>
      </c>
      <c r="F1899">
        <v>19456</v>
      </c>
      <c r="G1899">
        <f>TbReceitas[[#This Row],[quantidade]]*TbReceitas[[#This Row],[preco_unitario]]</f>
        <v>77824</v>
      </c>
      <c r="H1899" t="str">
        <f>TEXT(TbReceitas[[#This Row],[data_transacao]], "aaaa-mm")</f>
        <v>2025-02</v>
      </c>
    </row>
    <row r="1900" spans="1:8">
      <c r="A1900">
        <v>1899</v>
      </c>
      <c r="B1900" s="1">
        <v>45865</v>
      </c>
      <c r="C1900" t="s">
        <v>709</v>
      </c>
      <c r="D1900" t="s">
        <v>587</v>
      </c>
      <c r="E1900">
        <v>1</v>
      </c>
      <c r="F1900">
        <v>2411</v>
      </c>
      <c r="G1900">
        <f>TbReceitas[[#This Row],[quantidade]]*TbReceitas[[#This Row],[preco_unitario]]</f>
        <v>2411</v>
      </c>
      <c r="H1900" t="str">
        <f>TEXT(TbReceitas[[#This Row],[data_transacao]], "aaaa-mm")</f>
        <v>2025-07</v>
      </c>
    </row>
    <row r="1901" spans="1:8">
      <c r="A1901">
        <v>1900</v>
      </c>
      <c r="B1901" s="1">
        <v>45831</v>
      </c>
      <c r="C1901" t="s">
        <v>1543</v>
      </c>
      <c r="D1901" t="s">
        <v>535</v>
      </c>
      <c r="E1901">
        <v>5</v>
      </c>
      <c r="F1901">
        <v>24784</v>
      </c>
      <c r="G1901">
        <f>TbReceitas[[#This Row],[quantidade]]*TbReceitas[[#This Row],[preco_unitario]]</f>
        <v>123920</v>
      </c>
      <c r="H1901" t="str">
        <f>TEXT(TbReceitas[[#This Row],[data_transacao]], "aaaa-mm")</f>
        <v>2025-06</v>
      </c>
    </row>
    <row r="1902" spans="1:8">
      <c r="A1902">
        <v>1901</v>
      </c>
      <c r="B1902" s="1">
        <v>45768</v>
      </c>
      <c r="C1902" t="s">
        <v>1204</v>
      </c>
      <c r="D1902" t="s">
        <v>859</v>
      </c>
      <c r="E1902">
        <v>1</v>
      </c>
      <c r="F1902">
        <v>6687</v>
      </c>
      <c r="G1902">
        <f>TbReceitas[[#This Row],[quantidade]]*TbReceitas[[#This Row],[preco_unitario]]</f>
        <v>6687</v>
      </c>
      <c r="H1902" t="str">
        <f>TEXT(TbReceitas[[#This Row],[data_transacao]], "aaaa-mm")</f>
        <v>2025-04</v>
      </c>
    </row>
    <row r="1903" spans="1:8">
      <c r="A1903">
        <v>1902</v>
      </c>
      <c r="B1903" s="1">
        <v>46083</v>
      </c>
      <c r="C1903" t="s">
        <v>1658</v>
      </c>
      <c r="D1903" t="s">
        <v>216</v>
      </c>
      <c r="E1903">
        <v>4</v>
      </c>
      <c r="F1903">
        <v>9488</v>
      </c>
      <c r="G1903">
        <f>TbReceitas[[#This Row],[quantidade]]*TbReceitas[[#This Row],[preco_unitario]]</f>
        <v>37952</v>
      </c>
      <c r="H1903" t="str">
        <f>TEXT(TbReceitas[[#This Row],[data_transacao]], "aaaa-mm")</f>
        <v>2026-03</v>
      </c>
    </row>
    <row r="1904" spans="1:8">
      <c r="A1904">
        <v>1903</v>
      </c>
      <c r="B1904" s="1">
        <v>45781</v>
      </c>
      <c r="C1904" t="s">
        <v>860</v>
      </c>
      <c r="D1904" t="s">
        <v>354</v>
      </c>
      <c r="E1904">
        <v>4</v>
      </c>
      <c r="F1904">
        <v>19135</v>
      </c>
      <c r="G1904">
        <f>TbReceitas[[#This Row],[quantidade]]*TbReceitas[[#This Row],[preco_unitario]]</f>
        <v>76540</v>
      </c>
      <c r="H1904" t="str">
        <f>TEXT(TbReceitas[[#This Row],[data_transacao]], "aaaa-mm")</f>
        <v>2025-05</v>
      </c>
    </row>
    <row r="1905" spans="1:8">
      <c r="A1905">
        <v>1904</v>
      </c>
      <c r="B1905" s="1">
        <v>45572</v>
      </c>
      <c r="C1905" t="s">
        <v>1241</v>
      </c>
      <c r="D1905" t="s">
        <v>458</v>
      </c>
      <c r="E1905">
        <v>5</v>
      </c>
      <c r="F1905">
        <v>4815</v>
      </c>
      <c r="G1905">
        <f>TbReceitas[[#This Row],[quantidade]]*TbReceitas[[#This Row],[preco_unitario]]</f>
        <v>24075</v>
      </c>
      <c r="H1905" t="str">
        <f>TEXT(TbReceitas[[#This Row],[data_transacao]], "aaaa-mm")</f>
        <v>2024-10</v>
      </c>
    </row>
    <row r="1906" spans="1:8">
      <c r="A1906">
        <v>1905</v>
      </c>
      <c r="B1906" s="1">
        <v>46091</v>
      </c>
      <c r="C1906" t="s">
        <v>1412</v>
      </c>
      <c r="D1906" t="s">
        <v>390</v>
      </c>
      <c r="E1906">
        <v>5</v>
      </c>
      <c r="F1906">
        <v>9992</v>
      </c>
      <c r="G1906">
        <f>TbReceitas[[#This Row],[quantidade]]*TbReceitas[[#This Row],[preco_unitario]]</f>
        <v>49960</v>
      </c>
      <c r="H1906" t="str">
        <f>TEXT(TbReceitas[[#This Row],[data_transacao]], "aaaa-mm")</f>
        <v>2026-03</v>
      </c>
    </row>
    <row r="1907" spans="1:8">
      <c r="A1907">
        <v>1906</v>
      </c>
      <c r="B1907" s="1">
        <v>45619</v>
      </c>
      <c r="C1907" t="s">
        <v>1659</v>
      </c>
      <c r="D1907" t="s">
        <v>43</v>
      </c>
      <c r="E1907">
        <v>1</v>
      </c>
      <c r="F1907">
        <v>24604</v>
      </c>
      <c r="G1907">
        <f>TbReceitas[[#This Row],[quantidade]]*TbReceitas[[#This Row],[preco_unitario]]</f>
        <v>24604</v>
      </c>
      <c r="H1907" t="str">
        <f>TEXT(TbReceitas[[#This Row],[data_transacao]], "aaaa-mm")</f>
        <v>2024-11</v>
      </c>
    </row>
    <row r="1908" spans="1:8">
      <c r="A1908">
        <v>1907</v>
      </c>
      <c r="B1908" s="1">
        <v>46113</v>
      </c>
      <c r="C1908" t="s">
        <v>1592</v>
      </c>
      <c r="D1908" t="s">
        <v>233</v>
      </c>
      <c r="E1908">
        <v>2</v>
      </c>
      <c r="F1908">
        <v>17951</v>
      </c>
      <c r="G1908">
        <f>TbReceitas[[#This Row],[quantidade]]*TbReceitas[[#This Row],[preco_unitario]]</f>
        <v>35902</v>
      </c>
      <c r="H1908" t="str">
        <f>TEXT(TbReceitas[[#This Row],[data_transacao]], "aaaa-mm")</f>
        <v>2026-04</v>
      </c>
    </row>
    <row r="1909" spans="1:8">
      <c r="A1909">
        <v>1908</v>
      </c>
      <c r="B1909" s="1">
        <v>46151</v>
      </c>
      <c r="C1909" t="s">
        <v>1660</v>
      </c>
      <c r="D1909" t="s">
        <v>63</v>
      </c>
      <c r="E1909">
        <v>2</v>
      </c>
      <c r="F1909">
        <v>17325</v>
      </c>
      <c r="G1909">
        <f>TbReceitas[[#This Row],[quantidade]]*TbReceitas[[#This Row],[preco_unitario]]</f>
        <v>34650</v>
      </c>
      <c r="H1909" t="str">
        <f>TEXT(TbReceitas[[#This Row],[data_transacao]], "aaaa-mm")</f>
        <v>2026-05</v>
      </c>
    </row>
    <row r="1910" spans="1:8">
      <c r="A1910">
        <v>1909</v>
      </c>
      <c r="B1910" s="1">
        <v>46083</v>
      </c>
      <c r="C1910" t="s">
        <v>1557</v>
      </c>
      <c r="D1910" t="s">
        <v>208</v>
      </c>
      <c r="E1910">
        <v>2</v>
      </c>
      <c r="F1910">
        <v>2719</v>
      </c>
      <c r="G1910">
        <f>TbReceitas[[#This Row],[quantidade]]*TbReceitas[[#This Row],[preco_unitario]]</f>
        <v>5438</v>
      </c>
      <c r="H1910" t="str">
        <f>TEXT(TbReceitas[[#This Row],[data_transacao]], "aaaa-mm")</f>
        <v>2026-03</v>
      </c>
    </row>
    <row r="1911" spans="1:8">
      <c r="A1911">
        <v>1910</v>
      </c>
      <c r="B1911" s="1">
        <v>46206</v>
      </c>
      <c r="C1911" t="s">
        <v>845</v>
      </c>
      <c r="D1911" t="s">
        <v>1279</v>
      </c>
      <c r="E1911">
        <v>4</v>
      </c>
      <c r="F1911">
        <v>11256</v>
      </c>
      <c r="G1911">
        <f>TbReceitas[[#This Row],[quantidade]]*TbReceitas[[#This Row],[preco_unitario]]</f>
        <v>45024</v>
      </c>
      <c r="H1911" t="str">
        <f>TEXT(TbReceitas[[#This Row],[data_transacao]], "aaaa-mm")</f>
        <v>2026-07</v>
      </c>
    </row>
    <row r="1912" spans="1:8">
      <c r="A1912">
        <v>1911</v>
      </c>
      <c r="B1912" s="1">
        <v>45913</v>
      </c>
      <c r="C1912" t="s">
        <v>1661</v>
      </c>
      <c r="D1912" t="s">
        <v>1454</v>
      </c>
      <c r="E1912">
        <v>2</v>
      </c>
      <c r="F1912">
        <v>10659</v>
      </c>
      <c r="G1912">
        <f>TbReceitas[[#This Row],[quantidade]]*TbReceitas[[#This Row],[preco_unitario]]</f>
        <v>21318</v>
      </c>
      <c r="H1912" t="str">
        <f>TEXT(TbReceitas[[#This Row],[data_transacao]], "aaaa-mm")</f>
        <v>2025-09</v>
      </c>
    </row>
    <row r="1913" spans="1:8">
      <c r="A1913">
        <v>1912</v>
      </c>
      <c r="B1913" s="1">
        <v>45661</v>
      </c>
      <c r="C1913" t="s">
        <v>1019</v>
      </c>
      <c r="D1913" t="s">
        <v>409</v>
      </c>
      <c r="E1913">
        <v>1</v>
      </c>
      <c r="F1913">
        <v>6002</v>
      </c>
      <c r="G1913">
        <f>TbReceitas[[#This Row],[quantidade]]*TbReceitas[[#This Row],[preco_unitario]]</f>
        <v>6002</v>
      </c>
      <c r="H1913" t="str">
        <f>TEXT(TbReceitas[[#This Row],[data_transacao]], "aaaa-mm")</f>
        <v>2025-01</v>
      </c>
    </row>
    <row r="1914" spans="1:8">
      <c r="A1914">
        <v>1913</v>
      </c>
      <c r="B1914" s="1">
        <v>46082</v>
      </c>
      <c r="C1914" t="s">
        <v>1050</v>
      </c>
      <c r="D1914" t="s">
        <v>52</v>
      </c>
      <c r="E1914">
        <v>1</v>
      </c>
      <c r="F1914">
        <v>3572</v>
      </c>
      <c r="G1914">
        <f>TbReceitas[[#This Row],[quantidade]]*TbReceitas[[#This Row],[preco_unitario]]</f>
        <v>3572</v>
      </c>
      <c r="H1914" t="str">
        <f>TEXT(TbReceitas[[#This Row],[data_transacao]], "aaaa-mm")</f>
        <v>2026-03</v>
      </c>
    </row>
    <row r="1915" spans="1:8">
      <c r="A1915">
        <v>1914</v>
      </c>
      <c r="B1915" s="1">
        <v>45617</v>
      </c>
      <c r="C1915" t="s">
        <v>1145</v>
      </c>
      <c r="D1915" t="s">
        <v>418</v>
      </c>
      <c r="E1915">
        <v>4</v>
      </c>
      <c r="F1915">
        <v>21076</v>
      </c>
      <c r="G1915">
        <f>TbReceitas[[#This Row],[quantidade]]*TbReceitas[[#This Row],[preco_unitario]]</f>
        <v>84304</v>
      </c>
      <c r="H1915" t="str">
        <f>TEXT(TbReceitas[[#This Row],[data_transacao]], "aaaa-mm")</f>
        <v>2024-11</v>
      </c>
    </row>
    <row r="1916" spans="1:8">
      <c r="A1916">
        <v>1915</v>
      </c>
      <c r="B1916" s="1">
        <v>45984</v>
      </c>
      <c r="C1916" t="s">
        <v>1662</v>
      </c>
      <c r="D1916" t="s">
        <v>1279</v>
      </c>
      <c r="E1916">
        <v>3</v>
      </c>
      <c r="F1916">
        <v>11256</v>
      </c>
      <c r="G1916">
        <f>TbReceitas[[#This Row],[quantidade]]*TbReceitas[[#This Row],[preco_unitario]]</f>
        <v>33768</v>
      </c>
      <c r="H1916" t="str">
        <f>TEXT(TbReceitas[[#This Row],[data_transacao]], "aaaa-mm")</f>
        <v>2025-11</v>
      </c>
    </row>
    <row r="1917" spans="1:8">
      <c r="A1917">
        <v>1916</v>
      </c>
      <c r="B1917" s="1">
        <v>45634</v>
      </c>
      <c r="C1917" t="s">
        <v>1512</v>
      </c>
      <c r="D1917" t="s">
        <v>15</v>
      </c>
      <c r="E1917">
        <v>4</v>
      </c>
      <c r="F1917">
        <v>15605</v>
      </c>
      <c r="G1917">
        <f>TbReceitas[[#This Row],[quantidade]]*TbReceitas[[#This Row],[preco_unitario]]</f>
        <v>62420</v>
      </c>
      <c r="H1917" t="str">
        <f>TEXT(TbReceitas[[#This Row],[data_transacao]], "aaaa-mm")</f>
        <v>2024-12</v>
      </c>
    </row>
    <row r="1918" spans="1:8">
      <c r="A1918">
        <v>1917</v>
      </c>
      <c r="B1918" s="1">
        <v>45567</v>
      </c>
      <c r="C1918" t="s">
        <v>1032</v>
      </c>
      <c r="D1918" t="s">
        <v>220</v>
      </c>
      <c r="E1918">
        <v>2</v>
      </c>
      <c r="F1918">
        <v>22363</v>
      </c>
      <c r="G1918">
        <f>TbReceitas[[#This Row],[quantidade]]*TbReceitas[[#This Row],[preco_unitario]]</f>
        <v>44726</v>
      </c>
      <c r="H1918" t="str">
        <f>TEXT(TbReceitas[[#This Row],[data_transacao]], "aaaa-mm")</f>
        <v>2024-10</v>
      </c>
    </row>
    <row r="1919" spans="1:8">
      <c r="A1919">
        <v>1918</v>
      </c>
      <c r="B1919" s="1">
        <v>45850</v>
      </c>
      <c r="C1919" t="s">
        <v>720</v>
      </c>
      <c r="D1919" t="s">
        <v>18</v>
      </c>
      <c r="E1919">
        <v>4</v>
      </c>
      <c r="F1919">
        <v>7076</v>
      </c>
      <c r="G1919">
        <f>TbReceitas[[#This Row],[quantidade]]*TbReceitas[[#This Row],[preco_unitario]]</f>
        <v>28304</v>
      </c>
      <c r="H1919" t="str">
        <f>TEXT(TbReceitas[[#This Row],[data_transacao]], "aaaa-mm")</f>
        <v>2025-07</v>
      </c>
    </row>
    <row r="1920" spans="1:8">
      <c r="A1920">
        <v>1919</v>
      </c>
      <c r="B1920" s="1">
        <v>45703</v>
      </c>
      <c r="C1920" t="s">
        <v>805</v>
      </c>
      <c r="D1920" t="s">
        <v>605</v>
      </c>
      <c r="E1920">
        <v>3</v>
      </c>
      <c r="F1920">
        <v>21376</v>
      </c>
      <c r="G1920">
        <f>TbReceitas[[#This Row],[quantidade]]*TbReceitas[[#This Row],[preco_unitario]]</f>
        <v>64128</v>
      </c>
      <c r="H1920" t="str">
        <f>TEXT(TbReceitas[[#This Row],[data_transacao]], "aaaa-mm")</f>
        <v>2025-02</v>
      </c>
    </row>
    <row r="1921" spans="1:8">
      <c r="A1921">
        <v>1920</v>
      </c>
      <c r="B1921" s="1">
        <v>45669</v>
      </c>
      <c r="C1921" t="s">
        <v>1164</v>
      </c>
      <c r="D1921" t="s">
        <v>677</v>
      </c>
      <c r="E1921">
        <v>3</v>
      </c>
      <c r="F1921">
        <v>11596</v>
      </c>
      <c r="G1921">
        <f>TbReceitas[[#This Row],[quantidade]]*TbReceitas[[#This Row],[preco_unitario]]</f>
        <v>34788</v>
      </c>
      <c r="H1921" t="str">
        <f>TEXT(TbReceitas[[#This Row],[data_transacao]], "aaaa-mm")</f>
        <v>2025-01</v>
      </c>
    </row>
    <row r="1922" spans="1:8">
      <c r="A1922">
        <v>1921</v>
      </c>
      <c r="B1922" s="1">
        <v>45674</v>
      </c>
      <c r="C1922" t="s">
        <v>830</v>
      </c>
      <c r="D1922" t="s">
        <v>1279</v>
      </c>
      <c r="E1922">
        <v>5</v>
      </c>
      <c r="F1922">
        <v>11256</v>
      </c>
      <c r="G1922">
        <f>TbReceitas[[#This Row],[quantidade]]*TbReceitas[[#This Row],[preco_unitario]]</f>
        <v>56280</v>
      </c>
      <c r="H1922" t="str">
        <f>TEXT(TbReceitas[[#This Row],[data_transacao]], "aaaa-mm")</f>
        <v>2025-01</v>
      </c>
    </row>
    <row r="1923" spans="1:8">
      <c r="A1923">
        <v>1922</v>
      </c>
      <c r="B1923" s="1">
        <v>46209</v>
      </c>
      <c r="C1923" t="s">
        <v>1663</v>
      </c>
      <c r="D1923" t="s">
        <v>17</v>
      </c>
      <c r="E1923">
        <v>5</v>
      </c>
      <c r="F1923">
        <v>18565</v>
      </c>
      <c r="G1923">
        <f>TbReceitas[[#This Row],[quantidade]]*TbReceitas[[#This Row],[preco_unitario]]</f>
        <v>92825</v>
      </c>
      <c r="H1923" t="str">
        <f>TEXT(TbReceitas[[#This Row],[data_transacao]], "aaaa-mm")</f>
        <v>2026-07</v>
      </c>
    </row>
    <row r="1924" spans="1:8">
      <c r="A1924">
        <v>1923</v>
      </c>
      <c r="B1924" s="1">
        <v>45566</v>
      </c>
      <c r="C1924" t="s">
        <v>1403</v>
      </c>
      <c r="D1924" t="s">
        <v>225</v>
      </c>
      <c r="E1924">
        <v>2</v>
      </c>
      <c r="F1924">
        <v>17354</v>
      </c>
      <c r="G1924">
        <f>TbReceitas[[#This Row],[quantidade]]*TbReceitas[[#This Row],[preco_unitario]]</f>
        <v>34708</v>
      </c>
      <c r="H1924" t="str">
        <f>TEXT(TbReceitas[[#This Row],[data_transacao]], "aaaa-mm")</f>
        <v>2024-10</v>
      </c>
    </row>
    <row r="1925" spans="1:8">
      <c r="A1925">
        <v>1924</v>
      </c>
      <c r="B1925" s="1">
        <v>46252</v>
      </c>
      <c r="C1925" t="s">
        <v>1527</v>
      </c>
      <c r="D1925" t="s">
        <v>358</v>
      </c>
      <c r="E1925">
        <v>1</v>
      </c>
      <c r="F1925">
        <v>11913</v>
      </c>
      <c r="G1925">
        <f>TbReceitas[[#This Row],[quantidade]]*TbReceitas[[#This Row],[preco_unitario]]</f>
        <v>11913</v>
      </c>
      <c r="H1925" t="str">
        <f>TEXT(TbReceitas[[#This Row],[data_transacao]], "aaaa-mm")</f>
        <v>2026-08</v>
      </c>
    </row>
    <row r="1926" spans="1:8">
      <c r="A1926">
        <v>1925</v>
      </c>
      <c r="B1926" s="1">
        <v>45932</v>
      </c>
      <c r="C1926" t="s">
        <v>1386</v>
      </c>
      <c r="D1926" t="s">
        <v>25</v>
      </c>
      <c r="E1926">
        <v>5</v>
      </c>
      <c r="F1926">
        <v>15908</v>
      </c>
      <c r="G1926">
        <f>TbReceitas[[#This Row],[quantidade]]*TbReceitas[[#This Row],[preco_unitario]]</f>
        <v>79540</v>
      </c>
      <c r="H1926" t="str">
        <f>TEXT(TbReceitas[[#This Row],[data_transacao]], "aaaa-mm")</f>
        <v>2025-10</v>
      </c>
    </row>
    <row r="1927" spans="1:8">
      <c r="A1927">
        <v>1926</v>
      </c>
      <c r="B1927" s="1">
        <v>45925</v>
      </c>
      <c r="C1927" t="s">
        <v>962</v>
      </c>
      <c r="D1927" t="s">
        <v>212</v>
      </c>
      <c r="E1927">
        <v>3</v>
      </c>
      <c r="F1927">
        <v>6603</v>
      </c>
      <c r="G1927">
        <f>TbReceitas[[#This Row],[quantidade]]*TbReceitas[[#This Row],[preco_unitario]]</f>
        <v>19809</v>
      </c>
      <c r="H1927" t="str">
        <f>TEXT(TbReceitas[[#This Row],[data_transacao]], "aaaa-mm")</f>
        <v>2025-09</v>
      </c>
    </row>
    <row r="1928" spans="1:8">
      <c r="A1928">
        <v>1927</v>
      </c>
      <c r="B1928" s="1">
        <v>45847</v>
      </c>
      <c r="C1928" t="s">
        <v>752</v>
      </c>
      <c r="D1928" t="s">
        <v>83</v>
      </c>
      <c r="E1928">
        <v>1</v>
      </c>
      <c r="F1928">
        <v>22765</v>
      </c>
      <c r="G1928">
        <f>TbReceitas[[#This Row],[quantidade]]*TbReceitas[[#This Row],[preco_unitario]]</f>
        <v>22765</v>
      </c>
      <c r="H1928" t="str">
        <f>TEXT(TbReceitas[[#This Row],[data_transacao]], "aaaa-mm")</f>
        <v>2025-07</v>
      </c>
    </row>
    <row r="1929" spans="1:8">
      <c r="A1929">
        <v>1928</v>
      </c>
      <c r="B1929" s="1">
        <v>45962</v>
      </c>
      <c r="C1929" t="s">
        <v>797</v>
      </c>
      <c r="D1929" t="s">
        <v>675</v>
      </c>
      <c r="E1929">
        <v>2</v>
      </c>
      <c r="F1929">
        <v>808</v>
      </c>
      <c r="G1929">
        <f>TbReceitas[[#This Row],[quantidade]]*TbReceitas[[#This Row],[preco_unitario]]</f>
        <v>1616</v>
      </c>
      <c r="H1929" t="str">
        <f>TEXT(TbReceitas[[#This Row],[data_transacao]], "aaaa-mm")</f>
        <v>2025-11</v>
      </c>
    </row>
    <row r="1930" spans="1:8">
      <c r="A1930">
        <v>1929</v>
      </c>
      <c r="B1930" s="1">
        <v>46090</v>
      </c>
      <c r="C1930" t="s">
        <v>1019</v>
      </c>
      <c r="D1930" t="s">
        <v>644</v>
      </c>
      <c r="E1930">
        <v>4</v>
      </c>
      <c r="F1930">
        <v>19389</v>
      </c>
      <c r="G1930">
        <f>TbReceitas[[#This Row],[quantidade]]*TbReceitas[[#This Row],[preco_unitario]]</f>
        <v>77556</v>
      </c>
      <c r="H1930" t="str">
        <f>TEXT(TbReceitas[[#This Row],[data_transacao]], "aaaa-mm")</f>
        <v>2026-03</v>
      </c>
    </row>
    <row r="1931" spans="1:8">
      <c r="A1931">
        <v>1930</v>
      </c>
      <c r="B1931" s="1">
        <v>46078</v>
      </c>
      <c r="C1931" t="s">
        <v>716</v>
      </c>
      <c r="D1931" t="s">
        <v>605</v>
      </c>
      <c r="E1931">
        <v>2</v>
      </c>
      <c r="F1931">
        <v>21376</v>
      </c>
      <c r="G1931">
        <f>TbReceitas[[#This Row],[quantidade]]*TbReceitas[[#This Row],[preco_unitario]]</f>
        <v>42752</v>
      </c>
      <c r="H1931" t="str">
        <f>TEXT(TbReceitas[[#This Row],[data_transacao]], "aaaa-mm")</f>
        <v>2026-02</v>
      </c>
    </row>
    <row r="1932" spans="1:8">
      <c r="A1932">
        <v>1931</v>
      </c>
      <c r="B1932" s="1">
        <v>45905</v>
      </c>
      <c r="C1932" t="s">
        <v>1463</v>
      </c>
      <c r="D1932" t="s">
        <v>696</v>
      </c>
      <c r="E1932">
        <v>5</v>
      </c>
      <c r="F1932">
        <v>24429</v>
      </c>
      <c r="G1932">
        <f>TbReceitas[[#This Row],[quantidade]]*TbReceitas[[#This Row],[preco_unitario]]</f>
        <v>122145</v>
      </c>
      <c r="H1932" t="str">
        <f>TEXT(TbReceitas[[#This Row],[data_transacao]], "aaaa-mm")</f>
        <v>2025-09</v>
      </c>
    </row>
    <row r="1933" spans="1:8">
      <c r="A1933">
        <v>1932</v>
      </c>
      <c r="B1933" s="1">
        <v>46013</v>
      </c>
      <c r="C1933" t="s">
        <v>1664</v>
      </c>
      <c r="D1933" t="s">
        <v>294</v>
      </c>
      <c r="E1933">
        <v>1</v>
      </c>
      <c r="F1933">
        <v>18109</v>
      </c>
      <c r="G1933">
        <f>TbReceitas[[#This Row],[quantidade]]*TbReceitas[[#This Row],[preco_unitario]]</f>
        <v>18109</v>
      </c>
      <c r="H1933" t="str">
        <f>TEXT(TbReceitas[[#This Row],[data_transacao]], "aaaa-mm")</f>
        <v>2025-12</v>
      </c>
    </row>
    <row r="1934" spans="1:8">
      <c r="A1934">
        <v>1933</v>
      </c>
      <c r="B1934" s="1">
        <v>45769</v>
      </c>
      <c r="C1934" t="s">
        <v>983</v>
      </c>
      <c r="D1934" t="s">
        <v>382</v>
      </c>
      <c r="E1934">
        <v>1</v>
      </c>
      <c r="F1934">
        <v>4188</v>
      </c>
      <c r="G1934">
        <f>TbReceitas[[#This Row],[quantidade]]*TbReceitas[[#This Row],[preco_unitario]]</f>
        <v>4188</v>
      </c>
      <c r="H1934" t="str">
        <f>TEXT(TbReceitas[[#This Row],[data_transacao]], "aaaa-mm")</f>
        <v>2025-04</v>
      </c>
    </row>
    <row r="1935" spans="1:8">
      <c r="A1935">
        <v>1934</v>
      </c>
      <c r="B1935" s="1">
        <v>46009</v>
      </c>
      <c r="C1935" t="s">
        <v>937</v>
      </c>
      <c r="D1935" t="s">
        <v>583</v>
      </c>
      <c r="E1935">
        <v>5</v>
      </c>
      <c r="F1935">
        <v>11009</v>
      </c>
      <c r="G1935">
        <f>TbReceitas[[#This Row],[quantidade]]*TbReceitas[[#This Row],[preco_unitario]]</f>
        <v>55045</v>
      </c>
      <c r="H1935" t="str">
        <f>TEXT(TbReceitas[[#This Row],[data_transacao]], "aaaa-mm")</f>
        <v>2025-12</v>
      </c>
    </row>
    <row r="1936" spans="1:8">
      <c r="A1936">
        <v>1935</v>
      </c>
      <c r="B1936" s="1">
        <v>45851</v>
      </c>
      <c r="C1936" t="s">
        <v>1665</v>
      </c>
      <c r="D1936" t="s">
        <v>621</v>
      </c>
      <c r="E1936">
        <v>3</v>
      </c>
      <c r="F1936">
        <v>9823</v>
      </c>
      <c r="G1936">
        <f>TbReceitas[[#This Row],[quantidade]]*TbReceitas[[#This Row],[preco_unitario]]</f>
        <v>29469</v>
      </c>
      <c r="H1936" t="str">
        <f>TEXT(TbReceitas[[#This Row],[data_transacao]], "aaaa-mm")</f>
        <v>2025-07</v>
      </c>
    </row>
    <row r="1937" spans="1:8">
      <c r="A1937">
        <v>1936</v>
      </c>
      <c r="B1937" s="1">
        <v>45562</v>
      </c>
      <c r="C1937" t="s">
        <v>930</v>
      </c>
      <c r="D1937" t="s">
        <v>427</v>
      </c>
      <c r="E1937">
        <v>5</v>
      </c>
      <c r="F1937">
        <v>9083</v>
      </c>
      <c r="G1937">
        <f>TbReceitas[[#This Row],[quantidade]]*TbReceitas[[#This Row],[preco_unitario]]</f>
        <v>45415</v>
      </c>
      <c r="H1937" t="str">
        <f>TEXT(TbReceitas[[#This Row],[data_transacao]], "aaaa-mm")</f>
        <v>2024-09</v>
      </c>
    </row>
    <row r="1938" spans="1:8">
      <c r="A1938">
        <v>1937</v>
      </c>
      <c r="B1938" s="1">
        <v>45646</v>
      </c>
      <c r="C1938" t="s">
        <v>1666</v>
      </c>
      <c r="D1938" t="s">
        <v>527</v>
      </c>
      <c r="E1938">
        <v>4</v>
      </c>
      <c r="F1938">
        <v>14693</v>
      </c>
      <c r="G1938">
        <f>TbReceitas[[#This Row],[quantidade]]*TbReceitas[[#This Row],[preco_unitario]]</f>
        <v>58772</v>
      </c>
      <c r="H1938" t="str">
        <f>TEXT(TbReceitas[[#This Row],[data_transacao]], "aaaa-mm")</f>
        <v>2024-12</v>
      </c>
    </row>
    <row r="1939" spans="1:8">
      <c r="A1939">
        <v>1938</v>
      </c>
      <c r="B1939" s="1">
        <v>45594</v>
      </c>
      <c r="C1939" t="s">
        <v>1010</v>
      </c>
      <c r="D1939" t="s">
        <v>1339</v>
      </c>
      <c r="E1939">
        <v>3</v>
      </c>
      <c r="F1939">
        <v>1729</v>
      </c>
      <c r="G1939">
        <f>TbReceitas[[#This Row],[quantidade]]*TbReceitas[[#This Row],[preco_unitario]]</f>
        <v>5187</v>
      </c>
      <c r="H1939" t="str">
        <f>TEXT(TbReceitas[[#This Row],[data_transacao]], "aaaa-mm")</f>
        <v>2024-10</v>
      </c>
    </row>
    <row r="1940" spans="1:8">
      <c r="A1940">
        <v>1939</v>
      </c>
      <c r="B1940" s="1">
        <v>45647</v>
      </c>
      <c r="C1940" t="s">
        <v>1667</v>
      </c>
      <c r="D1940" t="s">
        <v>85</v>
      </c>
      <c r="E1940">
        <v>5</v>
      </c>
      <c r="F1940">
        <v>10218</v>
      </c>
      <c r="G1940">
        <f>TbReceitas[[#This Row],[quantidade]]*TbReceitas[[#This Row],[preco_unitario]]</f>
        <v>51090</v>
      </c>
      <c r="H1940" t="str">
        <f>TEXT(TbReceitas[[#This Row],[data_transacao]], "aaaa-mm")</f>
        <v>2024-12</v>
      </c>
    </row>
    <row r="1941" spans="1:8">
      <c r="A1941">
        <v>1940</v>
      </c>
      <c r="B1941" s="1">
        <v>45579</v>
      </c>
      <c r="C1941" t="s">
        <v>734</v>
      </c>
      <c r="D1941" t="s">
        <v>43</v>
      </c>
      <c r="E1941">
        <v>2</v>
      </c>
      <c r="F1941">
        <v>24604</v>
      </c>
      <c r="G1941">
        <f>TbReceitas[[#This Row],[quantidade]]*TbReceitas[[#This Row],[preco_unitario]]</f>
        <v>49208</v>
      </c>
      <c r="H1941" t="str">
        <f>TEXT(TbReceitas[[#This Row],[data_transacao]], "aaaa-mm")</f>
        <v>2024-10</v>
      </c>
    </row>
    <row r="1942" spans="1:8">
      <c r="A1942">
        <v>1941</v>
      </c>
      <c r="B1942" s="1">
        <v>45656</v>
      </c>
      <c r="C1942" t="s">
        <v>1147</v>
      </c>
      <c r="D1942" t="s">
        <v>160</v>
      </c>
      <c r="E1942">
        <v>4</v>
      </c>
      <c r="F1942">
        <v>22066</v>
      </c>
      <c r="G1942">
        <f>TbReceitas[[#This Row],[quantidade]]*TbReceitas[[#This Row],[preco_unitario]]</f>
        <v>88264</v>
      </c>
      <c r="H1942" t="str">
        <f>TEXT(TbReceitas[[#This Row],[data_transacao]], "aaaa-mm")</f>
        <v>2024-12</v>
      </c>
    </row>
    <row r="1943" spans="1:8">
      <c r="A1943">
        <v>1942</v>
      </c>
      <c r="B1943" s="1">
        <v>45767</v>
      </c>
      <c r="C1943" t="s">
        <v>830</v>
      </c>
      <c r="D1943" t="s">
        <v>311</v>
      </c>
      <c r="E1943">
        <v>3</v>
      </c>
      <c r="F1943">
        <v>9922</v>
      </c>
      <c r="G1943">
        <f>TbReceitas[[#This Row],[quantidade]]*TbReceitas[[#This Row],[preco_unitario]]</f>
        <v>29766</v>
      </c>
      <c r="H1943" t="str">
        <f>TEXT(TbReceitas[[#This Row],[data_transacao]], "aaaa-mm")</f>
        <v>2025-04</v>
      </c>
    </row>
    <row r="1944" spans="1:8">
      <c r="A1944">
        <v>1943</v>
      </c>
      <c r="B1944" s="1">
        <v>45748</v>
      </c>
      <c r="C1944" t="s">
        <v>1027</v>
      </c>
      <c r="D1944" t="s">
        <v>209</v>
      </c>
      <c r="E1944">
        <v>1</v>
      </c>
      <c r="F1944">
        <v>15676</v>
      </c>
      <c r="G1944">
        <f>TbReceitas[[#This Row],[quantidade]]*TbReceitas[[#This Row],[preco_unitario]]</f>
        <v>15676</v>
      </c>
      <c r="H1944" t="str">
        <f>TEXT(TbReceitas[[#This Row],[data_transacao]], "aaaa-mm")</f>
        <v>2025-04</v>
      </c>
    </row>
    <row r="1945" spans="1:8">
      <c r="A1945">
        <v>1944</v>
      </c>
      <c r="B1945" s="1">
        <v>45940</v>
      </c>
      <c r="C1945" t="s">
        <v>817</v>
      </c>
      <c r="D1945" t="s">
        <v>61</v>
      </c>
      <c r="E1945">
        <v>4</v>
      </c>
      <c r="F1945">
        <v>998</v>
      </c>
      <c r="G1945">
        <f>TbReceitas[[#This Row],[quantidade]]*TbReceitas[[#This Row],[preco_unitario]]</f>
        <v>3992</v>
      </c>
      <c r="H1945" t="str">
        <f>TEXT(TbReceitas[[#This Row],[data_transacao]], "aaaa-mm")</f>
        <v>2025-10</v>
      </c>
    </row>
    <row r="1946" spans="1:8">
      <c r="A1946">
        <v>1945</v>
      </c>
      <c r="B1946" s="1">
        <v>46043</v>
      </c>
      <c r="C1946" t="s">
        <v>929</v>
      </c>
      <c r="D1946" t="s">
        <v>369</v>
      </c>
      <c r="E1946">
        <v>1</v>
      </c>
      <c r="F1946">
        <v>24982</v>
      </c>
      <c r="G1946">
        <f>TbReceitas[[#This Row],[quantidade]]*TbReceitas[[#This Row],[preco_unitario]]</f>
        <v>24982</v>
      </c>
      <c r="H1946" t="str">
        <f>TEXT(TbReceitas[[#This Row],[data_transacao]], "aaaa-mm")</f>
        <v>2026-01</v>
      </c>
    </row>
    <row r="1947" spans="1:8">
      <c r="A1947">
        <v>1946</v>
      </c>
      <c r="B1947" s="1">
        <v>45691</v>
      </c>
      <c r="C1947" t="s">
        <v>1291</v>
      </c>
      <c r="D1947" t="s">
        <v>159</v>
      </c>
      <c r="E1947">
        <v>5</v>
      </c>
      <c r="F1947">
        <v>16217</v>
      </c>
      <c r="G1947">
        <f>TbReceitas[[#This Row],[quantidade]]*TbReceitas[[#This Row],[preco_unitario]]</f>
        <v>81085</v>
      </c>
      <c r="H1947" t="str">
        <f>TEXT(TbReceitas[[#This Row],[data_transacao]], "aaaa-mm")</f>
        <v>2025-02</v>
      </c>
    </row>
    <row r="1948" spans="1:8">
      <c r="A1948">
        <v>1947</v>
      </c>
      <c r="B1948" s="1">
        <v>46121</v>
      </c>
      <c r="C1948" t="s">
        <v>1506</v>
      </c>
      <c r="D1948" t="s">
        <v>145</v>
      </c>
      <c r="E1948">
        <v>1</v>
      </c>
      <c r="F1948">
        <v>3517</v>
      </c>
      <c r="G1948">
        <f>TbReceitas[[#This Row],[quantidade]]*TbReceitas[[#This Row],[preco_unitario]]</f>
        <v>3517</v>
      </c>
      <c r="H1948" t="str">
        <f>TEXT(TbReceitas[[#This Row],[data_transacao]], "aaaa-mm")</f>
        <v>2026-04</v>
      </c>
    </row>
    <row r="1949" spans="1:8">
      <c r="A1949">
        <v>1948</v>
      </c>
      <c r="B1949" s="1">
        <v>46240</v>
      </c>
      <c r="C1949" t="s">
        <v>1668</v>
      </c>
      <c r="D1949" t="s">
        <v>148</v>
      </c>
      <c r="E1949">
        <v>1</v>
      </c>
      <c r="F1949">
        <v>20605</v>
      </c>
      <c r="G1949">
        <f>TbReceitas[[#This Row],[quantidade]]*TbReceitas[[#This Row],[preco_unitario]]</f>
        <v>20605</v>
      </c>
      <c r="H1949" t="str">
        <f>TEXT(TbReceitas[[#This Row],[data_transacao]], "aaaa-mm")</f>
        <v>2026-08</v>
      </c>
    </row>
    <row r="1950" spans="1:8">
      <c r="A1950">
        <v>1949</v>
      </c>
      <c r="B1950" s="1">
        <v>45970</v>
      </c>
      <c r="C1950" t="s">
        <v>915</v>
      </c>
      <c r="D1950" t="s">
        <v>451</v>
      </c>
      <c r="E1950">
        <v>2</v>
      </c>
      <c r="F1950">
        <v>17205</v>
      </c>
      <c r="G1950">
        <f>TbReceitas[[#This Row],[quantidade]]*TbReceitas[[#This Row],[preco_unitario]]</f>
        <v>34410</v>
      </c>
      <c r="H1950" t="str">
        <f>TEXT(TbReceitas[[#This Row],[data_transacao]], "aaaa-mm")</f>
        <v>2025-11</v>
      </c>
    </row>
    <row r="1951" spans="1:8">
      <c r="A1951">
        <v>1950</v>
      </c>
      <c r="B1951" s="1">
        <v>45918</v>
      </c>
      <c r="C1951" t="s">
        <v>1127</v>
      </c>
      <c r="D1951" t="s">
        <v>250</v>
      </c>
      <c r="E1951">
        <v>1</v>
      </c>
      <c r="F1951">
        <v>4154</v>
      </c>
      <c r="G1951">
        <f>TbReceitas[[#This Row],[quantidade]]*TbReceitas[[#This Row],[preco_unitario]]</f>
        <v>4154</v>
      </c>
      <c r="H1951" t="str">
        <f>TEXT(TbReceitas[[#This Row],[data_transacao]], "aaaa-mm")</f>
        <v>2025-09</v>
      </c>
    </row>
    <row r="1952" spans="1:8">
      <c r="A1952">
        <v>1951</v>
      </c>
      <c r="B1952" s="1">
        <v>45726</v>
      </c>
      <c r="C1952" t="s">
        <v>968</v>
      </c>
      <c r="D1952" t="s">
        <v>543</v>
      </c>
      <c r="E1952">
        <v>3</v>
      </c>
      <c r="F1952">
        <v>1944</v>
      </c>
      <c r="G1952">
        <f>TbReceitas[[#This Row],[quantidade]]*TbReceitas[[#This Row],[preco_unitario]]</f>
        <v>5832</v>
      </c>
      <c r="H1952" t="str">
        <f>TEXT(TbReceitas[[#This Row],[data_transacao]], "aaaa-mm")</f>
        <v>2025-03</v>
      </c>
    </row>
    <row r="1953" spans="1:8">
      <c r="A1953">
        <v>1952</v>
      </c>
      <c r="B1953" s="1">
        <v>45759</v>
      </c>
      <c r="C1953" t="s">
        <v>1375</v>
      </c>
      <c r="D1953" t="s">
        <v>195</v>
      </c>
      <c r="E1953">
        <v>5</v>
      </c>
      <c r="F1953">
        <v>16179</v>
      </c>
      <c r="G1953">
        <f>TbReceitas[[#This Row],[quantidade]]*TbReceitas[[#This Row],[preco_unitario]]</f>
        <v>80895</v>
      </c>
      <c r="H1953" t="str">
        <f>TEXT(TbReceitas[[#This Row],[data_transacao]], "aaaa-mm")</f>
        <v>2025-04</v>
      </c>
    </row>
    <row r="1954" spans="1:8">
      <c r="A1954">
        <v>1953</v>
      </c>
      <c r="B1954" s="1">
        <v>46196</v>
      </c>
      <c r="C1954" t="s">
        <v>1043</v>
      </c>
      <c r="D1954" t="s">
        <v>677</v>
      </c>
      <c r="E1954">
        <v>4</v>
      </c>
      <c r="F1954">
        <v>11596</v>
      </c>
      <c r="G1954">
        <f>TbReceitas[[#This Row],[quantidade]]*TbReceitas[[#This Row],[preco_unitario]]</f>
        <v>46384</v>
      </c>
      <c r="H1954" t="str">
        <f>TEXT(TbReceitas[[#This Row],[data_transacao]], "aaaa-mm")</f>
        <v>2026-06</v>
      </c>
    </row>
    <row r="1955" spans="1:8">
      <c r="A1955">
        <v>1954</v>
      </c>
      <c r="B1955" s="1">
        <v>45730</v>
      </c>
      <c r="C1955" t="s">
        <v>917</v>
      </c>
      <c r="D1955" t="s">
        <v>308</v>
      </c>
      <c r="E1955">
        <v>2</v>
      </c>
      <c r="F1955">
        <v>3639</v>
      </c>
      <c r="G1955">
        <f>TbReceitas[[#This Row],[quantidade]]*TbReceitas[[#This Row],[preco_unitario]]</f>
        <v>7278</v>
      </c>
      <c r="H1955" t="str">
        <f>TEXT(TbReceitas[[#This Row],[data_transacao]], "aaaa-mm")</f>
        <v>2025-03</v>
      </c>
    </row>
    <row r="1956" spans="1:8">
      <c r="A1956">
        <v>1955</v>
      </c>
      <c r="B1956" s="1">
        <v>46085</v>
      </c>
      <c r="C1956" t="s">
        <v>1669</v>
      </c>
      <c r="D1956" t="s">
        <v>71</v>
      </c>
      <c r="E1956">
        <v>4</v>
      </c>
      <c r="F1956">
        <v>3011</v>
      </c>
      <c r="G1956">
        <f>TbReceitas[[#This Row],[quantidade]]*TbReceitas[[#This Row],[preco_unitario]]</f>
        <v>12044</v>
      </c>
      <c r="H1956" t="str">
        <f>TEXT(TbReceitas[[#This Row],[data_transacao]], "aaaa-mm")</f>
        <v>2026-03</v>
      </c>
    </row>
    <row r="1957" spans="1:8">
      <c r="A1957">
        <v>1956</v>
      </c>
      <c r="B1957" s="1">
        <v>45923</v>
      </c>
      <c r="C1957" t="s">
        <v>1180</v>
      </c>
      <c r="D1957" t="s">
        <v>570</v>
      </c>
      <c r="E1957">
        <v>5</v>
      </c>
      <c r="F1957">
        <v>21533</v>
      </c>
      <c r="G1957">
        <f>TbReceitas[[#This Row],[quantidade]]*TbReceitas[[#This Row],[preco_unitario]]</f>
        <v>107665</v>
      </c>
      <c r="H1957" t="str">
        <f>TEXT(TbReceitas[[#This Row],[data_transacao]], "aaaa-mm")</f>
        <v>2025-09</v>
      </c>
    </row>
    <row r="1958" spans="1:8">
      <c r="A1958">
        <v>1957</v>
      </c>
      <c r="B1958" s="1">
        <v>46041</v>
      </c>
      <c r="C1958" t="s">
        <v>1670</v>
      </c>
      <c r="D1958" t="s">
        <v>417</v>
      </c>
      <c r="E1958">
        <v>5</v>
      </c>
      <c r="F1958">
        <v>6345</v>
      </c>
      <c r="G1958">
        <f>TbReceitas[[#This Row],[quantidade]]*TbReceitas[[#This Row],[preco_unitario]]</f>
        <v>31725</v>
      </c>
      <c r="H1958" t="str">
        <f>TEXT(TbReceitas[[#This Row],[data_transacao]], "aaaa-mm")</f>
        <v>2026-01</v>
      </c>
    </row>
    <row r="1959" spans="1:8">
      <c r="A1959">
        <v>1958</v>
      </c>
      <c r="B1959" s="1">
        <v>45622</v>
      </c>
      <c r="C1959" t="s">
        <v>885</v>
      </c>
      <c r="D1959" t="s">
        <v>377</v>
      </c>
      <c r="E1959">
        <v>3</v>
      </c>
      <c r="F1959">
        <v>21489</v>
      </c>
      <c r="G1959">
        <f>TbReceitas[[#This Row],[quantidade]]*TbReceitas[[#This Row],[preco_unitario]]</f>
        <v>64467</v>
      </c>
      <c r="H1959" t="str">
        <f>TEXT(TbReceitas[[#This Row],[data_transacao]], "aaaa-mm")</f>
        <v>2024-11</v>
      </c>
    </row>
    <row r="1960" spans="1:8">
      <c r="A1960">
        <v>1959</v>
      </c>
      <c r="B1960" s="1">
        <v>45645</v>
      </c>
      <c r="C1960" t="s">
        <v>1211</v>
      </c>
      <c r="D1960" t="s">
        <v>679</v>
      </c>
      <c r="E1960">
        <v>4</v>
      </c>
      <c r="F1960">
        <v>327</v>
      </c>
      <c r="G1960">
        <f>TbReceitas[[#This Row],[quantidade]]*TbReceitas[[#This Row],[preco_unitario]]</f>
        <v>1308</v>
      </c>
      <c r="H1960" t="str">
        <f>TEXT(TbReceitas[[#This Row],[data_transacao]], "aaaa-mm")</f>
        <v>2024-12</v>
      </c>
    </row>
    <row r="1961" spans="1:8">
      <c r="A1961">
        <v>1960</v>
      </c>
      <c r="B1961" s="1">
        <v>45642</v>
      </c>
      <c r="C1961" t="s">
        <v>1146</v>
      </c>
      <c r="D1961" t="s">
        <v>71</v>
      </c>
      <c r="E1961">
        <v>4</v>
      </c>
      <c r="F1961">
        <v>3011</v>
      </c>
      <c r="G1961">
        <f>TbReceitas[[#This Row],[quantidade]]*TbReceitas[[#This Row],[preco_unitario]]</f>
        <v>12044</v>
      </c>
      <c r="H1961" t="str">
        <f>TEXT(TbReceitas[[#This Row],[data_transacao]], "aaaa-mm")</f>
        <v>2024-12</v>
      </c>
    </row>
    <row r="1962" spans="1:8">
      <c r="A1962">
        <v>1961</v>
      </c>
      <c r="B1962" s="1">
        <v>46036</v>
      </c>
      <c r="C1962" t="s">
        <v>1128</v>
      </c>
      <c r="D1962" t="s">
        <v>446</v>
      </c>
      <c r="E1962">
        <v>3</v>
      </c>
      <c r="F1962">
        <v>21448</v>
      </c>
      <c r="G1962">
        <f>TbReceitas[[#This Row],[quantidade]]*TbReceitas[[#This Row],[preco_unitario]]</f>
        <v>64344</v>
      </c>
      <c r="H1962" t="str">
        <f>TEXT(TbReceitas[[#This Row],[data_transacao]], "aaaa-mm")</f>
        <v>2026-01</v>
      </c>
    </row>
    <row r="1963" spans="1:8">
      <c r="A1963">
        <v>1962</v>
      </c>
      <c r="B1963" s="1">
        <v>45940</v>
      </c>
      <c r="C1963" t="s">
        <v>1192</v>
      </c>
      <c r="D1963" t="s">
        <v>181</v>
      </c>
      <c r="E1963">
        <v>4</v>
      </c>
      <c r="F1963">
        <v>1091</v>
      </c>
      <c r="G1963">
        <f>TbReceitas[[#This Row],[quantidade]]*TbReceitas[[#This Row],[preco_unitario]]</f>
        <v>4364</v>
      </c>
      <c r="H1963" t="str">
        <f>TEXT(TbReceitas[[#This Row],[data_transacao]], "aaaa-mm")</f>
        <v>2025-10</v>
      </c>
    </row>
    <row r="1964" spans="1:8">
      <c r="A1964">
        <v>1963</v>
      </c>
      <c r="B1964" s="1">
        <v>45648</v>
      </c>
      <c r="C1964" t="s">
        <v>1660</v>
      </c>
      <c r="D1964" t="s">
        <v>196</v>
      </c>
      <c r="E1964">
        <v>5</v>
      </c>
      <c r="F1964">
        <v>8167</v>
      </c>
      <c r="G1964">
        <f>TbReceitas[[#This Row],[quantidade]]*TbReceitas[[#This Row],[preco_unitario]]</f>
        <v>40835</v>
      </c>
      <c r="H1964" t="str">
        <f>TEXT(TbReceitas[[#This Row],[data_transacao]], "aaaa-mm")</f>
        <v>2024-12</v>
      </c>
    </row>
    <row r="1965" spans="1:8">
      <c r="A1965">
        <v>1964</v>
      </c>
      <c r="B1965" s="1">
        <v>46167</v>
      </c>
      <c r="C1965" t="s">
        <v>1548</v>
      </c>
      <c r="D1965" t="s">
        <v>181</v>
      </c>
      <c r="E1965">
        <v>5</v>
      </c>
      <c r="F1965">
        <v>1091</v>
      </c>
      <c r="G1965">
        <f>TbReceitas[[#This Row],[quantidade]]*TbReceitas[[#This Row],[preco_unitario]]</f>
        <v>5455</v>
      </c>
      <c r="H1965" t="str">
        <f>TEXT(TbReceitas[[#This Row],[data_transacao]], "aaaa-mm")</f>
        <v>2026-05</v>
      </c>
    </row>
    <row r="1966" spans="1:8">
      <c r="A1966">
        <v>1965</v>
      </c>
      <c r="B1966" s="1">
        <v>45784</v>
      </c>
      <c r="C1966" t="s">
        <v>1671</v>
      </c>
      <c r="D1966" t="s">
        <v>362</v>
      </c>
      <c r="E1966">
        <v>3</v>
      </c>
      <c r="F1966">
        <v>19722</v>
      </c>
      <c r="G1966">
        <f>TbReceitas[[#This Row],[quantidade]]*TbReceitas[[#This Row],[preco_unitario]]</f>
        <v>59166</v>
      </c>
      <c r="H1966" t="str">
        <f>TEXT(TbReceitas[[#This Row],[data_transacao]], "aaaa-mm")</f>
        <v>2025-05</v>
      </c>
    </row>
    <row r="1967" spans="1:8">
      <c r="A1967">
        <v>1966</v>
      </c>
      <c r="B1967" s="1">
        <v>46004</v>
      </c>
      <c r="C1967" t="s">
        <v>819</v>
      </c>
      <c r="D1967" t="s">
        <v>559</v>
      </c>
      <c r="E1967">
        <v>2</v>
      </c>
      <c r="F1967">
        <v>482</v>
      </c>
      <c r="G1967">
        <f>TbReceitas[[#This Row],[quantidade]]*TbReceitas[[#This Row],[preco_unitario]]</f>
        <v>964</v>
      </c>
      <c r="H1967" t="str">
        <f>TEXT(TbReceitas[[#This Row],[data_transacao]], "aaaa-mm")</f>
        <v>2025-12</v>
      </c>
    </row>
    <row r="1968" spans="1:8">
      <c r="A1968">
        <v>1967</v>
      </c>
      <c r="B1968" s="1">
        <v>46139</v>
      </c>
      <c r="C1968" t="s">
        <v>1672</v>
      </c>
      <c r="D1968" t="s">
        <v>116</v>
      </c>
      <c r="E1968">
        <v>4</v>
      </c>
      <c r="F1968">
        <v>1384</v>
      </c>
      <c r="G1968">
        <f>TbReceitas[[#This Row],[quantidade]]*TbReceitas[[#This Row],[preco_unitario]]</f>
        <v>5536</v>
      </c>
      <c r="H1968" t="str">
        <f>TEXT(TbReceitas[[#This Row],[data_transacao]], "aaaa-mm")</f>
        <v>2026-04</v>
      </c>
    </row>
    <row r="1969" spans="1:8">
      <c r="A1969">
        <v>1968</v>
      </c>
      <c r="B1969" s="1">
        <v>45906</v>
      </c>
      <c r="C1969" t="s">
        <v>862</v>
      </c>
      <c r="D1969" t="s">
        <v>650</v>
      </c>
      <c r="E1969">
        <v>2</v>
      </c>
      <c r="F1969">
        <v>15259</v>
      </c>
      <c r="G1969">
        <f>TbReceitas[[#This Row],[quantidade]]*TbReceitas[[#This Row],[preco_unitario]]</f>
        <v>30518</v>
      </c>
      <c r="H1969" t="str">
        <f>TEXT(TbReceitas[[#This Row],[data_transacao]], "aaaa-mm")</f>
        <v>2025-09</v>
      </c>
    </row>
    <row r="1970" spans="1:8">
      <c r="A1970">
        <v>1969</v>
      </c>
      <c r="B1970" s="1">
        <v>45568</v>
      </c>
      <c r="C1970" t="s">
        <v>1082</v>
      </c>
      <c r="D1970" t="s">
        <v>902</v>
      </c>
      <c r="E1970">
        <v>4</v>
      </c>
      <c r="F1970">
        <v>14695</v>
      </c>
      <c r="G1970">
        <f>TbReceitas[[#This Row],[quantidade]]*TbReceitas[[#This Row],[preco_unitario]]</f>
        <v>58780</v>
      </c>
      <c r="H1970" t="str">
        <f>TEXT(TbReceitas[[#This Row],[data_transacao]], "aaaa-mm")</f>
        <v>2024-10</v>
      </c>
    </row>
    <row r="1971" spans="1:8">
      <c r="A1971">
        <v>1970</v>
      </c>
      <c r="B1971" s="1">
        <v>45724</v>
      </c>
      <c r="C1971" t="s">
        <v>822</v>
      </c>
      <c r="D1971" t="s">
        <v>249</v>
      </c>
      <c r="E1971">
        <v>4</v>
      </c>
      <c r="F1971">
        <v>12387</v>
      </c>
      <c r="G1971">
        <f>TbReceitas[[#This Row],[quantidade]]*TbReceitas[[#This Row],[preco_unitario]]</f>
        <v>49548</v>
      </c>
      <c r="H1971" t="str">
        <f>TEXT(TbReceitas[[#This Row],[data_transacao]], "aaaa-mm")</f>
        <v>2025-03</v>
      </c>
    </row>
    <row r="1972" spans="1:8">
      <c r="A1972">
        <v>1971</v>
      </c>
      <c r="B1972" s="1">
        <v>45695</v>
      </c>
      <c r="C1972" t="s">
        <v>1346</v>
      </c>
      <c r="D1972" t="s">
        <v>464</v>
      </c>
      <c r="E1972">
        <v>2</v>
      </c>
      <c r="F1972">
        <v>10835</v>
      </c>
      <c r="G1972">
        <f>TbReceitas[[#This Row],[quantidade]]*TbReceitas[[#This Row],[preco_unitario]]</f>
        <v>21670</v>
      </c>
      <c r="H1972" t="str">
        <f>TEXT(TbReceitas[[#This Row],[data_transacao]], "aaaa-mm")</f>
        <v>2025-02</v>
      </c>
    </row>
    <row r="1973" spans="1:8">
      <c r="A1973">
        <v>1972</v>
      </c>
      <c r="B1973" s="1">
        <v>46223</v>
      </c>
      <c r="C1973" t="s">
        <v>1043</v>
      </c>
      <c r="D1973" t="s">
        <v>442</v>
      </c>
      <c r="E1973">
        <v>3</v>
      </c>
      <c r="F1973">
        <v>4426</v>
      </c>
      <c r="G1973">
        <f>TbReceitas[[#This Row],[quantidade]]*TbReceitas[[#This Row],[preco_unitario]]</f>
        <v>13278</v>
      </c>
      <c r="H1973" t="str">
        <f>TEXT(TbReceitas[[#This Row],[data_transacao]], "aaaa-mm")</f>
        <v>2026-07</v>
      </c>
    </row>
    <row r="1974" spans="1:8">
      <c r="A1974">
        <v>1973</v>
      </c>
      <c r="B1974" s="1">
        <v>45573</v>
      </c>
      <c r="C1974" t="s">
        <v>1046</v>
      </c>
      <c r="D1974" t="s">
        <v>238</v>
      </c>
      <c r="E1974">
        <v>1</v>
      </c>
      <c r="F1974">
        <v>17869</v>
      </c>
      <c r="G1974">
        <f>TbReceitas[[#This Row],[quantidade]]*TbReceitas[[#This Row],[preco_unitario]]</f>
        <v>17869</v>
      </c>
      <c r="H1974" t="str">
        <f>TEXT(TbReceitas[[#This Row],[data_transacao]], "aaaa-mm")</f>
        <v>2024-10</v>
      </c>
    </row>
    <row r="1975" spans="1:8">
      <c r="A1975">
        <v>1974</v>
      </c>
      <c r="B1975" s="1">
        <v>45696</v>
      </c>
      <c r="C1975" t="s">
        <v>1304</v>
      </c>
      <c r="D1975" t="s">
        <v>638</v>
      </c>
      <c r="E1975">
        <v>4</v>
      </c>
      <c r="F1975">
        <v>9817</v>
      </c>
      <c r="G1975">
        <f>TbReceitas[[#This Row],[quantidade]]*TbReceitas[[#This Row],[preco_unitario]]</f>
        <v>39268</v>
      </c>
      <c r="H1975" t="str">
        <f>TEXT(TbReceitas[[#This Row],[data_transacao]], "aaaa-mm")</f>
        <v>2025-02</v>
      </c>
    </row>
    <row r="1976" spans="1:8">
      <c r="A1976">
        <v>1975</v>
      </c>
      <c r="B1976" s="1">
        <v>46223</v>
      </c>
      <c r="C1976" t="s">
        <v>861</v>
      </c>
      <c r="D1976" t="s">
        <v>275</v>
      </c>
      <c r="E1976">
        <v>5</v>
      </c>
      <c r="F1976">
        <v>1708</v>
      </c>
      <c r="G1976">
        <f>TbReceitas[[#This Row],[quantidade]]*TbReceitas[[#This Row],[preco_unitario]]</f>
        <v>8540</v>
      </c>
      <c r="H1976" t="str">
        <f>TEXT(TbReceitas[[#This Row],[data_transacao]], "aaaa-mm")</f>
        <v>2026-07</v>
      </c>
    </row>
    <row r="1977" spans="1:8">
      <c r="A1977">
        <v>1976</v>
      </c>
      <c r="B1977" s="1">
        <v>45960</v>
      </c>
      <c r="C1977" t="s">
        <v>1250</v>
      </c>
      <c r="D1977" t="s">
        <v>461</v>
      </c>
      <c r="E1977">
        <v>1</v>
      </c>
      <c r="F1977">
        <v>1535</v>
      </c>
      <c r="G1977">
        <f>TbReceitas[[#This Row],[quantidade]]*TbReceitas[[#This Row],[preco_unitario]]</f>
        <v>1535</v>
      </c>
      <c r="H1977" t="str">
        <f>TEXT(TbReceitas[[#This Row],[data_transacao]], "aaaa-mm")</f>
        <v>2025-10</v>
      </c>
    </row>
    <row r="1978" spans="1:8">
      <c r="A1978">
        <v>1977</v>
      </c>
      <c r="B1978" s="1">
        <v>45718</v>
      </c>
      <c r="C1978" t="s">
        <v>1569</v>
      </c>
      <c r="D1978" t="s">
        <v>447</v>
      </c>
      <c r="E1978">
        <v>5</v>
      </c>
      <c r="F1978">
        <v>24885</v>
      </c>
      <c r="G1978">
        <f>TbReceitas[[#This Row],[quantidade]]*TbReceitas[[#This Row],[preco_unitario]]</f>
        <v>124425</v>
      </c>
      <c r="H1978" t="str">
        <f>TEXT(TbReceitas[[#This Row],[data_transacao]], "aaaa-mm")</f>
        <v>2025-03</v>
      </c>
    </row>
    <row r="1979" spans="1:8">
      <c r="A1979">
        <v>1978</v>
      </c>
      <c r="B1979" s="1">
        <v>46022</v>
      </c>
      <c r="C1979" t="s">
        <v>1492</v>
      </c>
      <c r="D1979" t="s">
        <v>70</v>
      </c>
      <c r="E1979">
        <v>3</v>
      </c>
      <c r="F1979">
        <v>1198</v>
      </c>
      <c r="G1979">
        <f>TbReceitas[[#This Row],[quantidade]]*TbReceitas[[#This Row],[preco_unitario]]</f>
        <v>3594</v>
      </c>
      <c r="H1979" t="str">
        <f>TEXT(TbReceitas[[#This Row],[data_transacao]], "aaaa-mm")</f>
        <v>2025-12</v>
      </c>
    </row>
    <row r="1980" spans="1:8">
      <c r="A1980">
        <v>1979</v>
      </c>
      <c r="B1980" s="1">
        <v>45605</v>
      </c>
      <c r="C1980" t="s">
        <v>1197</v>
      </c>
      <c r="D1980" t="s">
        <v>18</v>
      </c>
      <c r="E1980">
        <v>5</v>
      </c>
      <c r="F1980">
        <v>7076</v>
      </c>
      <c r="G1980">
        <f>TbReceitas[[#This Row],[quantidade]]*TbReceitas[[#This Row],[preco_unitario]]</f>
        <v>35380</v>
      </c>
      <c r="H1980" t="str">
        <f>TEXT(TbReceitas[[#This Row],[data_transacao]], "aaaa-mm")</f>
        <v>2024-11</v>
      </c>
    </row>
    <row r="1981" spans="1:8">
      <c r="A1981">
        <v>1980</v>
      </c>
      <c r="B1981" s="1">
        <v>46072</v>
      </c>
      <c r="C1981" t="s">
        <v>1365</v>
      </c>
      <c r="D1981" t="s">
        <v>478</v>
      </c>
      <c r="E1981">
        <v>1</v>
      </c>
      <c r="F1981">
        <v>18253</v>
      </c>
      <c r="G1981">
        <f>TbReceitas[[#This Row],[quantidade]]*TbReceitas[[#This Row],[preco_unitario]]</f>
        <v>18253</v>
      </c>
      <c r="H1981" t="str">
        <f>TEXT(TbReceitas[[#This Row],[data_transacao]], "aaaa-mm")</f>
        <v>2026-02</v>
      </c>
    </row>
    <row r="1982" spans="1:8">
      <c r="A1982">
        <v>1981</v>
      </c>
      <c r="B1982" s="1">
        <v>45851</v>
      </c>
      <c r="C1982" t="s">
        <v>1544</v>
      </c>
      <c r="D1982" t="s">
        <v>9</v>
      </c>
      <c r="E1982">
        <v>5</v>
      </c>
      <c r="F1982">
        <v>751</v>
      </c>
      <c r="G1982">
        <f>TbReceitas[[#This Row],[quantidade]]*TbReceitas[[#This Row],[preco_unitario]]</f>
        <v>3755</v>
      </c>
      <c r="H1982" t="str">
        <f>TEXT(TbReceitas[[#This Row],[data_transacao]], "aaaa-mm")</f>
        <v>2025-07</v>
      </c>
    </row>
    <row r="1983" spans="1:8">
      <c r="A1983">
        <v>1982</v>
      </c>
      <c r="B1983" s="1">
        <v>45899</v>
      </c>
      <c r="C1983" t="s">
        <v>881</v>
      </c>
      <c r="D1983" t="s">
        <v>401</v>
      </c>
      <c r="E1983">
        <v>4</v>
      </c>
      <c r="F1983">
        <v>5058</v>
      </c>
      <c r="G1983">
        <f>TbReceitas[[#This Row],[quantidade]]*TbReceitas[[#This Row],[preco_unitario]]</f>
        <v>20232</v>
      </c>
      <c r="H1983" t="str">
        <f>TEXT(TbReceitas[[#This Row],[data_transacao]], "aaaa-mm")</f>
        <v>2025-08</v>
      </c>
    </row>
    <row r="1984" spans="1:8">
      <c r="A1984">
        <v>1983</v>
      </c>
      <c r="B1984" s="1">
        <v>46050</v>
      </c>
      <c r="C1984" t="s">
        <v>785</v>
      </c>
      <c r="D1984" t="s">
        <v>555</v>
      </c>
      <c r="E1984">
        <v>4</v>
      </c>
      <c r="F1984">
        <v>4984</v>
      </c>
      <c r="G1984">
        <f>TbReceitas[[#This Row],[quantidade]]*TbReceitas[[#This Row],[preco_unitario]]</f>
        <v>19936</v>
      </c>
      <c r="H1984" t="str">
        <f>TEXT(TbReceitas[[#This Row],[data_transacao]], "aaaa-mm")</f>
        <v>2026-01</v>
      </c>
    </row>
    <row r="1985" spans="1:8">
      <c r="A1985">
        <v>1984</v>
      </c>
      <c r="B1985" s="1">
        <v>46184</v>
      </c>
      <c r="C1985" t="s">
        <v>1105</v>
      </c>
      <c r="D1985" t="s">
        <v>140</v>
      </c>
      <c r="E1985">
        <v>2</v>
      </c>
      <c r="F1985">
        <v>7855</v>
      </c>
      <c r="G1985">
        <f>TbReceitas[[#This Row],[quantidade]]*TbReceitas[[#This Row],[preco_unitario]]</f>
        <v>15710</v>
      </c>
      <c r="H1985" t="str">
        <f>TEXT(TbReceitas[[#This Row],[data_transacao]], "aaaa-mm")</f>
        <v>2026-06</v>
      </c>
    </row>
    <row r="1986" spans="1:8">
      <c r="A1986">
        <v>1985</v>
      </c>
      <c r="B1986" s="1">
        <v>45611</v>
      </c>
      <c r="C1986" t="s">
        <v>1673</v>
      </c>
      <c r="D1986" t="s">
        <v>322</v>
      </c>
      <c r="E1986">
        <v>5</v>
      </c>
      <c r="F1986">
        <v>12658</v>
      </c>
      <c r="G1986">
        <f>TbReceitas[[#This Row],[quantidade]]*TbReceitas[[#This Row],[preco_unitario]]</f>
        <v>63290</v>
      </c>
      <c r="H1986" t="str">
        <f>TEXT(TbReceitas[[#This Row],[data_transacao]], "aaaa-mm")</f>
        <v>2024-11</v>
      </c>
    </row>
    <row r="1987" spans="1:8">
      <c r="A1987">
        <v>1986</v>
      </c>
      <c r="B1987" s="1">
        <v>45952</v>
      </c>
      <c r="C1987" t="s">
        <v>1077</v>
      </c>
      <c r="D1987" t="s">
        <v>322</v>
      </c>
      <c r="E1987">
        <v>5</v>
      </c>
      <c r="F1987">
        <v>12658</v>
      </c>
      <c r="G1987">
        <f>TbReceitas[[#This Row],[quantidade]]*TbReceitas[[#This Row],[preco_unitario]]</f>
        <v>63290</v>
      </c>
      <c r="H1987" t="str">
        <f>TEXT(TbReceitas[[#This Row],[data_transacao]], "aaaa-mm")</f>
        <v>2025-10</v>
      </c>
    </row>
    <row r="1988" spans="1:8">
      <c r="A1988">
        <v>1987</v>
      </c>
      <c r="B1988" s="1">
        <v>45680</v>
      </c>
      <c r="C1988" t="s">
        <v>1552</v>
      </c>
      <c r="D1988" t="s">
        <v>31</v>
      </c>
      <c r="E1988">
        <v>5</v>
      </c>
      <c r="F1988">
        <v>3134</v>
      </c>
      <c r="G1988">
        <f>TbReceitas[[#This Row],[quantidade]]*TbReceitas[[#This Row],[preco_unitario]]</f>
        <v>15670</v>
      </c>
      <c r="H1988" t="str">
        <f>TEXT(TbReceitas[[#This Row],[data_transacao]], "aaaa-mm")</f>
        <v>2025-01</v>
      </c>
    </row>
    <row r="1989" spans="1:8">
      <c r="A1989">
        <v>1988</v>
      </c>
      <c r="B1989" s="1">
        <v>45882</v>
      </c>
      <c r="C1989" t="s">
        <v>1593</v>
      </c>
      <c r="D1989" t="s">
        <v>109</v>
      </c>
      <c r="E1989">
        <v>4</v>
      </c>
      <c r="F1989">
        <v>23302</v>
      </c>
      <c r="G1989">
        <f>TbReceitas[[#This Row],[quantidade]]*TbReceitas[[#This Row],[preco_unitario]]</f>
        <v>93208</v>
      </c>
      <c r="H1989" t="str">
        <f>TEXT(TbReceitas[[#This Row],[data_transacao]], "aaaa-mm")</f>
        <v>2025-08</v>
      </c>
    </row>
    <row r="1990" spans="1:8">
      <c r="A1990">
        <v>1989</v>
      </c>
      <c r="B1990" s="1">
        <v>46053</v>
      </c>
      <c r="C1990" t="s">
        <v>1527</v>
      </c>
      <c r="D1990" t="s">
        <v>300</v>
      </c>
      <c r="E1990">
        <v>3</v>
      </c>
      <c r="F1990">
        <v>734</v>
      </c>
      <c r="G1990">
        <f>TbReceitas[[#This Row],[quantidade]]*TbReceitas[[#This Row],[preco_unitario]]</f>
        <v>2202</v>
      </c>
      <c r="H1990" t="str">
        <f>TEXT(TbReceitas[[#This Row],[data_transacao]], "aaaa-mm")</f>
        <v>2026-01</v>
      </c>
    </row>
    <row r="1991" spans="1:8">
      <c r="A1991">
        <v>1990</v>
      </c>
      <c r="B1991" s="1">
        <v>45908</v>
      </c>
      <c r="C1991" t="s">
        <v>1674</v>
      </c>
      <c r="D1991" t="s">
        <v>456</v>
      </c>
      <c r="E1991">
        <v>1</v>
      </c>
      <c r="F1991">
        <v>4361</v>
      </c>
      <c r="G1991">
        <f>TbReceitas[[#This Row],[quantidade]]*TbReceitas[[#This Row],[preco_unitario]]</f>
        <v>4361</v>
      </c>
      <c r="H1991" t="str">
        <f>TEXT(TbReceitas[[#This Row],[data_transacao]], "aaaa-mm")</f>
        <v>2025-09</v>
      </c>
    </row>
    <row r="1992" spans="1:8">
      <c r="A1992">
        <v>1991</v>
      </c>
      <c r="B1992" s="1">
        <v>45750</v>
      </c>
      <c r="C1992" t="s">
        <v>1675</v>
      </c>
      <c r="D1992" t="s">
        <v>1220</v>
      </c>
      <c r="E1992">
        <v>4</v>
      </c>
      <c r="F1992">
        <v>6695</v>
      </c>
      <c r="G1992">
        <f>TbReceitas[[#This Row],[quantidade]]*TbReceitas[[#This Row],[preco_unitario]]</f>
        <v>26780</v>
      </c>
      <c r="H1992" t="str">
        <f>TEXT(TbReceitas[[#This Row],[data_transacao]], "aaaa-mm")</f>
        <v>2025-04</v>
      </c>
    </row>
    <row r="1993" spans="1:8">
      <c r="A1993">
        <v>1992</v>
      </c>
      <c r="B1993" s="1">
        <v>45566</v>
      </c>
      <c r="C1993" t="s">
        <v>1620</v>
      </c>
      <c r="D1993" t="s">
        <v>359</v>
      </c>
      <c r="E1993">
        <v>3</v>
      </c>
      <c r="F1993">
        <v>18617</v>
      </c>
      <c r="G1993">
        <f>TbReceitas[[#This Row],[quantidade]]*TbReceitas[[#This Row],[preco_unitario]]</f>
        <v>55851</v>
      </c>
      <c r="H1993" t="str">
        <f>TEXT(TbReceitas[[#This Row],[data_transacao]], "aaaa-mm")</f>
        <v>2024-10</v>
      </c>
    </row>
    <row r="1994" spans="1:8">
      <c r="A1994">
        <v>1993</v>
      </c>
      <c r="B1994" s="1">
        <v>46082</v>
      </c>
      <c r="C1994" t="s">
        <v>1579</v>
      </c>
      <c r="D1994" t="s">
        <v>321</v>
      </c>
      <c r="E1994">
        <v>4</v>
      </c>
      <c r="F1994">
        <v>8412</v>
      </c>
      <c r="G1994">
        <f>TbReceitas[[#This Row],[quantidade]]*TbReceitas[[#This Row],[preco_unitario]]</f>
        <v>33648</v>
      </c>
      <c r="H1994" t="str">
        <f>TEXT(TbReceitas[[#This Row],[data_transacao]], "aaaa-mm")</f>
        <v>2026-03</v>
      </c>
    </row>
    <row r="1995" spans="1:8">
      <c r="A1995">
        <v>1994</v>
      </c>
      <c r="B1995" s="1">
        <v>45940</v>
      </c>
      <c r="C1995" t="s">
        <v>778</v>
      </c>
      <c r="D1995" t="s">
        <v>108</v>
      </c>
      <c r="E1995">
        <v>1</v>
      </c>
      <c r="F1995">
        <v>6891</v>
      </c>
      <c r="G1995">
        <f>TbReceitas[[#This Row],[quantidade]]*TbReceitas[[#This Row],[preco_unitario]]</f>
        <v>6891</v>
      </c>
      <c r="H1995" t="str">
        <f>TEXT(TbReceitas[[#This Row],[data_transacao]], "aaaa-mm")</f>
        <v>2025-10</v>
      </c>
    </row>
    <row r="1996" spans="1:8">
      <c r="A1996">
        <v>1995</v>
      </c>
      <c r="B1996" s="1">
        <v>45620</v>
      </c>
      <c r="C1996" t="s">
        <v>813</v>
      </c>
      <c r="D1996" t="s">
        <v>596</v>
      </c>
      <c r="E1996">
        <v>4</v>
      </c>
      <c r="F1996">
        <v>11069</v>
      </c>
      <c r="G1996">
        <f>TbReceitas[[#This Row],[quantidade]]*TbReceitas[[#This Row],[preco_unitario]]</f>
        <v>44276</v>
      </c>
      <c r="H1996" t="str">
        <f>TEXT(TbReceitas[[#This Row],[data_transacao]], "aaaa-mm")</f>
        <v>2024-11</v>
      </c>
    </row>
    <row r="1997" spans="1:8">
      <c r="A1997">
        <v>1996</v>
      </c>
      <c r="B1997" s="1">
        <v>45571</v>
      </c>
      <c r="C1997" t="s">
        <v>1399</v>
      </c>
      <c r="D1997" t="s">
        <v>365</v>
      </c>
      <c r="E1997">
        <v>2</v>
      </c>
      <c r="F1997">
        <v>20402</v>
      </c>
      <c r="G1997">
        <f>TbReceitas[[#This Row],[quantidade]]*TbReceitas[[#This Row],[preco_unitario]]</f>
        <v>40804</v>
      </c>
      <c r="H1997" t="str">
        <f>TEXT(TbReceitas[[#This Row],[data_transacao]], "aaaa-mm")</f>
        <v>2024-10</v>
      </c>
    </row>
    <row r="1998" spans="1:8">
      <c r="A1998">
        <v>1997</v>
      </c>
      <c r="B1998" s="1">
        <v>45712</v>
      </c>
      <c r="C1998" t="s">
        <v>1516</v>
      </c>
      <c r="D1998" t="s">
        <v>261</v>
      </c>
      <c r="E1998">
        <v>3</v>
      </c>
      <c r="F1998">
        <v>17079</v>
      </c>
      <c r="G1998">
        <f>TbReceitas[[#This Row],[quantidade]]*TbReceitas[[#This Row],[preco_unitario]]</f>
        <v>51237</v>
      </c>
      <c r="H1998" t="str">
        <f>TEXT(TbReceitas[[#This Row],[data_transacao]], "aaaa-mm")</f>
        <v>2025-02</v>
      </c>
    </row>
    <row r="1999" spans="1:8">
      <c r="A1999">
        <v>1998</v>
      </c>
      <c r="B1999" s="1">
        <v>46240</v>
      </c>
      <c r="C1999" t="s">
        <v>1336</v>
      </c>
      <c r="D1999" t="s">
        <v>83</v>
      </c>
      <c r="E1999">
        <v>1</v>
      </c>
      <c r="F1999">
        <v>22765</v>
      </c>
      <c r="G1999">
        <f>TbReceitas[[#This Row],[quantidade]]*TbReceitas[[#This Row],[preco_unitario]]</f>
        <v>22765</v>
      </c>
      <c r="H1999" t="str">
        <f>TEXT(TbReceitas[[#This Row],[data_transacao]], "aaaa-mm")</f>
        <v>2026-08</v>
      </c>
    </row>
    <row r="2000" spans="1:8">
      <c r="A2000">
        <v>1999</v>
      </c>
      <c r="B2000" s="1">
        <v>46204</v>
      </c>
      <c r="C2000" t="s">
        <v>767</v>
      </c>
      <c r="D2000" t="s">
        <v>500</v>
      </c>
      <c r="E2000">
        <v>4</v>
      </c>
      <c r="F2000">
        <v>1675</v>
      </c>
      <c r="G2000">
        <f>TbReceitas[[#This Row],[quantidade]]*TbReceitas[[#This Row],[preco_unitario]]</f>
        <v>6700</v>
      </c>
      <c r="H2000" t="str">
        <f>TEXT(TbReceitas[[#This Row],[data_transacao]], "aaaa-mm")</f>
        <v>2026-07</v>
      </c>
    </row>
    <row r="2001" spans="1:8">
      <c r="A2001">
        <v>2000</v>
      </c>
      <c r="B2001" s="1">
        <v>45766</v>
      </c>
      <c r="C2001" t="s">
        <v>1676</v>
      </c>
      <c r="D2001" t="s">
        <v>256</v>
      </c>
      <c r="E2001">
        <v>2</v>
      </c>
      <c r="F2001">
        <v>9187</v>
      </c>
      <c r="G2001">
        <f>TbReceitas[[#This Row],[quantidade]]*TbReceitas[[#This Row],[preco_unitario]]</f>
        <v>18374</v>
      </c>
      <c r="H2001" t="str">
        <f>TEXT(TbReceitas[[#This Row],[data_transacao]], "aaaa-mm")</f>
        <v>2025-04</v>
      </c>
    </row>
    <row r="2002" spans="1:8">
      <c r="A2002">
        <v>2001</v>
      </c>
      <c r="B2002" s="1">
        <v>45735</v>
      </c>
      <c r="C2002" t="s">
        <v>1627</v>
      </c>
      <c r="D2002" t="s">
        <v>219</v>
      </c>
      <c r="E2002">
        <v>2</v>
      </c>
      <c r="F2002">
        <v>8633</v>
      </c>
      <c r="G2002">
        <f>TbReceitas[[#This Row],[quantidade]]*TbReceitas[[#This Row],[preco_unitario]]</f>
        <v>17266</v>
      </c>
      <c r="H2002" t="str">
        <f>TEXT(TbReceitas[[#This Row],[data_transacao]], "aaaa-mm")</f>
        <v>2025-03</v>
      </c>
    </row>
    <row r="2003" spans="1:8">
      <c r="A2003">
        <v>2002</v>
      </c>
      <c r="B2003" s="1">
        <v>45867</v>
      </c>
      <c r="C2003" t="s">
        <v>710</v>
      </c>
      <c r="D2003" t="s">
        <v>280</v>
      </c>
      <c r="E2003">
        <v>2</v>
      </c>
      <c r="F2003">
        <v>16759</v>
      </c>
      <c r="G2003">
        <f>TbReceitas[[#This Row],[quantidade]]*TbReceitas[[#This Row],[preco_unitario]]</f>
        <v>33518</v>
      </c>
      <c r="H2003" t="str">
        <f>TEXT(TbReceitas[[#This Row],[data_transacao]], "aaaa-mm")</f>
        <v>2025-07</v>
      </c>
    </row>
    <row r="2004" spans="1:8">
      <c r="A2004">
        <v>2003</v>
      </c>
      <c r="B2004" s="1">
        <v>46098</v>
      </c>
      <c r="C2004" t="s">
        <v>1515</v>
      </c>
      <c r="D2004" t="s">
        <v>88</v>
      </c>
      <c r="E2004">
        <v>4</v>
      </c>
      <c r="F2004">
        <v>4181</v>
      </c>
      <c r="G2004">
        <f>TbReceitas[[#This Row],[quantidade]]*TbReceitas[[#This Row],[preco_unitario]]</f>
        <v>16724</v>
      </c>
      <c r="H2004" t="str">
        <f>TEXT(TbReceitas[[#This Row],[data_transacao]], "aaaa-mm")</f>
        <v>2026-03</v>
      </c>
    </row>
    <row r="2005" spans="1:8">
      <c r="A2005">
        <v>2004</v>
      </c>
      <c r="B2005" s="1">
        <v>45873</v>
      </c>
      <c r="C2005" t="s">
        <v>969</v>
      </c>
      <c r="D2005" t="s">
        <v>51</v>
      </c>
      <c r="E2005">
        <v>5</v>
      </c>
      <c r="F2005">
        <v>8334</v>
      </c>
      <c r="G2005">
        <f>TbReceitas[[#This Row],[quantidade]]*TbReceitas[[#This Row],[preco_unitario]]</f>
        <v>41670</v>
      </c>
      <c r="H2005" t="str">
        <f>TEXT(TbReceitas[[#This Row],[data_transacao]], "aaaa-mm")</f>
        <v>2025-08</v>
      </c>
    </row>
    <row r="2006" spans="1:8">
      <c r="A2006">
        <v>2005</v>
      </c>
      <c r="B2006" s="1">
        <v>45565</v>
      </c>
      <c r="C2006" t="s">
        <v>857</v>
      </c>
      <c r="D2006" t="s">
        <v>457</v>
      </c>
      <c r="E2006">
        <v>1</v>
      </c>
      <c r="F2006">
        <v>19353</v>
      </c>
      <c r="G2006">
        <f>TbReceitas[[#This Row],[quantidade]]*TbReceitas[[#This Row],[preco_unitario]]</f>
        <v>19353</v>
      </c>
      <c r="H2006" t="str">
        <f>TEXT(TbReceitas[[#This Row],[data_transacao]], "aaaa-mm")</f>
        <v>2024-09</v>
      </c>
    </row>
    <row r="2007" spans="1:8">
      <c r="A2007">
        <v>2006</v>
      </c>
      <c r="B2007" s="1">
        <v>45762</v>
      </c>
      <c r="C2007" t="s">
        <v>928</v>
      </c>
      <c r="D2007" t="s">
        <v>231</v>
      </c>
      <c r="E2007">
        <v>3</v>
      </c>
      <c r="F2007">
        <v>10892</v>
      </c>
      <c r="G2007">
        <f>TbReceitas[[#This Row],[quantidade]]*TbReceitas[[#This Row],[preco_unitario]]</f>
        <v>32676</v>
      </c>
      <c r="H2007" t="str">
        <f>TEXT(TbReceitas[[#This Row],[data_transacao]], "aaaa-mm")</f>
        <v>2025-04</v>
      </c>
    </row>
    <row r="2008" spans="1:8">
      <c r="A2008">
        <v>2007</v>
      </c>
      <c r="B2008" s="1">
        <v>45925</v>
      </c>
      <c r="C2008" t="s">
        <v>729</v>
      </c>
      <c r="D2008" t="s">
        <v>605</v>
      </c>
      <c r="E2008">
        <v>4</v>
      </c>
      <c r="F2008">
        <v>21376</v>
      </c>
      <c r="G2008">
        <f>TbReceitas[[#This Row],[quantidade]]*TbReceitas[[#This Row],[preco_unitario]]</f>
        <v>85504</v>
      </c>
      <c r="H2008" t="str">
        <f>TEXT(TbReceitas[[#This Row],[data_transacao]], "aaaa-mm")</f>
        <v>2025-09</v>
      </c>
    </row>
    <row r="2009" spans="1:8">
      <c r="A2009">
        <v>2008</v>
      </c>
      <c r="B2009" s="1">
        <v>46014</v>
      </c>
      <c r="C2009" t="s">
        <v>1264</v>
      </c>
      <c r="D2009" t="s">
        <v>292</v>
      </c>
      <c r="E2009">
        <v>5</v>
      </c>
      <c r="F2009">
        <v>85</v>
      </c>
      <c r="G2009">
        <f>TbReceitas[[#This Row],[quantidade]]*TbReceitas[[#This Row],[preco_unitario]]</f>
        <v>425</v>
      </c>
      <c r="H2009" t="str">
        <f>TEXT(TbReceitas[[#This Row],[data_transacao]], "aaaa-mm")</f>
        <v>2025-12</v>
      </c>
    </row>
    <row r="2010" spans="1:8">
      <c r="A2010">
        <v>2009</v>
      </c>
      <c r="B2010" s="1">
        <v>46019</v>
      </c>
      <c r="C2010" t="s">
        <v>1254</v>
      </c>
      <c r="D2010" t="s">
        <v>31</v>
      </c>
      <c r="E2010">
        <v>3</v>
      </c>
      <c r="F2010">
        <v>3134</v>
      </c>
      <c r="G2010">
        <f>TbReceitas[[#This Row],[quantidade]]*TbReceitas[[#This Row],[preco_unitario]]</f>
        <v>9402</v>
      </c>
      <c r="H2010" t="str">
        <f>TEXT(TbReceitas[[#This Row],[data_transacao]], "aaaa-mm")</f>
        <v>2025-12</v>
      </c>
    </row>
    <row r="2011" spans="1:8">
      <c r="A2011">
        <v>2010</v>
      </c>
      <c r="B2011" s="1">
        <v>45664</v>
      </c>
      <c r="C2011" t="s">
        <v>1677</v>
      </c>
      <c r="D2011" t="s">
        <v>594</v>
      </c>
      <c r="E2011">
        <v>4</v>
      </c>
      <c r="F2011">
        <v>9862</v>
      </c>
      <c r="G2011">
        <f>TbReceitas[[#This Row],[quantidade]]*TbReceitas[[#This Row],[preco_unitario]]</f>
        <v>39448</v>
      </c>
      <c r="H2011" t="str">
        <f>TEXT(TbReceitas[[#This Row],[data_transacao]], "aaaa-mm")</f>
        <v>2025-01</v>
      </c>
    </row>
    <row r="2012" spans="1:8">
      <c r="A2012">
        <v>2011</v>
      </c>
      <c r="B2012" s="1">
        <v>46182</v>
      </c>
      <c r="C2012" t="s">
        <v>1678</v>
      </c>
      <c r="D2012" t="s">
        <v>259</v>
      </c>
      <c r="E2012">
        <v>3</v>
      </c>
      <c r="F2012">
        <v>2751</v>
      </c>
      <c r="G2012">
        <f>TbReceitas[[#This Row],[quantidade]]*TbReceitas[[#This Row],[preco_unitario]]</f>
        <v>8253</v>
      </c>
      <c r="H2012" t="str">
        <f>TEXT(TbReceitas[[#This Row],[data_transacao]], "aaaa-mm")</f>
        <v>2026-06</v>
      </c>
    </row>
    <row r="2013" spans="1:8">
      <c r="A2013">
        <v>2012</v>
      </c>
      <c r="B2013" s="1">
        <v>46026</v>
      </c>
      <c r="C2013" t="s">
        <v>882</v>
      </c>
      <c r="D2013" t="s">
        <v>637</v>
      </c>
      <c r="E2013">
        <v>2</v>
      </c>
      <c r="F2013">
        <v>449</v>
      </c>
      <c r="G2013">
        <f>TbReceitas[[#This Row],[quantidade]]*TbReceitas[[#This Row],[preco_unitario]]</f>
        <v>898</v>
      </c>
      <c r="H2013" t="str">
        <f>TEXT(TbReceitas[[#This Row],[data_transacao]], "aaaa-mm")</f>
        <v>2026-01</v>
      </c>
    </row>
    <row r="2014" spans="1:8">
      <c r="A2014">
        <v>2013</v>
      </c>
      <c r="B2014" s="1">
        <v>45750</v>
      </c>
      <c r="C2014" t="s">
        <v>806</v>
      </c>
      <c r="D2014" t="s">
        <v>114</v>
      </c>
      <c r="E2014">
        <v>2</v>
      </c>
      <c r="F2014">
        <v>677</v>
      </c>
      <c r="G2014">
        <f>TbReceitas[[#This Row],[quantidade]]*TbReceitas[[#This Row],[preco_unitario]]</f>
        <v>1354</v>
      </c>
      <c r="H2014" t="str">
        <f>TEXT(TbReceitas[[#This Row],[data_transacao]], "aaaa-mm")</f>
        <v>2025-04</v>
      </c>
    </row>
    <row r="2015" spans="1:8">
      <c r="A2015">
        <v>2014</v>
      </c>
      <c r="B2015" s="1">
        <v>45720</v>
      </c>
      <c r="C2015" t="s">
        <v>783</v>
      </c>
      <c r="D2015" t="s">
        <v>635</v>
      </c>
      <c r="E2015">
        <v>5</v>
      </c>
      <c r="F2015">
        <v>821</v>
      </c>
      <c r="G2015">
        <f>TbReceitas[[#This Row],[quantidade]]*TbReceitas[[#This Row],[preco_unitario]]</f>
        <v>4105</v>
      </c>
      <c r="H2015" t="str">
        <f>TEXT(TbReceitas[[#This Row],[data_transacao]], "aaaa-mm")</f>
        <v>2025-03</v>
      </c>
    </row>
    <row r="2016" spans="1:8">
      <c r="A2016">
        <v>2015</v>
      </c>
      <c r="B2016" s="1">
        <v>45617</v>
      </c>
      <c r="C2016" t="s">
        <v>1032</v>
      </c>
      <c r="D2016" t="s">
        <v>520</v>
      </c>
      <c r="E2016">
        <v>1</v>
      </c>
      <c r="F2016">
        <v>22478</v>
      </c>
      <c r="G2016">
        <f>TbReceitas[[#This Row],[quantidade]]*TbReceitas[[#This Row],[preco_unitario]]</f>
        <v>22478</v>
      </c>
      <c r="H2016" t="str">
        <f>TEXT(TbReceitas[[#This Row],[data_transacao]], "aaaa-mm")</f>
        <v>2024-11</v>
      </c>
    </row>
    <row r="2017" spans="1:8">
      <c r="A2017">
        <v>2016</v>
      </c>
      <c r="B2017" s="1">
        <v>45641</v>
      </c>
      <c r="C2017" t="s">
        <v>1133</v>
      </c>
      <c r="D2017" t="s">
        <v>515</v>
      </c>
      <c r="E2017">
        <v>4</v>
      </c>
      <c r="F2017">
        <v>7672</v>
      </c>
      <c r="G2017">
        <f>TbReceitas[[#This Row],[quantidade]]*TbReceitas[[#This Row],[preco_unitario]]</f>
        <v>30688</v>
      </c>
      <c r="H2017" t="str">
        <f>TEXT(TbReceitas[[#This Row],[data_transacao]], "aaaa-mm")</f>
        <v>2024-12</v>
      </c>
    </row>
    <row r="2018" spans="1:8">
      <c r="A2018">
        <v>2017</v>
      </c>
      <c r="B2018" s="1">
        <v>45680</v>
      </c>
      <c r="C2018" t="s">
        <v>957</v>
      </c>
      <c r="D2018" t="s">
        <v>315</v>
      </c>
      <c r="E2018">
        <v>2</v>
      </c>
      <c r="F2018">
        <v>9033</v>
      </c>
      <c r="G2018">
        <f>TbReceitas[[#This Row],[quantidade]]*TbReceitas[[#This Row],[preco_unitario]]</f>
        <v>18066</v>
      </c>
      <c r="H2018" t="str">
        <f>TEXT(TbReceitas[[#This Row],[data_transacao]], "aaaa-mm")</f>
        <v>2025-01</v>
      </c>
    </row>
    <row r="2019" spans="1:8">
      <c r="A2019">
        <v>2018</v>
      </c>
      <c r="B2019" s="1">
        <v>45636</v>
      </c>
      <c r="C2019" t="s">
        <v>1540</v>
      </c>
      <c r="D2019" t="s">
        <v>587</v>
      </c>
      <c r="E2019">
        <v>2</v>
      </c>
      <c r="F2019">
        <v>2411</v>
      </c>
      <c r="G2019">
        <f>TbReceitas[[#This Row],[quantidade]]*TbReceitas[[#This Row],[preco_unitario]]</f>
        <v>4822</v>
      </c>
      <c r="H2019" t="str">
        <f>TEXT(TbReceitas[[#This Row],[data_transacao]], "aaaa-mm")</f>
        <v>2024-12</v>
      </c>
    </row>
    <row r="2020" spans="1:8">
      <c r="A2020">
        <v>2019</v>
      </c>
      <c r="B2020" s="1">
        <v>45889</v>
      </c>
      <c r="C2020" t="s">
        <v>1679</v>
      </c>
      <c r="D2020" t="s">
        <v>191</v>
      </c>
      <c r="E2020">
        <v>1</v>
      </c>
      <c r="F2020">
        <v>18422</v>
      </c>
      <c r="G2020">
        <f>TbReceitas[[#This Row],[quantidade]]*TbReceitas[[#This Row],[preco_unitario]]</f>
        <v>18422</v>
      </c>
      <c r="H2020" t="str">
        <f>TEXT(TbReceitas[[#This Row],[data_transacao]], "aaaa-mm")</f>
        <v>2025-08</v>
      </c>
    </row>
    <row r="2021" spans="1:8">
      <c r="A2021">
        <v>2020</v>
      </c>
      <c r="B2021" s="1">
        <v>46019</v>
      </c>
      <c r="C2021" t="s">
        <v>1016</v>
      </c>
      <c r="D2021" t="s">
        <v>467</v>
      </c>
      <c r="E2021">
        <v>4</v>
      </c>
      <c r="F2021">
        <v>14848</v>
      </c>
      <c r="G2021">
        <f>TbReceitas[[#This Row],[quantidade]]*TbReceitas[[#This Row],[preco_unitario]]</f>
        <v>59392</v>
      </c>
      <c r="H2021" t="str">
        <f>TEXT(TbReceitas[[#This Row],[data_transacao]], "aaaa-mm")</f>
        <v>2025-12</v>
      </c>
    </row>
    <row r="2022" spans="1:8">
      <c r="A2022">
        <v>2021</v>
      </c>
      <c r="B2022" s="1">
        <v>46200</v>
      </c>
      <c r="C2022" t="s">
        <v>761</v>
      </c>
      <c r="D2022" t="s">
        <v>298</v>
      </c>
      <c r="E2022">
        <v>1</v>
      </c>
      <c r="F2022">
        <v>9609</v>
      </c>
      <c r="G2022">
        <f>TbReceitas[[#This Row],[quantidade]]*TbReceitas[[#This Row],[preco_unitario]]</f>
        <v>9609</v>
      </c>
      <c r="H2022" t="str">
        <f>TEXT(TbReceitas[[#This Row],[data_transacao]], "aaaa-mm")</f>
        <v>2026-06</v>
      </c>
    </row>
    <row r="2023" spans="1:8">
      <c r="A2023">
        <v>2022</v>
      </c>
      <c r="B2023" s="1">
        <v>45732</v>
      </c>
      <c r="C2023" t="s">
        <v>849</v>
      </c>
      <c r="D2023" t="s">
        <v>572</v>
      </c>
      <c r="E2023">
        <v>2</v>
      </c>
      <c r="F2023">
        <v>18187</v>
      </c>
      <c r="G2023">
        <f>TbReceitas[[#This Row],[quantidade]]*TbReceitas[[#This Row],[preco_unitario]]</f>
        <v>36374</v>
      </c>
      <c r="H2023" t="str">
        <f>TEXT(TbReceitas[[#This Row],[data_transacao]], "aaaa-mm")</f>
        <v>2025-03</v>
      </c>
    </row>
    <row r="2024" spans="1:8">
      <c r="A2024">
        <v>2023</v>
      </c>
      <c r="B2024" s="1">
        <v>46166</v>
      </c>
      <c r="C2024" t="s">
        <v>1680</v>
      </c>
      <c r="D2024" t="s">
        <v>641</v>
      </c>
      <c r="E2024">
        <v>5</v>
      </c>
      <c r="F2024">
        <v>3128</v>
      </c>
      <c r="G2024">
        <f>TbReceitas[[#This Row],[quantidade]]*TbReceitas[[#This Row],[preco_unitario]]</f>
        <v>15640</v>
      </c>
      <c r="H2024" t="str">
        <f>TEXT(TbReceitas[[#This Row],[data_transacao]], "aaaa-mm")</f>
        <v>2026-05</v>
      </c>
    </row>
    <row r="2025" spans="1:8">
      <c r="A2025">
        <v>2024</v>
      </c>
      <c r="B2025" s="1">
        <v>46190</v>
      </c>
      <c r="C2025" t="s">
        <v>1681</v>
      </c>
      <c r="D2025" t="s">
        <v>554</v>
      </c>
      <c r="E2025">
        <v>3</v>
      </c>
      <c r="F2025">
        <v>23347</v>
      </c>
      <c r="G2025">
        <f>TbReceitas[[#This Row],[quantidade]]*TbReceitas[[#This Row],[preco_unitario]]</f>
        <v>70041</v>
      </c>
      <c r="H2025" t="str">
        <f>TEXT(TbReceitas[[#This Row],[data_transacao]], "aaaa-mm")</f>
        <v>2026-06</v>
      </c>
    </row>
    <row r="2026" spans="1:8">
      <c r="A2026">
        <v>2025</v>
      </c>
      <c r="B2026" s="1">
        <v>45647</v>
      </c>
      <c r="C2026" t="s">
        <v>1639</v>
      </c>
      <c r="D2026" t="s">
        <v>612</v>
      </c>
      <c r="E2026">
        <v>3</v>
      </c>
      <c r="F2026">
        <v>20797</v>
      </c>
      <c r="G2026">
        <f>TbReceitas[[#This Row],[quantidade]]*TbReceitas[[#This Row],[preco_unitario]]</f>
        <v>62391</v>
      </c>
      <c r="H2026" t="str">
        <f>TEXT(TbReceitas[[#This Row],[data_transacao]], "aaaa-mm")</f>
        <v>2024-12</v>
      </c>
    </row>
    <row r="2027" spans="1:8">
      <c r="A2027">
        <v>2026</v>
      </c>
      <c r="B2027" s="1">
        <v>46104</v>
      </c>
      <c r="C2027" t="s">
        <v>1141</v>
      </c>
      <c r="D2027" t="s">
        <v>425</v>
      </c>
      <c r="E2027">
        <v>5</v>
      </c>
      <c r="F2027">
        <v>24879</v>
      </c>
      <c r="G2027">
        <f>TbReceitas[[#This Row],[quantidade]]*TbReceitas[[#This Row],[preco_unitario]]</f>
        <v>124395</v>
      </c>
      <c r="H2027" t="str">
        <f>TEXT(TbReceitas[[#This Row],[data_transacao]], "aaaa-mm")</f>
        <v>2026-03</v>
      </c>
    </row>
    <row r="2028" spans="1:8">
      <c r="A2028">
        <v>2027</v>
      </c>
      <c r="B2028" s="1">
        <v>46091</v>
      </c>
      <c r="C2028" t="s">
        <v>1266</v>
      </c>
      <c r="D2028" t="s">
        <v>602</v>
      </c>
      <c r="E2028">
        <v>1</v>
      </c>
      <c r="F2028">
        <v>17929</v>
      </c>
      <c r="G2028">
        <f>TbReceitas[[#This Row],[quantidade]]*TbReceitas[[#This Row],[preco_unitario]]</f>
        <v>17929</v>
      </c>
      <c r="H2028" t="str">
        <f>TEXT(TbReceitas[[#This Row],[data_transacao]], "aaaa-mm")</f>
        <v>2026-03</v>
      </c>
    </row>
    <row r="2029" spans="1:8">
      <c r="A2029">
        <v>2028</v>
      </c>
      <c r="B2029" s="1">
        <v>46080</v>
      </c>
      <c r="C2029" t="s">
        <v>807</v>
      </c>
      <c r="D2029" t="s">
        <v>670</v>
      </c>
      <c r="E2029">
        <v>4</v>
      </c>
      <c r="F2029">
        <v>23664</v>
      </c>
      <c r="G2029">
        <f>TbReceitas[[#This Row],[quantidade]]*TbReceitas[[#This Row],[preco_unitario]]</f>
        <v>94656</v>
      </c>
      <c r="H2029" t="str">
        <f>TEXT(TbReceitas[[#This Row],[data_transacao]], "aaaa-mm")</f>
        <v>2026-02</v>
      </c>
    </row>
    <row r="2030" spans="1:8">
      <c r="A2030">
        <v>2029</v>
      </c>
      <c r="B2030" s="1">
        <v>46009</v>
      </c>
      <c r="C2030" t="s">
        <v>1359</v>
      </c>
      <c r="D2030" t="s">
        <v>574</v>
      </c>
      <c r="E2030">
        <v>1</v>
      </c>
      <c r="F2030">
        <v>19723</v>
      </c>
      <c r="G2030">
        <f>TbReceitas[[#This Row],[quantidade]]*TbReceitas[[#This Row],[preco_unitario]]</f>
        <v>19723</v>
      </c>
      <c r="H2030" t="str">
        <f>TEXT(TbReceitas[[#This Row],[data_transacao]], "aaaa-mm")</f>
        <v>2025-12</v>
      </c>
    </row>
    <row r="2031" spans="1:8">
      <c r="A2031">
        <v>2030</v>
      </c>
      <c r="B2031" s="1">
        <v>45836</v>
      </c>
      <c r="C2031" t="s">
        <v>880</v>
      </c>
      <c r="D2031" t="s">
        <v>173</v>
      </c>
      <c r="E2031">
        <v>3</v>
      </c>
      <c r="F2031">
        <v>10965</v>
      </c>
      <c r="G2031">
        <f>TbReceitas[[#This Row],[quantidade]]*TbReceitas[[#This Row],[preco_unitario]]</f>
        <v>32895</v>
      </c>
      <c r="H2031" t="str">
        <f>TEXT(TbReceitas[[#This Row],[data_transacao]], "aaaa-mm")</f>
        <v>2025-06</v>
      </c>
    </row>
    <row r="2032" spans="1:8">
      <c r="A2032">
        <v>2031</v>
      </c>
      <c r="B2032" s="1">
        <v>45596</v>
      </c>
      <c r="C2032" t="s">
        <v>978</v>
      </c>
      <c r="D2032" t="s">
        <v>292</v>
      </c>
      <c r="E2032">
        <v>5</v>
      </c>
      <c r="F2032">
        <v>85</v>
      </c>
      <c r="G2032">
        <f>TbReceitas[[#This Row],[quantidade]]*TbReceitas[[#This Row],[preco_unitario]]</f>
        <v>425</v>
      </c>
      <c r="H2032" t="str">
        <f>TEXT(TbReceitas[[#This Row],[data_transacao]], "aaaa-mm")</f>
        <v>2024-10</v>
      </c>
    </row>
    <row r="2033" spans="1:8">
      <c r="A2033">
        <v>2032</v>
      </c>
      <c r="B2033" s="1">
        <v>45556</v>
      </c>
      <c r="C2033" t="s">
        <v>1624</v>
      </c>
      <c r="D2033" t="s">
        <v>371</v>
      </c>
      <c r="E2033">
        <v>2</v>
      </c>
      <c r="F2033">
        <v>11753</v>
      </c>
      <c r="G2033">
        <f>TbReceitas[[#This Row],[quantidade]]*TbReceitas[[#This Row],[preco_unitario]]</f>
        <v>23506</v>
      </c>
      <c r="H2033" t="str">
        <f>TEXT(TbReceitas[[#This Row],[data_transacao]], "aaaa-mm")</f>
        <v>2024-09</v>
      </c>
    </row>
    <row r="2034" spans="1:8">
      <c r="A2034">
        <v>2033</v>
      </c>
      <c r="B2034" s="1">
        <v>46068</v>
      </c>
      <c r="C2034" t="s">
        <v>1575</v>
      </c>
      <c r="D2034" t="s">
        <v>107</v>
      </c>
      <c r="E2034">
        <v>4</v>
      </c>
      <c r="F2034">
        <v>16331</v>
      </c>
      <c r="G2034">
        <f>TbReceitas[[#This Row],[quantidade]]*TbReceitas[[#This Row],[preco_unitario]]</f>
        <v>65324</v>
      </c>
      <c r="H2034" t="str">
        <f>TEXT(TbReceitas[[#This Row],[data_transacao]], "aaaa-mm")</f>
        <v>2026-02</v>
      </c>
    </row>
    <row r="2035" spans="1:8">
      <c r="A2035">
        <v>2034</v>
      </c>
      <c r="B2035" s="1">
        <v>45619</v>
      </c>
      <c r="C2035" t="s">
        <v>787</v>
      </c>
      <c r="D2035" t="s">
        <v>417</v>
      </c>
      <c r="E2035">
        <v>4</v>
      </c>
      <c r="F2035">
        <v>6345</v>
      </c>
      <c r="G2035">
        <f>TbReceitas[[#This Row],[quantidade]]*TbReceitas[[#This Row],[preco_unitario]]</f>
        <v>25380</v>
      </c>
      <c r="H2035" t="str">
        <f>TEXT(TbReceitas[[#This Row],[data_transacao]], "aaaa-mm")</f>
        <v>2024-11</v>
      </c>
    </row>
    <row r="2036" spans="1:8">
      <c r="A2036">
        <v>2035</v>
      </c>
      <c r="B2036" s="1">
        <v>46121</v>
      </c>
      <c r="C2036" t="s">
        <v>777</v>
      </c>
      <c r="D2036" t="s">
        <v>877</v>
      </c>
      <c r="E2036">
        <v>1</v>
      </c>
      <c r="F2036">
        <v>23184</v>
      </c>
      <c r="G2036">
        <f>TbReceitas[[#This Row],[quantidade]]*TbReceitas[[#This Row],[preco_unitario]]</f>
        <v>23184</v>
      </c>
      <c r="H2036" t="str">
        <f>TEXT(TbReceitas[[#This Row],[data_transacao]], "aaaa-mm")</f>
        <v>2026-04</v>
      </c>
    </row>
    <row r="2037" spans="1:8">
      <c r="A2037">
        <v>2036</v>
      </c>
      <c r="B2037" s="1">
        <v>45611</v>
      </c>
      <c r="C2037" t="s">
        <v>772</v>
      </c>
      <c r="D2037" t="s">
        <v>142</v>
      </c>
      <c r="E2037">
        <v>3</v>
      </c>
      <c r="F2037">
        <v>3871</v>
      </c>
      <c r="G2037">
        <f>TbReceitas[[#This Row],[quantidade]]*TbReceitas[[#This Row],[preco_unitario]]</f>
        <v>11613</v>
      </c>
      <c r="H2037" t="str">
        <f>TEXT(TbReceitas[[#This Row],[data_transacao]], "aaaa-mm")</f>
        <v>2024-11</v>
      </c>
    </row>
    <row r="2038" spans="1:8">
      <c r="A2038">
        <v>2037</v>
      </c>
      <c r="B2038" s="1">
        <v>45852</v>
      </c>
      <c r="C2038" t="s">
        <v>860</v>
      </c>
      <c r="D2038" t="s">
        <v>89</v>
      </c>
      <c r="E2038">
        <v>2</v>
      </c>
      <c r="F2038">
        <v>2978</v>
      </c>
      <c r="G2038">
        <f>TbReceitas[[#This Row],[quantidade]]*TbReceitas[[#This Row],[preco_unitario]]</f>
        <v>5956</v>
      </c>
      <c r="H2038" t="str">
        <f>TEXT(TbReceitas[[#This Row],[data_transacao]], "aaaa-mm")</f>
        <v>2025-07</v>
      </c>
    </row>
    <row r="2039" spans="1:8">
      <c r="A2039">
        <v>2038</v>
      </c>
      <c r="B2039" s="1">
        <v>45601</v>
      </c>
      <c r="C2039" t="s">
        <v>1483</v>
      </c>
      <c r="D2039" t="s">
        <v>660</v>
      </c>
      <c r="E2039">
        <v>5</v>
      </c>
      <c r="F2039">
        <v>2289</v>
      </c>
      <c r="G2039">
        <f>TbReceitas[[#This Row],[quantidade]]*TbReceitas[[#This Row],[preco_unitario]]</f>
        <v>11445</v>
      </c>
      <c r="H2039" t="str">
        <f>TEXT(TbReceitas[[#This Row],[data_transacao]], "aaaa-mm")</f>
        <v>2024-11</v>
      </c>
    </row>
    <row r="2040" spans="1:8">
      <c r="A2040">
        <v>2039</v>
      </c>
      <c r="B2040" s="1">
        <v>46206</v>
      </c>
      <c r="C2040" t="s">
        <v>1682</v>
      </c>
      <c r="D2040" t="s">
        <v>668</v>
      </c>
      <c r="E2040">
        <v>4</v>
      </c>
      <c r="F2040">
        <v>11769</v>
      </c>
      <c r="G2040">
        <f>TbReceitas[[#This Row],[quantidade]]*TbReceitas[[#This Row],[preco_unitario]]</f>
        <v>47076</v>
      </c>
      <c r="H2040" t="str">
        <f>TEXT(TbReceitas[[#This Row],[data_transacao]], "aaaa-mm")</f>
        <v>2026-07</v>
      </c>
    </row>
    <row r="2041" spans="1:8">
      <c r="A2041">
        <v>2040</v>
      </c>
      <c r="B2041" s="1">
        <v>46195</v>
      </c>
      <c r="C2041" t="s">
        <v>878</v>
      </c>
      <c r="D2041" t="s">
        <v>275</v>
      </c>
      <c r="E2041">
        <v>5</v>
      </c>
      <c r="F2041">
        <v>1708</v>
      </c>
      <c r="G2041">
        <f>TbReceitas[[#This Row],[quantidade]]*TbReceitas[[#This Row],[preco_unitario]]</f>
        <v>8540</v>
      </c>
      <c r="H2041" t="str">
        <f>TEXT(TbReceitas[[#This Row],[data_transacao]], "aaaa-mm")</f>
        <v>2026-06</v>
      </c>
    </row>
    <row r="2042" spans="1:8">
      <c r="A2042">
        <v>2041</v>
      </c>
      <c r="B2042" s="1">
        <v>45733</v>
      </c>
      <c r="C2042" t="s">
        <v>1364</v>
      </c>
      <c r="D2042" t="s">
        <v>700</v>
      </c>
      <c r="E2042">
        <v>3</v>
      </c>
      <c r="F2042">
        <v>17759</v>
      </c>
      <c r="G2042">
        <f>TbReceitas[[#This Row],[quantidade]]*TbReceitas[[#This Row],[preco_unitario]]</f>
        <v>53277</v>
      </c>
      <c r="H2042" t="str">
        <f>TEXT(TbReceitas[[#This Row],[data_transacao]], "aaaa-mm")</f>
        <v>2025-03</v>
      </c>
    </row>
    <row r="2043" spans="1:8">
      <c r="A2043">
        <v>2042</v>
      </c>
      <c r="B2043" s="1">
        <v>46166</v>
      </c>
      <c r="C2043" t="s">
        <v>929</v>
      </c>
      <c r="D2043" t="s">
        <v>411</v>
      </c>
      <c r="E2043">
        <v>5</v>
      </c>
      <c r="F2043">
        <v>1601</v>
      </c>
      <c r="G2043">
        <f>TbReceitas[[#This Row],[quantidade]]*TbReceitas[[#This Row],[preco_unitario]]</f>
        <v>8005</v>
      </c>
      <c r="H2043" t="str">
        <f>TEXT(TbReceitas[[#This Row],[data_transacao]], "aaaa-mm")</f>
        <v>2026-05</v>
      </c>
    </row>
    <row r="2044" spans="1:8">
      <c r="A2044">
        <v>2043</v>
      </c>
      <c r="B2044" s="1">
        <v>45878</v>
      </c>
      <c r="C2044" t="s">
        <v>1610</v>
      </c>
      <c r="D2044" t="s">
        <v>688</v>
      </c>
      <c r="E2044">
        <v>2</v>
      </c>
      <c r="F2044">
        <v>24347</v>
      </c>
      <c r="G2044">
        <f>TbReceitas[[#This Row],[quantidade]]*TbReceitas[[#This Row],[preco_unitario]]</f>
        <v>48694</v>
      </c>
      <c r="H2044" t="str">
        <f>TEXT(TbReceitas[[#This Row],[data_transacao]], "aaaa-mm")</f>
        <v>2025-08</v>
      </c>
    </row>
    <row r="2045" spans="1:8">
      <c r="A2045">
        <v>2044</v>
      </c>
      <c r="B2045" s="1">
        <v>45660</v>
      </c>
      <c r="C2045" t="s">
        <v>899</v>
      </c>
      <c r="D2045" t="s">
        <v>679</v>
      </c>
      <c r="E2045">
        <v>5</v>
      </c>
      <c r="F2045">
        <v>327</v>
      </c>
      <c r="G2045">
        <f>TbReceitas[[#This Row],[quantidade]]*TbReceitas[[#This Row],[preco_unitario]]</f>
        <v>1635</v>
      </c>
      <c r="H2045" t="str">
        <f>TEXT(TbReceitas[[#This Row],[data_transacao]], "aaaa-mm")</f>
        <v>2025-01</v>
      </c>
    </row>
    <row r="2046" spans="1:8">
      <c r="A2046">
        <v>2045</v>
      </c>
      <c r="B2046" s="1">
        <v>45975</v>
      </c>
      <c r="C2046" t="s">
        <v>1233</v>
      </c>
      <c r="D2046" t="s">
        <v>621</v>
      </c>
      <c r="E2046">
        <v>1</v>
      </c>
      <c r="F2046">
        <v>9823</v>
      </c>
      <c r="G2046">
        <f>TbReceitas[[#This Row],[quantidade]]*TbReceitas[[#This Row],[preco_unitario]]</f>
        <v>9823</v>
      </c>
      <c r="H2046" t="str">
        <f>TEXT(TbReceitas[[#This Row],[data_transacao]], "aaaa-mm")</f>
        <v>2025-11</v>
      </c>
    </row>
    <row r="2047" spans="1:8">
      <c r="A2047">
        <v>2046</v>
      </c>
      <c r="B2047" s="1">
        <v>45908</v>
      </c>
      <c r="C2047" t="s">
        <v>788</v>
      </c>
      <c r="D2047" t="s">
        <v>117</v>
      </c>
      <c r="E2047">
        <v>4</v>
      </c>
      <c r="F2047">
        <v>15356</v>
      </c>
      <c r="G2047">
        <f>TbReceitas[[#This Row],[quantidade]]*TbReceitas[[#This Row],[preco_unitario]]</f>
        <v>61424</v>
      </c>
      <c r="H2047" t="str">
        <f>TEXT(TbReceitas[[#This Row],[data_transacao]], "aaaa-mm")</f>
        <v>2025-09</v>
      </c>
    </row>
    <row r="2048" spans="1:8">
      <c r="A2048">
        <v>2047</v>
      </c>
      <c r="B2048" s="1">
        <v>46191</v>
      </c>
      <c r="C2048" t="s">
        <v>1192</v>
      </c>
      <c r="D2048" t="s">
        <v>902</v>
      </c>
      <c r="E2048">
        <v>5</v>
      </c>
      <c r="F2048">
        <v>14695</v>
      </c>
      <c r="G2048">
        <f>TbReceitas[[#This Row],[quantidade]]*TbReceitas[[#This Row],[preco_unitario]]</f>
        <v>73475</v>
      </c>
      <c r="H2048" t="str">
        <f>TEXT(TbReceitas[[#This Row],[data_transacao]], "aaaa-mm")</f>
        <v>2026-06</v>
      </c>
    </row>
    <row r="2049" spans="1:8">
      <c r="A2049">
        <v>2048</v>
      </c>
      <c r="B2049" s="1">
        <v>45576</v>
      </c>
      <c r="C2049" t="s">
        <v>1683</v>
      </c>
      <c r="D2049" t="s">
        <v>173</v>
      </c>
      <c r="E2049">
        <v>4</v>
      </c>
      <c r="F2049">
        <v>10965</v>
      </c>
      <c r="G2049">
        <f>TbReceitas[[#This Row],[quantidade]]*TbReceitas[[#This Row],[preco_unitario]]</f>
        <v>43860</v>
      </c>
      <c r="H2049" t="str">
        <f>TEXT(TbReceitas[[#This Row],[data_transacao]], "aaaa-mm")</f>
        <v>2024-10</v>
      </c>
    </row>
    <row r="2050" spans="1:8">
      <c r="A2050">
        <v>2049</v>
      </c>
      <c r="B2050" s="1">
        <v>46260</v>
      </c>
      <c r="C2050" t="s">
        <v>1684</v>
      </c>
      <c r="D2050" t="s">
        <v>194</v>
      </c>
      <c r="E2050">
        <v>3</v>
      </c>
      <c r="F2050">
        <v>20829</v>
      </c>
      <c r="G2050">
        <f>TbReceitas[[#This Row],[quantidade]]*TbReceitas[[#This Row],[preco_unitario]]</f>
        <v>62487</v>
      </c>
      <c r="H2050" t="str">
        <f>TEXT(TbReceitas[[#This Row],[data_transacao]], "aaaa-mm")</f>
        <v>2026-08</v>
      </c>
    </row>
    <row r="2051" spans="1:8">
      <c r="A2051">
        <v>2050</v>
      </c>
      <c r="B2051" s="1">
        <v>46097</v>
      </c>
      <c r="C2051" t="s">
        <v>1373</v>
      </c>
      <c r="D2051" t="s">
        <v>1454</v>
      </c>
      <c r="E2051">
        <v>4</v>
      </c>
      <c r="F2051">
        <v>10659</v>
      </c>
      <c r="G2051">
        <f>TbReceitas[[#This Row],[quantidade]]*TbReceitas[[#This Row],[preco_unitario]]</f>
        <v>42636</v>
      </c>
      <c r="H2051" t="str">
        <f>TEXT(TbReceitas[[#This Row],[data_transacao]], "aaaa-mm")</f>
        <v>2026-03</v>
      </c>
    </row>
    <row r="2052" spans="1:8">
      <c r="A2052">
        <v>2051</v>
      </c>
      <c r="B2052" s="1">
        <v>45717</v>
      </c>
      <c r="C2052" t="s">
        <v>1370</v>
      </c>
      <c r="D2052" t="s">
        <v>220</v>
      </c>
      <c r="E2052">
        <v>2</v>
      </c>
      <c r="F2052">
        <v>22363</v>
      </c>
      <c r="G2052">
        <f>TbReceitas[[#This Row],[quantidade]]*TbReceitas[[#This Row],[preco_unitario]]</f>
        <v>44726</v>
      </c>
      <c r="H2052" t="str">
        <f>TEXT(TbReceitas[[#This Row],[data_transacao]], "aaaa-mm")</f>
        <v>2025-03</v>
      </c>
    </row>
    <row r="2053" spans="1:8">
      <c r="A2053">
        <v>2052</v>
      </c>
      <c r="B2053" s="1">
        <v>45677</v>
      </c>
      <c r="C2053" t="s">
        <v>1173</v>
      </c>
      <c r="D2053" t="s">
        <v>33</v>
      </c>
      <c r="E2053">
        <v>2</v>
      </c>
      <c r="F2053">
        <v>20998</v>
      </c>
      <c r="G2053">
        <f>TbReceitas[[#This Row],[quantidade]]*TbReceitas[[#This Row],[preco_unitario]]</f>
        <v>41996</v>
      </c>
      <c r="H2053" t="str">
        <f>TEXT(TbReceitas[[#This Row],[data_transacao]], "aaaa-mm")</f>
        <v>2025-01</v>
      </c>
    </row>
    <row r="2054" spans="1:8">
      <c r="A2054">
        <v>2053</v>
      </c>
      <c r="B2054" s="1">
        <v>46250</v>
      </c>
      <c r="C2054" t="s">
        <v>1150</v>
      </c>
      <c r="D2054" t="s">
        <v>628</v>
      </c>
      <c r="E2054">
        <v>3</v>
      </c>
      <c r="F2054">
        <v>4049</v>
      </c>
      <c r="G2054">
        <f>TbReceitas[[#This Row],[quantidade]]*TbReceitas[[#This Row],[preco_unitario]]</f>
        <v>12147</v>
      </c>
      <c r="H2054" t="str">
        <f>TEXT(TbReceitas[[#This Row],[data_transacao]], "aaaa-mm")</f>
        <v>2026-08</v>
      </c>
    </row>
    <row r="2055" spans="1:8">
      <c r="A2055">
        <v>2054</v>
      </c>
      <c r="B2055" s="1">
        <v>45775</v>
      </c>
      <c r="C2055" t="s">
        <v>1685</v>
      </c>
      <c r="D2055" t="s">
        <v>433</v>
      </c>
      <c r="E2055">
        <v>5</v>
      </c>
      <c r="F2055">
        <v>3071</v>
      </c>
      <c r="G2055">
        <f>TbReceitas[[#This Row],[quantidade]]*TbReceitas[[#This Row],[preco_unitario]]</f>
        <v>15355</v>
      </c>
      <c r="H2055" t="str">
        <f>TEXT(TbReceitas[[#This Row],[data_transacao]], "aaaa-mm")</f>
        <v>2025-04</v>
      </c>
    </row>
    <row r="2056" spans="1:8">
      <c r="A2056">
        <v>2055</v>
      </c>
      <c r="B2056" s="1">
        <v>46183</v>
      </c>
      <c r="C2056" t="s">
        <v>1182</v>
      </c>
      <c r="D2056" t="s">
        <v>227</v>
      </c>
      <c r="E2056">
        <v>4</v>
      </c>
      <c r="F2056">
        <v>23168</v>
      </c>
      <c r="G2056">
        <f>TbReceitas[[#This Row],[quantidade]]*TbReceitas[[#This Row],[preco_unitario]]</f>
        <v>92672</v>
      </c>
      <c r="H2056" t="str">
        <f>TEXT(TbReceitas[[#This Row],[data_transacao]], "aaaa-mm")</f>
        <v>2026-06</v>
      </c>
    </row>
    <row r="2057" spans="1:8">
      <c r="A2057">
        <v>2056</v>
      </c>
      <c r="B2057" s="1">
        <v>46166</v>
      </c>
      <c r="C2057" t="s">
        <v>1310</v>
      </c>
      <c r="D2057" t="s">
        <v>404</v>
      </c>
      <c r="E2057">
        <v>3</v>
      </c>
      <c r="F2057">
        <v>23298</v>
      </c>
      <c r="G2057">
        <f>TbReceitas[[#This Row],[quantidade]]*TbReceitas[[#This Row],[preco_unitario]]</f>
        <v>69894</v>
      </c>
      <c r="H2057" t="str">
        <f>TEXT(TbReceitas[[#This Row],[data_transacao]], "aaaa-mm")</f>
        <v>2026-05</v>
      </c>
    </row>
    <row r="2058" spans="1:8">
      <c r="A2058">
        <v>2057</v>
      </c>
      <c r="B2058" s="1">
        <v>45908</v>
      </c>
      <c r="C2058" t="s">
        <v>1002</v>
      </c>
      <c r="D2058" t="s">
        <v>80</v>
      </c>
      <c r="E2058">
        <v>2</v>
      </c>
      <c r="F2058">
        <v>846</v>
      </c>
      <c r="G2058">
        <f>TbReceitas[[#This Row],[quantidade]]*TbReceitas[[#This Row],[preco_unitario]]</f>
        <v>1692</v>
      </c>
      <c r="H2058" t="str">
        <f>TEXT(TbReceitas[[#This Row],[data_transacao]], "aaaa-mm")</f>
        <v>2025-09</v>
      </c>
    </row>
    <row r="2059" spans="1:8">
      <c r="A2059">
        <v>2058</v>
      </c>
      <c r="B2059" s="1">
        <v>46107</v>
      </c>
      <c r="C2059" t="s">
        <v>832</v>
      </c>
      <c r="D2059" t="s">
        <v>212</v>
      </c>
      <c r="E2059">
        <v>4</v>
      </c>
      <c r="F2059">
        <v>6603</v>
      </c>
      <c r="G2059">
        <f>TbReceitas[[#This Row],[quantidade]]*TbReceitas[[#This Row],[preco_unitario]]</f>
        <v>26412</v>
      </c>
      <c r="H2059" t="str">
        <f>TEXT(TbReceitas[[#This Row],[data_transacao]], "aaaa-mm")</f>
        <v>2026-03</v>
      </c>
    </row>
    <row r="2060" spans="1:8">
      <c r="A2060">
        <v>2059</v>
      </c>
      <c r="B2060" s="1">
        <v>46125</v>
      </c>
      <c r="C2060" t="s">
        <v>1201</v>
      </c>
      <c r="D2060" t="s">
        <v>626</v>
      </c>
      <c r="E2060">
        <v>2</v>
      </c>
      <c r="F2060">
        <v>17147</v>
      </c>
      <c r="G2060">
        <f>TbReceitas[[#This Row],[quantidade]]*TbReceitas[[#This Row],[preco_unitario]]</f>
        <v>34294</v>
      </c>
      <c r="H2060" t="str">
        <f>TEXT(TbReceitas[[#This Row],[data_transacao]], "aaaa-mm")</f>
        <v>2026-04</v>
      </c>
    </row>
    <row r="2061" spans="1:8">
      <c r="A2061">
        <v>2060</v>
      </c>
      <c r="B2061" s="1">
        <v>45644</v>
      </c>
      <c r="C2061" t="s">
        <v>827</v>
      </c>
      <c r="D2061" t="s">
        <v>88</v>
      </c>
      <c r="E2061">
        <v>1</v>
      </c>
      <c r="F2061">
        <v>4181</v>
      </c>
      <c r="G2061">
        <f>TbReceitas[[#This Row],[quantidade]]*TbReceitas[[#This Row],[preco_unitario]]</f>
        <v>4181</v>
      </c>
      <c r="H2061" t="str">
        <f>TEXT(TbReceitas[[#This Row],[data_transacao]], "aaaa-mm")</f>
        <v>2024-12</v>
      </c>
    </row>
    <row r="2062" spans="1:8">
      <c r="A2062">
        <v>2061</v>
      </c>
      <c r="B2062" s="1">
        <v>46138</v>
      </c>
      <c r="C2062" t="s">
        <v>1228</v>
      </c>
      <c r="D2062" t="s">
        <v>555</v>
      </c>
      <c r="E2062">
        <v>1</v>
      </c>
      <c r="F2062">
        <v>4984</v>
      </c>
      <c r="G2062">
        <f>TbReceitas[[#This Row],[quantidade]]*TbReceitas[[#This Row],[preco_unitario]]</f>
        <v>4984</v>
      </c>
      <c r="H2062" t="str">
        <f>TEXT(TbReceitas[[#This Row],[data_transacao]], "aaaa-mm")</f>
        <v>2026-04</v>
      </c>
    </row>
    <row r="2063" spans="1:8">
      <c r="A2063">
        <v>2062</v>
      </c>
      <c r="B2063" s="1">
        <v>45659</v>
      </c>
      <c r="C2063" t="s">
        <v>742</v>
      </c>
      <c r="D2063" t="s">
        <v>413</v>
      </c>
      <c r="E2063">
        <v>4</v>
      </c>
      <c r="F2063">
        <v>738</v>
      </c>
      <c r="G2063">
        <f>TbReceitas[[#This Row],[quantidade]]*TbReceitas[[#This Row],[preco_unitario]]</f>
        <v>2952</v>
      </c>
      <c r="H2063" t="str">
        <f>TEXT(TbReceitas[[#This Row],[data_transacao]], "aaaa-mm")</f>
        <v>2025-01</v>
      </c>
    </row>
    <row r="2064" spans="1:8">
      <c r="A2064">
        <v>2063</v>
      </c>
      <c r="B2064" s="1">
        <v>45738</v>
      </c>
      <c r="C2064" t="s">
        <v>870</v>
      </c>
      <c r="D2064" t="s">
        <v>113</v>
      </c>
      <c r="E2064">
        <v>1</v>
      </c>
      <c r="F2064">
        <v>814</v>
      </c>
      <c r="G2064">
        <f>TbReceitas[[#This Row],[quantidade]]*TbReceitas[[#This Row],[preco_unitario]]</f>
        <v>814</v>
      </c>
      <c r="H2064" t="str">
        <f>TEXT(TbReceitas[[#This Row],[data_transacao]], "aaaa-mm")</f>
        <v>2025-03</v>
      </c>
    </row>
    <row r="2065" spans="1:8">
      <c r="A2065">
        <v>2064</v>
      </c>
      <c r="B2065" s="1">
        <v>45831</v>
      </c>
      <c r="C2065" t="s">
        <v>845</v>
      </c>
      <c r="D2065" t="s">
        <v>74</v>
      </c>
      <c r="E2065">
        <v>5</v>
      </c>
      <c r="F2065">
        <v>22125</v>
      </c>
      <c r="G2065">
        <f>TbReceitas[[#This Row],[quantidade]]*TbReceitas[[#This Row],[preco_unitario]]</f>
        <v>110625</v>
      </c>
      <c r="H2065" t="str">
        <f>TEXT(TbReceitas[[#This Row],[data_transacao]], "aaaa-mm")</f>
        <v>2025-06</v>
      </c>
    </row>
    <row r="2066" spans="1:8">
      <c r="A2066">
        <v>2065</v>
      </c>
      <c r="B2066" s="1">
        <v>45770</v>
      </c>
      <c r="C2066" t="s">
        <v>1655</v>
      </c>
      <c r="D2066" t="s">
        <v>563</v>
      </c>
      <c r="E2066">
        <v>4</v>
      </c>
      <c r="F2066">
        <v>3006</v>
      </c>
      <c r="G2066">
        <f>TbReceitas[[#This Row],[quantidade]]*TbReceitas[[#This Row],[preco_unitario]]</f>
        <v>12024</v>
      </c>
      <c r="H2066" t="str">
        <f>TEXT(TbReceitas[[#This Row],[data_transacao]], "aaaa-mm")</f>
        <v>2025-04</v>
      </c>
    </row>
    <row r="2067" spans="1:8">
      <c r="A2067">
        <v>2066</v>
      </c>
      <c r="B2067" s="1">
        <v>46252</v>
      </c>
      <c r="C2067" t="s">
        <v>1512</v>
      </c>
      <c r="D2067" t="s">
        <v>239</v>
      </c>
      <c r="E2067">
        <v>2</v>
      </c>
      <c r="F2067">
        <v>3369</v>
      </c>
      <c r="G2067">
        <f>TbReceitas[[#This Row],[quantidade]]*TbReceitas[[#This Row],[preco_unitario]]</f>
        <v>6738</v>
      </c>
      <c r="H2067" t="str">
        <f>TEXT(TbReceitas[[#This Row],[data_transacao]], "aaaa-mm")</f>
        <v>2026-08</v>
      </c>
    </row>
    <row r="2068" spans="1:8">
      <c r="A2068">
        <v>2067</v>
      </c>
      <c r="B2068" s="1">
        <v>46207</v>
      </c>
      <c r="C2068" t="s">
        <v>1170</v>
      </c>
      <c r="D2068" t="s">
        <v>171</v>
      </c>
      <c r="E2068">
        <v>2</v>
      </c>
      <c r="F2068">
        <v>9866</v>
      </c>
      <c r="G2068">
        <f>TbReceitas[[#This Row],[quantidade]]*TbReceitas[[#This Row],[preco_unitario]]</f>
        <v>19732</v>
      </c>
      <c r="H2068" t="str">
        <f>TEXT(TbReceitas[[#This Row],[data_transacao]], "aaaa-mm")</f>
        <v>2026-07</v>
      </c>
    </row>
    <row r="2069" spans="1:8">
      <c r="A2069">
        <v>2068</v>
      </c>
      <c r="B2069" s="1">
        <v>46118</v>
      </c>
      <c r="C2069" t="s">
        <v>1188</v>
      </c>
      <c r="D2069" t="s">
        <v>267</v>
      </c>
      <c r="E2069">
        <v>2</v>
      </c>
      <c r="F2069">
        <v>8433</v>
      </c>
      <c r="G2069">
        <f>TbReceitas[[#This Row],[quantidade]]*TbReceitas[[#This Row],[preco_unitario]]</f>
        <v>16866</v>
      </c>
      <c r="H2069" t="str">
        <f>TEXT(TbReceitas[[#This Row],[data_transacao]], "aaaa-mm")</f>
        <v>2026-04</v>
      </c>
    </row>
    <row r="2070" spans="1:8">
      <c r="A2070">
        <v>2069</v>
      </c>
      <c r="B2070" s="1">
        <v>46265</v>
      </c>
      <c r="C2070" t="s">
        <v>1301</v>
      </c>
      <c r="D2070" t="s">
        <v>461</v>
      </c>
      <c r="E2070">
        <v>4</v>
      </c>
      <c r="F2070">
        <v>1535</v>
      </c>
      <c r="G2070">
        <f>TbReceitas[[#This Row],[quantidade]]*TbReceitas[[#This Row],[preco_unitario]]</f>
        <v>6140</v>
      </c>
      <c r="H2070" t="str">
        <f>TEXT(TbReceitas[[#This Row],[data_transacao]], "aaaa-mm")</f>
        <v>2026-08</v>
      </c>
    </row>
    <row r="2071" spans="1:8">
      <c r="A2071">
        <v>2070</v>
      </c>
      <c r="B2071" s="1">
        <v>46060</v>
      </c>
      <c r="C2071" t="s">
        <v>1573</v>
      </c>
      <c r="D2071" t="s">
        <v>460</v>
      </c>
      <c r="E2071">
        <v>3</v>
      </c>
      <c r="F2071">
        <v>24504</v>
      </c>
      <c r="G2071">
        <f>TbReceitas[[#This Row],[quantidade]]*TbReceitas[[#This Row],[preco_unitario]]</f>
        <v>73512</v>
      </c>
      <c r="H2071" t="str">
        <f>TEXT(TbReceitas[[#This Row],[data_transacao]], "aaaa-mm")</f>
        <v>2026-02</v>
      </c>
    </row>
    <row r="2072" spans="1:8">
      <c r="A2072">
        <v>2071</v>
      </c>
      <c r="B2072" s="1">
        <v>45955</v>
      </c>
      <c r="C2072" t="s">
        <v>1421</v>
      </c>
      <c r="D2072" t="s">
        <v>547</v>
      </c>
      <c r="E2072">
        <v>4</v>
      </c>
      <c r="F2072">
        <v>1201</v>
      </c>
      <c r="G2072">
        <f>TbReceitas[[#This Row],[quantidade]]*TbReceitas[[#This Row],[preco_unitario]]</f>
        <v>4804</v>
      </c>
      <c r="H2072" t="str">
        <f>TEXT(TbReceitas[[#This Row],[data_transacao]], "aaaa-mm")</f>
        <v>2025-10</v>
      </c>
    </row>
    <row r="2073" spans="1:8">
      <c r="A2073">
        <v>2072</v>
      </c>
      <c r="B2073" s="1">
        <v>46134</v>
      </c>
      <c r="C2073" t="s">
        <v>1316</v>
      </c>
      <c r="D2073" t="s">
        <v>42</v>
      </c>
      <c r="E2073">
        <v>1</v>
      </c>
      <c r="F2073">
        <v>23918</v>
      </c>
      <c r="G2073">
        <f>TbReceitas[[#This Row],[quantidade]]*TbReceitas[[#This Row],[preco_unitario]]</f>
        <v>23918</v>
      </c>
      <c r="H2073" t="str">
        <f>TEXT(TbReceitas[[#This Row],[data_transacao]], "aaaa-mm")</f>
        <v>2026-04</v>
      </c>
    </row>
    <row r="2074" spans="1:8">
      <c r="A2074">
        <v>2073</v>
      </c>
      <c r="B2074" s="1">
        <v>46274</v>
      </c>
      <c r="C2074" t="s">
        <v>946</v>
      </c>
      <c r="D2074" t="s">
        <v>203</v>
      </c>
      <c r="E2074">
        <v>4</v>
      </c>
      <c r="F2074">
        <v>1934</v>
      </c>
      <c r="G2074">
        <f>TbReceitas[[#This Row],[quantidade]]*TbReceitas[[#This Row],[preco_unitario]]</f>
        <v>7736</v>
      </c>
      <c r="H2074" t="str">
        <f>TEXT(TbReceitas[[#This Row],[data_transacao]], "aaaa-mm")</f>
        <v>2026-09</v>
      </c>
    </row>
    <row r="2075" spans="1:8">
      <c r="A2075">
        <v>2074</v>
      </c>
      <c r="B2075" s="1">
        <v>45928</v>
      </c>
      <c r="C2075" t="s">
        <v>1588</v>
      </c>
      <c r="D2075" t="s">
        <v>177</v>
      </c>
      <c r="E2075">
        <v>4</v>
      </c>
      <c r="F2075">
        <v>13512</v>
      </c>
      <c r="G2075">
        <f>TbReceitas[[#This Row],[quantidade]]*TbReceitas[[#This Row],[preco_unitario]]</f>
        <v>54048</v>
      </c>
      <c r="H2075" t="str">
        <f>TEXT(TbReceitas[[#This Row],[data_transacao]], "aaaa-mm")</f>
        <v>2025-09</v>
      </c>
    </row>
    <row r="2076" spans="1:8">
      <c r="A2076">
        <v>2075</v>
      </c>
      <c r="B2076" s="1">
        <v>45585</v>
      </c>
      <c r="C2076" t="s">
        <v>1163</v>
      </c>
      <c r="D2076" t="s">
        <v>142</v>
      </c>
      <c r="E2076">
        <v>1</v>
      </c>
      <c r="F2076">
        <v>3871</v>
      </c>
      <c r="G2076">
        <f>TbReceitas[[#This Row],[quantidade]]*TbReceitas[[#This Row],[preco_unitario]]</f>
        <v>3871</v>
      </c>
      <c r="H2076" t="str">
        <f>TEXT(TbReceitas[[#This Row],[data_transacao]], "aaaa-mm")</f>
        <v>2024-10</v>
      </c>
    </row>
    <row r="2077" spans="1:8">
      <c r="A2077">
        <v>2076</v>
      </c>
      <c r="B2077" s="1">
        <v>45688</v>
      </c>
      <c r="C2077" t="s">
        <v>1686</v>
      </c>
      <c r="D2077" t="s">
        <v>194</v>
      </c>
      <c r="E2077">
        <v>5</v>
      </c>
      <c r="F2077">
        <v>20829</v>
      </c>
      <c r="G2077">
        <f>TbReceitas[[#This Row],[quantidade]]*TbReceitas[[#This Row],[preco_unitario]]</f>
        <v>104145</v>
      </c>
      <c r="H2077" t="str">
        <f>TEXT(TbReceitas[[#This Row],[data_transacao]], "aaaa-mm")</f>
        <v>2025-01</v>
      </c>
    </row>
    <row r="2078" spans="1:8">
      <c r="A2078">
        <v>2077</v>
      </c>
      <c r="B2078" s="1">
        <v>46180</v>
      </c>
      <c r="C2078" t="s">
        <v>1435</v>
      </c>
      <c r="D2078" t="s">
        <v>159</v>
      </c>
      <c r="E2078">
        <v>1</v>
      </c>
      <c r="F2078">
        <v>16217</v>
      </c>
      <c r="G2078">
        <f>TbReceitas[[#This Row],[quantidade]]*TbReceitas[[#This Row],[preco_unitario]]</f>
        <v>16217</v>
      </c>
      <c r="H2078" t="str">
        <f>TEXT(TbReceitas[[#This Row],[data_transacao]], "aaaa-mm")</f>
        <v>2026-06</v>
      </c>
    </row>
    <row r="2079" spans="1:8">
      <c r="A2079">
        <v>2078</v>
      </c>
      <c r="B2079" s="1">
        <v>45808</v>
      </c>
      <c r="C2079" t="s">
        <v>1605</v>
      </c>
      <c r="D2079" t="s">
        <v>676</v>
      </c>
      <c r="E2079">
        <v>2</v>
      </c>
      <c r="F2079">
        <v>12038</v>
      </c>
      <c r="G2079">
        <f>TbReceitas[[#This Row],[quantidade]]*TbReceitas[[#This Row],[preco_unitario]]</f>
        <v>24076</v>
      </c>
      <c r="H2079" t="str">
        <f>TEXT(TbReceitas[[#This Row],[data_transacao]], "aaaa-mm")</f>
        <v>2025-05</v>
      </c>
    </row>
    <row r="2080" spans="1:8">
      <c r="A2080">
        <v>2079</v>
      </c>
      <c r="B2080" s="1">
        <v>46080</v>
      </c>
      <c r="C2080" t="s">
        <v>1152</v>
      </c>
      <c r="D2080" t="s">
        <v>679</v>
      </c>
      <c r="E2080">
        <v>1</v>
      </c>
      <c r="F2080">
        <v>327</v>
      </c>
      <c r="G2080">
        <f>TbReceitas[[#This Row],[quantidade]]*TbReceitas[[#This Row],[preco_unitario]]</f>
        <v>327</v>
      </c>
      <c r="H2080" t="str">
        <f>TEXT(TbReceitas[[#This Row],[data_transacao]], "aaaa-mm")</f>
        <v>2026-02</v>
      </c>
    </row>
    <row r="2081" spans="1:8">
      <c r="A2081">
        <v>2080</v>
      </c>
      <c r="B2081" s="1">
        <v>46256</v>
      </c>
      <c r="C2081" t="s">
        <v>1687</v>
      </c>
      <c r="D2081" t="s">
        <v>322</v>
      </c>
      <c r="E2081">
        <v>3</v>
      </c>
      <c r="F2081">
        <v>12658</v>
      </c>
      <c r="G2081">
        <f>TbReceitas[[#This Row],[quantidade]]*TbReceitas[[#This Row],[preco_unitario]]</f>
        <v>37974</v>
      </c>
      <c r="H2081" t="str">
        <f>TEXT(TbReceitas[[#This Row],[data_transacao]], "aaaa-mm")</f>
        <v>2026-08</v>
      </c>
    </row>
    <row r="2082" spans="1:8">
      <c r="A2082">
        <v>2081</v>
      </c>
      <c r="B2082" s="1">
        <v>45935</v>
      </c>
      <c r="C2082" t="s">
        <v>1688</v>
      </c>
      <c r="D2082" t="s">
        <v>465</v>
      </c>
      <c r="E2082">
        <v>2</v>
      </c>
      <c r="F2082">
        <v>6944</v>
      </c>
      <c r="G2082">
        <f>TbReceitas[[#This Row],[quantidade]]*TbReceitas[[#This Row],[preco_unitario]]</f>
        <v>13888</v>
      </c>
      <c r="H2082" t="str">
        <f>TEXT(TbReceitas[[#This Row],[data_transacao]], "aaaa-mm")</f>
        <v>2025-10</v>
      </c>
    </row>
    <row r="2083" spans="1:8">
      <c r="A2083">
        <v>2082</v>
      </c>
      <c r="B2083" s="1">
        <v>45987</v>
      </c>
      <c r="C2083" t="s">
        <v>773</v>
      </c>
      <c r="D2083" t="s">
        <v>201</v>
      </c>
      <c r="E2083">
        <v>3</v>
      </c>
      <c r="F2083">
        <v>22649</v>
      </c>
      <c r="G2083">
        <f>TbReceitas[[#This Row],[quantidade]]*TbReceitas[[#This Row],[preco_unitario]]</f>
        <v>67947</v>
      </c>
      <c r="H2083" t="str">
        <f>TEXT(TbReceitas[[#This Row],[data_transacao]], "aaaa-mm")</f>
        <v>2025-11</v>
      </c>
    </row>
    <row r="2084" spans="1:8">
      <c r="A2084">
        <v>2083</v>
      </c>
      <c r="B2084" s="1">
        <v>45924</v>
      </c>
      <c r="C2084" t="s">
        <v>1338</v>
      </c>
      <c r="D2084" t="s">
        <v>62</v>
      </c>
      <c r="E2084">
        <v>3</v>
      </c>
      <c r="F2084">
        <v>1833</v>
      </c>
      <c r="G2084">
        <f>TbReceitas[[#This Row],[quantidade]]*TbReceitas[[#This Row],[preco_unitario]]</f>
        <v>5499</v>
      </c>
      <c r="H2084" t="str">
        <f>TEXT(TbReceitas[[#This Row],[data_transacao]], "aaaa-mm")</f>
        <v>2025-09</v>
      </c>
    </row>
    <row r="2085" spans="1:8">
      <c r="A2085">
        <v>2084</v>
      </c>
      <c r="B2085" s="1">
        <v>45954</v>
      </c>
      <c r="C2085" t="s">
        <v>1142</v>
      </c>
      <c r="D2085" t="s">
        <v>634</v>
      </c>
      <c r="E2085">
        <v>4</v>
      </c>
      <c r="F2085">
        <v>21686</v>
      </c>
      <c r="G2085">
        <f>TbReceitas[[#This Row],[quantidade]]*TbReceitas[[#This Row],[preco_unitario]]</f>
        <v>86744</v>
      </c>
      <c r="H2085" t="str">
        <f>TEXT(TbReceitas[[#This Row],[data_transacao]], "aaaa-mm")</f>
        <v>2025-10</v>
      </c>
    </row>
    <row r="2086" spans="1:8">
      <c r="A2086">
        <v>2085</v>
      </c>
      <c r="B2086" s="1">
        <v>45718</v>
      </c>
      <c r="C2086" t="s">
        <v>1091</v>
      </c>
      <c r="D2086" t="s">
        <v>64</v>
      </c>
      <c r="E2086">
        <v>3</v>
      </c>
      <c r="F2086">
        <v>10452</v>
      </c>
      <c r="G2086">
        <f>TbReceitas[[#This Row],[quantidade]]*TbReceitas[[#This Row],[preco_unitario]]</f>
        <v>31356</v>
      </c>
      <c r="H2086" t="str">
        <f>TEXT(TbReceitas[[#This Row],[data_transacao]], "aaaa-mm")</f>
        <v>2025-03</v>
      </c>
    </row>
    <row r="2087" spans="1:8">
      <c r="A2087">
        <v>2086</v>
      </c>
      <c r="B2087" s="1">
        <v>45609</v>
      </c>
      <c r="C2087" t="s">
        <v>718</v>
      </c>
      <c r="D2087" t="s">
        <v>496</v>
      </c>
      <c r="E2087">
        <v>4</v>
      </c>
      <c r="F2087">
        <v>2496</v>
      </c>
      <c r="G2087">
        <f>TbReceitas[[#This Row],[quantidade]]*TbReceitas[[#This Row],[preco_unitario]]</f>
        <v>9984</v>
      </c>
      <c r="H2087" t="str">
        <f>TEXT(TbReceitas[[#This Row],[data_transacao]], "aaaa-mm")</f>
        <v>2024-11</v>
      </c>
    </row>
    <row r="2088" spans="1:8">
      <c r="A2088">
        <v>2087</v>
      </c>
      <c r="B2088" s="1">
        <v>45664</v>
      </c>
      <c r="C2088" t="s">
        <v>1333</v>
      </c>
      <c r="D2088" t="s">
        <v>440</v>
      </c>
      <c r="E2088">
        <v>5</v>
      </c>
      <c r="F2088">
        <v>11335</v>
      </c>
      <c r="G2088">
        <f>TbReceitas[[#This Row],[quantidade]]*TbReceitas[[#This Row],[preco_unitario]]</f>
        <v>56675</v>
      </c>
      <c r="H2088" t="str">
        <f>TEXT(TbReceitas[[#This Row],[data_transacao]], "aaaa-mm")</f>
        <v>2025-01</v>
      </c>
    </row>
    <row r="2089" spans="1:8">
      <c r="A2089">
        <v>2088</v>
      </c>
      <c r="B2089" s="1">
        <v>45754</v>
      </c>
      <c r="C2089" t="s">
        <v>1451</v>
      </c>
      <c r="D2089" t="s">
        <v>102</v>
      </c>
      <c r="E2089">
        <v>1</v>
      </c>
      <c r="F2089">
        <v>10748</v>
      </c>
      <c r="G2089">
        <f>TbReceitas[[#This Row],[quantidade]]*TbReceitas[[#This Row],[preco_unitario]]</f>
        <v>10748</v>
      </c>
      <c r="H2089" t="str">
        <f>TEXT(TbReceitas[[#This Row],[data_transacao]], "aaaa-mm")</f>
        <v>2025-04</v>
      </c>
    </row>
    <row r="2090" spans="1:8">
      <c r="A2090">
        <v>2089</v>
      </c>
      <c r="B2090" s="1">
        <v>46003</v>
      </c>
      <c r="C2090" t="s">
        <v>1518</v>
      </c>
      <c r="D2090" t="s">
        <v>357</v>
      </c>
      <c r="E2090">
        <v>5</v>
      </c>
      <c r="F2090">
        <v>7516</v>
      </c>
      <c r="G2090">
        <f>TbReceitas[[#This Row],[quantidade]]*TbReceitas[[#This Row],[preco_unitario]]</f>
        <v>37580</v>
      </c>
      <c r="H2090" t="str">
        <f>TEXT(TbReceitas[[#This Row],[data_transacao]], "aaaa-mm")</f>
        <v>2025-12</v>
      </c>
    </row>
    <row r="2091" spans="1:8">
      <c r="A2091">
        <v>2090</v>
      </c>
      <c r="B2091" s="1">
        <v>45560</v>
      </c>
      <c r="C2091" t="s">
        <v>1324</v>
      </c>
      <c r="D2091" t="s">
        <v>611</v>
      </c>
      <c r="E2091">
        <v>1</v>
      </c>
      <c r="F2091">
        <v>20719</v>
      </c>
      <c r="G2091">
        <f>TbReceitas[[#This Row],[quantidade]]*TbReceitas[[#This Row],[preco_unitario]]</f>
        <v>20719</v>
      </c>
      <c r="H2091" t="str">
        <f>TEXT(TbReceitas[[#This Row],[data_transacao]], "aaaa-mm")</f>
        <v>2024-09</v>
      </c>
    </row>
    <row r="2092" spans="1:8">
      <c r="A2092">
        <v>2091</v>
      </c>
      <c r="B2092" s="1">
        <v>45726</v>
      </c>
      <c r="C2092" t="s">
        <v>1689</v>
      </c>
      <c r="D2092" t="s">
        <v>679</v>
      </c>
      <c r="E2092">
        <v>1</v>
      </c>
      <c r="F2092">
        <v>327</v>
      </c>
      <c r="G2092">
        <f>TbReceitas[[#This Row],[quantidade]]*TbReceitas[[#This Row],[preco_unitario]]</f>
        <v>327</v>
      </c>
      <c r="H2092" t="str">
        <f>TEXT(TbReceitas[[#This Row],[data_transacao]], "aaaa-mm")</f>
        <v>2025-03</v>
      </c>
    </row>
    <row r="2093" spans="1:8">
      <c r="A2093">
        <v>2092</v>
      </c>
      <c r="B2093" s="1">
        <v>46004</v>
      </c>
      <c r="C2093" t="s">
        <v>856</v>
      </c>
      <c r="D2093" t="s">
        <v>189</v>
      </c>
      <c r="E2093">
        <v>2</v>
      </c>
      <c r="F2093">
        <v>9556</v>
      </c>
      <c r="G2093">
        <f>TbReceitas[[#This Row],[quantidade]]*TbReceitas[[#This Row],[preco_unitario]]</f>
        <v>19112</v>
      </c>
      <c r="H2093" t="str">
        <f>TEXT(TbReceitas[[#This Row],[data_transacao]], "aaaa-mm")</f>
        <v>2025-12</v>
      </c>
    </row>
    <row r="2094" spans="1:8">
      <c r="A2094">
        <v>2093</v>
      </c>
      <c r="B2094" s="1">
        <v>45804</v>
      </c>
      <c r="C2094" t="s">
        <v>1399</v>
      </c>
      <c r="D2094" t="s">
        <v>42</v>
      </c>
      <c r="E2094">
        <v>5</v>
      </c>
      <c r="F2094">
        <v>23918</v>
      </c>
      <c r="G2094">
        <f>TbReceitas[[#This Row],[quantidade]]*TbReceitas[[#This Row],[preco_unitario]]</f>
        <v>119590</v>
      </c>
      <c r="H2094" t="str">
        <f>TEXT(TbReceitas[[#This Row],[data_transacao]], "aaaa-mm")</f>
        <v>2025-05</v>
      </c>
    </row>
    <row r="2095" spans="1:8">
      <c r="A2095">
        <v>2094</v>
      </c>
      <c r="B2095" s="1">
        <v>45816</v>
      </c>
      <c r="C2095" t="s">
        <v>1525</v>
      </c>
      <c r="D2095" t="s">
        <v>71</v>
      </c>
      <c r="E2095">
        <v>2</v>
      </c>
      <c r="F2095">
        <v>3011</v>
      </c>
      <c r="G2095">
        <f>TbReceitas[[#This Row],[quantidade]]*TbReceitas[[#This Row],[preco_unitario]]</f>
        <v>6022</v>
      </c>
      <c r="H2095" t="str">
        <f>TEXT(TbReceitas[[#This Row],[data_transacao]], "aaaa-mm")</f>
        <v>2025-06</v>
      </c>
    </row>
    <row r="2096" spans="1:8">
      <c r="A2096">
        <v>2095</v>
      </c>
      <c r="B2096" s="1">
        <v>46256</v>
      </c>
      <c r="C2096" t="s">
        <v>1690</v>
      </c>
      <c r="D2096" t="s">
        <v>573</v>
      </c>
      <c r="E2096">
        <v>4</v>
      </c>
      <c r="F2096">
        <v>1212</v>
      </c>
      <c r="G2096">
        <f>TbReceitas[[#This Row],[quantidade]]*TbReceitas[[#This Row],[preco_unitario]]</f>
        <v>4848</v>
      </c>
      <c r="H2096" t="str">
        <f>TEXT(TbReceitas[[#This Row],[data_transacao]], "aaaa-mm")</f>
        <v>2026-08</v>
      </c>
    </row>
    <row r="2097" spans="1:8">
      <c r="A2097">
        <v>2096</v>
      </c>
      <c r="B2097" s="1">
        <v>46170</v>
      </c>
      <c r="C2097" t="s">
        <v>813</v>
      </c>
      <c r="D2097" t="s">
        <v>375</v>
      </c>
      <c r="E2097">
        <v>3</v>
      </c>
      <c r="F2097">
        <v>3952</v>
      </c>
      <c r="G2097">
        <f>TbReceitas[[#This Row],[quantidade]]*TbReceitas[[#This Row],[preco_unitario]]</f>
        <v>11856</v>
      </c>
      <c r="H2097" t="str">
        <f>TEXT(TbReceitas[[#This Row],[data_transacao]], "aaaa-mm")</f>
        <v>2026-05</v>
      </c>
    </row>
    <row r="2098" spans="1:8">
      <c r="A2098">
        <v>2097</v>
      </c>
      <c r="B2098" s="1">
        <v>45899</v>
      </c>
      <c r="C2098" t="s">
        <v>867</v>
      </c>
      <c r="D2098" t="s">
        <v>115</v>
      </c>
      <c r="E2098">
        <v>2</v>
      </c>
      <c r="F2098">
        <v>10588</v>
      </c>
      <c r="G2098">
        <f>TbReceitas[[#This Row],[quantidade]]*TbReceitas[[#This Row],[preco_unitario]]</f>
        <v>21176</v>
      </c>
      <c r="H2098" t="str">
        <f>TEXT(TbReceitas[[#This Row],[data_transacao]], "aaaa-mm")</f>
        <v>2025-08</v>
      </c>
    </row>
    <row r="2099" spans="1:8">
      <c r="A2099">
        <v>2098</v>
      </c>
      <c r="B2099" s="1">
        <v>45970</v>
      </c>
      <c r="C2099" t="s">
        <v>1289</v>
      </c>
      <c r="D2099" t="s">
        <v>465</v>
      </c>
      <c r="E2099">
        <v>2</v>
      </c>
      <c r="F2099">
        <v>6944</v>
      </c>
      <c r="G2099">
        <f>TbReceitas[[#This Row],[quantidade]]*TbReceitas[[#This Row],[preco_unitario]]</f>
        <v>13888</v>
      </c>
      <c r="H2099" t="str">
        <f>TEXT(TbReceitas[[#This Row],[data_transacao]], "aaaa-mm")</f>
        <v>2025-11</v>
      </c>
    </row>
    <row r="2100" spans="1:8">
      <c r="A2100">
        <v>2099</v>
      </c>
      <c r="B2100" s="1">
        <v>46274</v>
      </c>
      <c r="C2100" t="s">
        <v>1082</v>
      </c>
      <c r="D2100" t="s">
        <v>574</v>
      </c>
      <c r="E2100">
        <v>5</v>
      </c>
      <c r="F2100">
        <v>19723</v>
      </c>
      <c r="G2100">
        <f>TbReceitas[[#This Row],[quantidade]]*TbReceitas[[#This Row],[preco_unitario]]</f>
        <v>98615</v>
      </c>
      <c r="H2100" t="str">
        <f>TEXT(TbReceitas[[#This Row],[data_transacao]], "aaaa-mm")</f>
        <v>2026-09</v>
      </c>
    </row>
    <row r="2101" spans="1:8">
      <c r="A2101">
        <v>2100</v>
      </c>
      <c r="B2101" s="1">
        <v>45891</v>
      </c>
      <c r="C2101" t="s">
        <v>1226</v>
      </c>
      <c r="D2101" t="s">
        <v>456</v>
      </c>
      <c r="E2101">
        <v>4</v>
      </c>
      <c r="F2101">
        <v>4361</v>
      </c>
      <c r="G2101">
        <f>TbReceitas[[#This Row],[quantidade]]*TbReceitas[[#This Row],[preco_unitario]]</f>
        <v>17444</v>
      </c>
      <c r="H2101" t="str">
        <f>TEXT(TbReceitas[[#This Row],[data_transacao]], "aaaa-mm")</f>
        <v>2025-08</v>
      </c>
    </row>
    <row r="2102" spans="1:8">
      <c r="A2102">
        <v>2101</v>
      </c>
      <c r="B2102" s="1">
        <v>45589</v>
      </c>
      <c r="C2102" t="s">
        <v>1691</v>
      </c>
      <c r="D2102" t="s">
        <v>562</v>
      </c>
      <c r="E2102">
        <v>5</v>
      </c>
      <c r="F2102">
        <v>1203</v>
      </c>
      <c r="G2102">
        <f>TbReceitas[[#This Row],[quantidade]]*TbReceitas[[#This Row],[preco_unitario]]</f>
        <v>6015</v>
      </c>
      <c r="H2102" t="str">
        <f>TEXT(TbReceitas[[#This Row],[data_transacao]], "aaaa-mm")</f>
        <v>2024-10</v>
      </c>
    </row>
    <row r="2103" spans="1:8">
      <c r="A2103">
        <v>2102</v>
      </c>
      <c r="B2103" s="1">
        <v>46245</v>
      </c>
      <c r="C2103" t="s">
        <v>1582</v>
      </c>
      <c r="D2103" t="s">
        <v>570</v>
      </c>
      <c r="E2103">
        <v>5</v>
      </c>
      <c r="F2103">
        <v>21533</v>
      </c>
      <c r="G2103">
        <f>TbReceitas[[#This Row],[quantidade]]*TbReceitas[[#This Row],[preco_unitario]]</f>
        <v>107665</v>
      </c>
      <c r="H2103" t="str">
        <f>TEXT(TbReceitas[[#This Row],[data_transacao]], "aaaa-mm")</f>
        <v>2026-08</v>
      </c>
    </row>
    <row r="2104" spans="1:8">
      <c r="A2104">
        <v>2103</v>
      </c>
      <c r="B2104" s="1">
        <v>46241</v>
      </c>
      <c r="C2104" t="s">
        <v>1092</v>
      </c>
      <c r="D2104" t="s">
        <v>700</v>
      </c>
      <c r="E2104">
        <v>2</v>
      </c>
      <c r="F2104">
        <v>17759</v>
      </c>
      <c r="G2104">
        <f>TbReceitas[[#This Row],[quantidade]]*TbReceitas[[#This Row],[preco_unitario]]</f>
        <v>35518</v>
      </c>
      <c r="H2104" t="str">
        <f>TEXT(TbReceitas[[#This Row],[data_transacao]], "aaaa-mm")</f>
        <v>2026-08</v>
      </c>
    </row>
    <row r="2105" spans="1:8">
      <c r="A2105">
        <v>2104</v>
      </c>
      <c r="B2105" s="1">
        <v>45677</v>
      </c>
      <c r="C2105" t="s">
        <v>1353</v>
      </c>
      <c r="D2105" t="s">
        <v>547</v>
      </c>
      <c r="E2105">
        <v>3</v>
      </c>
      <c r="F2105">
        <v>1201</v>
      </c>
      <c r="G2105">
        <f>TbReceitas[[#This Row],[quantidade]]*TbReceitas[[#This Row],[preco_unitario]]</f>
        <v>3603</v>
      </c>
      <c r="H2105" t="str">
        <f>TEXT(TbReceitas[[#This Row],[data_transacao]], "aaaa-mm")</f>
        <v>2025-01</v>
      </c>
    </row>
    <row r="2106" spans="1:8">
      <c r="A2106">
        <v>2105</v>
      </c>
      <c r="B2106" s="1">
        <v>46194</v>
      </c>
      <c r="C2106" t="s">
        <v>1544</v>
      </c>
      <c r="D2106" t="s">
        <v>577</v>
      </c>
      <c r="E2106">
        <v>3</v>
      </c>
      <c r="F2106">
        <v>13816</v>
      </c>
      <c r="G2106">
        <f>TbReceitas[[#This Row],[quantidade]]*TbReceitas[[#This Row],[preco_unitario]]</f>
        <v>41448</v>
      </c>
      <c r="H2106" t="str">
        <f>TEXT(TbReceitas[[#This Row],[data_transacao]], "aaaa-mm")</f>
        <v>2026-06</v>
      </c>
    </row>
    <row r="2107" spans="1:8">
      <c r="A2107">
        <v>2106</v>
      </c>
      <c r="B2107" s="1">
        <v>46003</v>
      </c>
      <c r="C2107" t="s">
        <v>887</v>
      </c>
      <c r="D2107" t="s">
        <v>47</v>
      </c>
      <c r="E2107">
        <v>3</v>
      </c>
      <c r="F2107">
        <v>854</v>
      </c>
      <c r="G2107">
        <f>TbReceitas[[#This Row],[quantidade]]*TbReceitas[[#This Row],[preco_unitario]]</f>
        <v>2562</v>
      </c>
      <c r="H2107" t="str">
        <f>TEXT(TbReceitas[[#This Row],[data_transacao]], "aaaa-mm")</f>
        <v>2025-12</v>
      </c>
    </row>
    <row r="2108" spans="1:8">
      <c r="A2108">
        <v>2107</v>
      </c>
      <c r="B2108" s="1">
        <v>45551</v>
      </c>
      <c r="C2108" t="s">
        <v>1692</v>
      </c>
      <c r="D2108" t="s">
        <v>425</v>
      </c>
      <c r="E2108">
        <v>4</v>
      </c>
      <c r="F2108">
        <v>24879</v>
      </c>
      <c r="G2108">
        <f>TbReceitas[[#This Row],[quantidade]]*TbReceitas[[#This Row],[preco_unitario]]</f>
        <v>99516</v>
      </c>
      <c r="H2108" t="str">
        <f>TEXT(TbReceitas[[#This Row],[data_transacao]], "aaaa-mm")</f>
        <v>2024-09</v>
      </c>
    </row>
    <row r="2109" spans="1:8">
      <c r="A2109">
        <v>2108</v>
      </c>
      <c r="B2109" s="1">
        <v>45645</v>
      </c>
      <c r="C2109" t="s">
        <v>1375</v>
      </c>
      <c r="D2109" t="s">
        <v>183</v>
      </c>
      <c r="E2109">
        <v>4</v>
      </c>
      <c r="F2109">
        <v>21471</v>
      </c>
      <c r="G2109">
        <f>TbReceitas[[#This Row],[quantidade]]*TbReceitas[[#This Row],[preco_unitario]]</f>
        <v>85884</v>
      </c>
      <c r="H2109" t="str">
        <f>TEXT(TbReceitas[[#This Row],[data_transacao]], "aaaa-mm")</f>
        <v>2024-12</v>
      </c>
    </row>
    <row r="2110" spans="1:8">
      <c r="A2110">
        <v>2109</v>
      </c>
      <c r="B2110" s="1">
        <v>46273</v>
      </c>
      <c r="C2110" t="s">
        <v>1641</v>
      </c>
      <c r="D2110" t="s">
        <v>10</v>
      </c>
      <c r="E2110">
        <v>3</v>
      </c>
      <c r="F2110">
        <v>9876</v>
      </c>
      <c r="G2110">
        <f>TbReceitas[[#This Row],[quantidade]]*TbReceitas[[#This Row],[preco_unitario]]</f>
        <v>29628</v>
      </c>
      <c r="H2110" t="str">
        <f>TEXT(TbReceitas[[#This Row],[data_transacao]], "aaaa-mm")</f>
        <v>2026-09</v>
      </c>
    </row>
    <row r="2111" spans="1:8">
      <c r="A2111">
        <v>2110</v>
      </c>
      <c r="B2111" s="1">
        <v>46107</v>
      </c>
      <c r="C2111" t="s">
        <v>1693</v>
      </c>
      <c r="D2111" t="s">
        <v>409</v>
      </c>
      <c r="E2111">
        <v>1</v>
      </c>
      <c r="F2111">
        <v>6002</v>
      </c>
      <c r="G2111">
        <f>TbReceitas[[#This Row],[quantidade]]*TbReceitas[[#This Row],[preco_unitario]]</f>
        <v>6002</v>
      </c>
      <c r="H2111" t="str">
        <f>TEXT(TbReceitas[[#This Row],[data_transacao]], "aaaa-mm")</f>
        <v>2026-03</v>
      </c>
    </row>
    <row r="2112" spans="1:8">
      <c r="A2112">
        <v>2111</v>
      </c>
      <c r="B2112" s="1">
        <v>45820</v>
      </c>
      <c r="C2112" t="s">
        <v>1694</v>
      </c>
      <c r="D2112" t="s">
        <v>420</v>
      </c>
      <c r="E2112">
        <v>5</v>
      </c>
      <c r="F2112">
        <v>24341</v>
      </c>
      <c r="G2112">
        <f>TbReceitas[[#This Row],[quantidade]]*TbReceitas[[#This Row],[preco_unitario]]</f>
        <v>121705</v>
      </c>
      <c r="H2112" t="str">
        <f>TEXT(TbReceitas[[#This Row],[data_transacao]], "aaaa-mm")</f>
        <v>2025-06</v>
      </c>
    </row>
    <row r="2113" spans="1:8">
      <c r="A2113">
        <v>2112</v>
      </c>
      <c r="B2113" s="1">
        <v>45863</v>
      </c>
      <c r="C2113" t="s">
        <v>1625</v>
      </c>
      <c r="D2113" t="s">
        <v>585</v>
      </c>
      <c r="E2113">
        <v>1</v>
      </c>
      <c r="F2113">
        <v>19456</v>
      </c>
      <c r="G2113">
        <f>TbReceitas[[#This Row],[quantidade]]*TbReceitas[[#This Row],[preco_unitario]]</f>
        <v>19456</v>
      </c>
      <c r="H2113" t="str">
        <f>TEXT(TbReceitas[[#This Row],[data_transacao]], "aaaa-mm")</f>
        <v>2025-07</v>
      </c>
    </row>
    <row r="2114" spans="1:8">
      <c r="A2114">
        <v>2113</v>
      </c>
      <c r="B2114" s="1">
        <v>46019</v>
      </c>
      <c r="C2114" t="s">
        <v>1111</v>
      </c>
      <c r="D2114" t="s">
        <v>488</v>
      </c>
      <c r="E2114">
        <v>5</v>
      </c>
      <c r="F2114">
        <v>7594</v>
      </c>
      <c r="G2114">
        <f>TbReceitas[[#This Row],[quantidade]]*TbReceitas[[#This Row],[preco_unitario]]</f>
        <v>37970</v>
      </c>
      <c r="H2114" t="str">
        <f>TEXT(TbReceitas[[#This Row],[data_transacao]], "aaaa-mm")</f>
        <v>2025-12</v>
      </c>
    </row>
    <row r="2115" spans="1:8">
      <c r="A2115">
        <v>2114</v>
      </c>
      <c r="B2115" s="1">
        <v>46093</v>
      </c>
      <c r="C2115" t="s">
        <v>813</v>
      </c>
      <c r="D2115" t="s">
        <v>419</v>
      </c>
      <c r="E2115">
        <v>1</v>
      </c>
      <c r="F2115">
        <v>22234</v>
      </c>
      <c r="G2115">
        <f>TbReceitas[[#This Row],[quantidade]]*TbReceitas[[#This Row],[preco_unitario]]</f>
        <v>22234</v>
      </c>
      <c r="H2115" t="str">
        <f>TEXT(TbReceitas[[#This Row],[data_transacao]], "aaaa-mm")</f>
        <v>2026-03</v>
      </c>
    </row>
    <row r="2116" spans="1:8">
      <c r="A2116">
        <v>2115</v>
      </c>
      <c r="B2116" s="1">
        <v>46250</v>
      </c>
      <c r="C2116" t="s">
        <v>931</v>
      </c>
      <c r="D2116" t="s">
        <v>482</v>
      </c>
      <c r="E2116">
        <v>1</v>
      </c>
      <c r="F2116">
        <v>8304</v>
      </c>
      <c r="G2116">
        <f>TbReceitas[[#This Row],[quantidade]]*TbReceitas[[#This Row],[preco_unitario]]</f>
        <v>8304</v>
      </c>
      <c r="H2116" t="str">
        <f>TEXT(TbReceitas[[#This Row],[data_transacao]], "aaaa-mm")</f>
        <v>2026-08</v>
      </c>
    </row>
    <row r="2117" spans="1:8">
      <c r="A2117">
        <v>2116</v>
      </c>
      <c r="B2117" s="1">
        <v>46203</v>
      </c>
      <c r="C2117" t="s">
        <v>852</v>
      </c>
      <c r="D2117" t="s">
        <v>454</v>
      </c>
      <c r="E2117">
        <v>3</v>
      </c>
      <c r="F2117">
        <v>4692</v>
      </c>
      <c r="G2117">
        <f>TbReceitas[[#This Row],[quantidade]]*TbReceitas[[#This Row],[preco_unitario]]</f>
        <v>14076</v>
      </c>
      <c r="H2117" t="str">
        <f>TEXT(TbReceitas[[#This Row],[data_transacao]], "aaaa-mm")</f>
        <v>2026-06</v>
      </c>
    </row>
    <row r="2118" spans="1:8">
      <c r="A2118">
        <v>2117</v>
      </c>
      <c r="B2118" s="1">
        <v>46072</v>
      </c>
      <c r="C2118" t="s">
        <v>1314</v>
      </c>
      <c r="D2118" t="s">
        <v>581</v>
      </c>
      <c r="E2118">
        <v>3</v>
      </c>
      <c r="F2118">
        <v>2067</v>
      </c>
      <c r="G2118">
        <f>TbReceitas[[#This Row],[quantidade]]*TbReceitas[[#This Row],[preco_unitario]]</f>
        <v>6201</v>
      </c>
      <c r="H2118" t="str">
        <f>TEXT(TbReceitas[[#This Row],[data_transacao]], "aaaa-mm")</f>
        <v>2026-02</v>
      </c>
    </row>
    <row r="2119" spans="1:8">
      <c r="A2119">
        <v>2118</v>
      </c>
      <c r="B2119" s="1">
        <v>46220</v>
      </c>
      <c r="C2119" t="s">
        <v>1061</v>
      </c>
      <c r="D2119" t="s">
        <v>88</v>
      </c>
      <c r="E2119">
        <v>3</v>
      </c>
      <c r="F2119">
        <v>4181</v>
      </c>
      <c r="G2119">
        <f>TbReceitas[[#This Row],[quantidade]]*TbReceitas[[#This Row],[preco_unitario]]</f>
        <v>12543</v>
      </c>
      <c r="H2119" t="str">
        <f>TEXT(TbReceitas[[#This Row],[data_transacao]], "aaaa-mm")</f>
        <v>2026-07</v>
      </c>
    </row>
    <row r="2120" spans="1:8">
      <c r="A2120">
        <v>2119</v>
      </c>
      <c r="B2120" s="1">
        <v>46046</v>
      </c>
      <c r="C2120" t="s">
        <v>1695</v>
      </c>
      <c r="D2120" t="s">
        <v>568</v>
      </c>
      <c r="E2120">
        <v>3</v>
      </c>
      <c r="F2120">
        <v>9027</v>
      </c>
      <c r="G2120">
        <f>TbReceitas[[#This Row],[quantidade]]*TbReceitas[[#This Row],[preco_unitario]]</f>
        <v>27081</v>
      </c>
      <c r="H2120" t="str">
        <f>TEXT(TbReceitas[[#This Row],[data_transacao]], "aaaa-mm")</f>
        <v>2026-01</v>
      </c>
    </row>
    <row r="2121" spans="1:8">
      <c r="A2121">
        <v>2120</v>
      </c>
      <c r="B2121" s="1">
        <v>46077</v>
      </c>
      <c r="C2121" t="s">
        <v>1612</v>
      </c>
      <c r="D2121" t="s">
        <v>138</v>
      </c>
      <c r="E2121">
        <v>2</v>
      </c>
      <c r="F2121">
        <v>20784</v>
      </c>
      <c r="G2121">
        <f>TbReceitas[[#This Row],[quantidade]]*TbReceitas[[#This Row],[preco_unitario]]</f>
        <v>41568</v>
      </c>
      <c r="H2121" t="str">
        <f>TEXT(TbReceitas[[#This Row],[data_transacao]], "aaaa-mm")</f>
        <v>2026-02</v>
      </c>
    </row>
    <row r="2122" spans="1:8">
      <c r="A2122">
        <v>2121</v>
      </c>
      <c r="B2122" s="1">
        <v>45699</v>
      </c>
      <c r="C2122" t="s">
        <v>1407</v>
      </c>
      <c r="D2122" t="s">
        <v>679</v>
      </c>
      <c r="E2122">
        <v>5</v>
      </c>
      <c r="F2122">
        <v>327</v>
      </c>
      <c r="G2122">
        <f>TbReceitas[[#This Row],[quantidade]]*TbReceitas[[#This Row],[preco_unitario]]</f>
        <v>1635</v>
      </c>
      <c r="H2122" t="str">
        <f>TEXT(TbReceitas[[#This Row],[data_transacao]], "aaaa-mm")</f>
        <v>2025-02</v>
      </c>
    </row>
    <row r="2123" spans="1:8">
      <c r="A2123">
        <v>2122</v>
      </c>
      <c r="B2123" s="1">
        <v>45940</v>
      </c>
      <c r="C2123" t="s">
        <v>1619</v>
      </c>
      <c r="D2123" t="s">
        <v>459</v>
      </c>
      <c r="E2123">
        <v>4</v>
      </c>
      <c r="F2123">
        <v>23355</v>
      </c>
      <c r="G2123">
        <f>TbReceitas[[#This Row],[quantidade]]*TbReceitas[[#This Row],[preco_unitario]]</f>
        <v>93420</v>
      </c>
      <c r="H2123" t="str">
        <f>TEXT(TbReceitas[[#This Row],[data_transacao]], "aaaa-mm")</f>
        <v>2025-10</v>
      </c>
    </row>
    <row r="2124" spans="1:8">
      <c r="A2124">
        <v>2123</v>
      </c>
      <c r="B2124" s="1">
        <v>45602</v>
      </c>
      <c r="C2124" t="s">
        <v>1096</v>
      </c>
      <c r="D2124" t="s">
        <v>60</v>
      </c>
      <c r="E2124">
        <v>4</v>
      </c>
      <c r="F2124">
        <v>11989</v>
      </c>
      <c r="G2124">
        <f>TbReceitas[[#This Row],[quantidade]]*TbReceitas[[#This Row],[preco_unitario]]</f>
        <v>47956</v>
      </c>
      <c r="H2124" t="str">
        <f>TEXT(TbReceitas[[#This Row],[data_transacao]], "aaaa-mm")</f>
        <v>2024-11</v>
      </c>
    </row>
    <row r="2125" spans="1:8">
      <c r="A2125">
        <v>2124</v>
      </c>
      <c r="B2125" s="1">
        <v>46007</v>
      </c>
      <c r="C2125" t="s">
        <v>800</v>
      </c>
      <c r="D2125" t="s">
        <v>460</v>
      </c>
      <c r="E2125">
        <v>2</v>
      </c>
      <c r="F2125">
        <v>24504</v>
      </c>
      <c r="G2125">
        <f>TbReceitas[[#This Row],[quantidade]]*TbReceitas[[#This Row],[preco_unitario]]</f>
        <v>49008</v>
      </c>
      <c r="H2125" t="str">
        <f>TEXT(TbReceitas[[#This Row],[data_transacao]], "aaaa-mm")</f>
        <v>2025-12</v>
      </c>
    </row>
    <row r="2126" spans="1:8">
      <c r="A2126">
        <v>2125</v>
      </c>
      <c r="B2126" s="1">
        <v>45555</v>
      </c>
      <c r="C2126" t="s">
        <v>1696</v>
      </c>
      <c r="D2126" t="s">
        <v>27</v>
      </c>
      <c r="E2126">
        <v>4</v>
      </c>
      <c r="F2126">
        <v>18944</v>
      </c>
      <c r="G2126">
        <f>TbReceitas[[#This Row],[quantidade]]*TbReceitas[[#This Row],[preco_unitario]]</f>
        <v>75776</v>
      </c>
      <c r="H2126" t="str">
        <f>TEXT(TbReceitas[[#This Row],[data_transacao]], "aaaa-mm")</f>
        <v>2024-09</v>
      </c>
    </row>
    <row r="2127" spans="1:8">
      <c r="A2127">
        <v>2126</v>
      </c>
      <c r="B2127" s="1">
        <v>46044</v>
      </c>
      <c r="C2127" t="s">
        <v>1236</v>
      </c>
      <c r="D2127" t="s">
        <v>638</v>
      </c>
      <c r="E2127">
        <v>3</v>
      </c>
      <c r="F2127">
        <v>9817</v>
      </c>
      <c r="G2127">
        <f>TbReceitas[[#This Row],[quantidade]]*TbReceitas[[#This Row],[preco_unitario]]</f>
        <v>29451</v>
      </c>
      <c r="H2127" t="str">
        <f>TEXT(TbReceitas[[#This Row],[data_transacao]], "aaaa-mm")</f>
        <v>2026-01</v>
      </c>
    </row>
    <row r="2128" spans="1:8">
      <c r="A2128">
        <v>2127</v>
      </c>
      <c r="B2128" s="1">
        <v>45601</v>
      </c>
      <c r="C2128" t="s">
        <v>1697</v>
      </c>
      <c r="D2128" t="s">
        <v>680</v>
      </c>
      <c r="E2128">
        <v>5</v>
      </c>
      <c r="F2128">
        <v>7316</v>
      </c>
      <c r="G2128">
        <f>TbReceitas[[#This Row],[quantidade]]*TbReceitas[[#This Row],[preco_unitario]]</f>
        <v>36580</v>
      </c>
      <c r="H2128" t="str">
        <f>TEXT(TbReceitas[[#This Row],[data_transacao]], "aaaa-mm")</f>
        <v>2024-11</v>
      </c>
    </row>
    <row r="2129" spans="1:8">
      <c r="A2129">
        <v>2128</v>
      </c>
      <c r="B2129" s="1">
        <v>46224</v>
      </c>
      <c r="C2129" t="s">
        <v>1698</v>
      </c>
      <c r="D2129" t="s">
        <v>559</v>
      </c>
      <c r="E2129">
        <v>1</v>
      </c>
      <c r="F2129">
        <v>482</v>
      </c>
      <c r="G2129">
        <f>TbReceitas[[#This Row],[quantidade]]*TbReceitas[[#This Row],[preco_unitario]]</f>
        <v>482</v>
      </c>
      <c r="H2129" t="str">
        <f>TEXT(TbReceitas[[#This Row],[data_transacao]], "aaaa-mm")</f>
        <v>2026-07</v>
      </c>
    </row>
    <row r="2130" spans="1:8">
      <c r="A2130">
        <v>2129</v>
      </c>
      <c r="B2130" s="1">
        <v>45855</v>
      </c>
      <c r="C2130" t="s">
        <v>723</v>
      </c>
      <c r="D2130" t="s">
        <v>281</v>
      </c>
      <c r="E2130">
        <v>2</v>
      </c>
      <c r="F2130">
        <v>16864</v>
      </c>
      <c r="G2130">
        <f>TbReceitas[[#This Row],[quantidade]]*TbReceitas[[#This Row],[preco_unitario]]</f>
        <v>33728</v>
      </c>
      <c r="H2130" t="str">
        <f>TEXT(TbReceitas[[#This Row],[data_transacao]], "aaaa-mm")</f>
        <v>2025-07</v>
      </c>
    </row>
    <row r="2131" spans="1:8">
      <c r="A2131">
        <v>2130</v>
      </c>
      <c r="B2131" s="1">
        <v>45811</v>
      </c>
      <c r="C2131" t="s">
        <v>1254</v>
      </c>
      <c r="D2131" t="s">
        <v>274</v>
      </c>
      <c r="E2131">
        <v>4</v>
      </c>
      <c r="F2131">
        <v>1178</v>
      </c>
      <c r="G2131">
        <f>TbReceitas[[#This Row],[quantidade]]*TbReceitas[[#This Row],[preco_unitario]]</f>
        <v>4712</v>
      </c>
      <c r="H2131" t="str">
        <f>TEXT(TbReceitas[[#This Row],[data_transacao]], "aaaa-mm")</f>
        <v>2025-06</v>
      </c>
    </row>
    <row r="2132" spans="1:8">
      <c r="A2132">
        <v>2131</v>
      </c>
      <c r="B2132" s="1">
        <v>45708</v>
      </c>
      <c r="C2132" t="s">
        <v>1336</v>
      </c>
      <c r="D2132" t="s">
        <v>392</v>
      </c>
      <c r="E2132">
        <v>1</v>
      </c>
      <c r="F2132">
        <v>11406</v>
      </c>
      <c r="G2132">
        <f>TbReceitas[[#This Row],[quantidade]]*TbReceitas[[#This Row],[preco_unitario]]</f>
        <v>11406</v>
      </c>
      <c r="H2132" t="str">
        <f>TEXT(TbReceitas[[#This Row],[data_transacao]], "aaaa-mm")</f>
        <v>2025-02</v>
      </c>
    </row>
    <row r="2133" spans="1:8">
      <c r="A2133">
        <v>2132</v>
      </c>
      <c r="B2133" s="1">
        <v>45832</v>
      </c>
      <c r="C2133" t="s">
        <v>1525</v>
      </c>
      <c r="D2133" t="s">
        <v>155</v>
      </c>
      <c r="E2133">
        <v>2</v>
      </c>
      <c r="F2133">
        <v>4712</v>
      </c>
      <c r="G2133">
        <f>TbReceitas[[#This Row],[quantidade]]*TbReceitas[[#This Row],[preco_unitario]]</f>
        <v>9424</v>
      </c>
      <c r="H2133" t="str">
        <f>TEXT(TbReceitas[[#This Row],[data_transacao]], "aaaa-mm")</f>
        <v>2025-06</v>
      </c>
    </row>
    <row r="2134" spans="1:8">
      <c r="A2134">
        <v>2133</v>
      </c>
      <c r="B2134" s="1">
        <v>46133</v>
      </c>
      <c r="C2134" t="s">
        <v>1499</v>
      </c>
      <c r="D2134" t="s">
        <v>527</v>
      </c>
      <c r="E2134">
        <v>3</v>
      </c>
      <c r="F2134">
        <v>14693</v>
      </c>
      <c r="G2134">
        <f>TbReceitas[[#This Row],[quantidade]]*TbReceitas[[#This Row],[preco_unitario]]</f>
        <v>44079</v>
      </c>
      <c r="H2134" t="str">
        <f>TEXT(TbReceitas[[#This Row],[data_transacao]], "aaaa-mm")</f>
        <v>2026-04</v>
      </c>
    </row>
    <row r="2135" spans="1:8">
      <c r="A2135">
        <v>2134</v>
      </c>
      <c r="B2135" s="1">
        <v>45995</v>
      </c>
      <c r="C2135" t="s">
        <v>1645</v>
      </c>
      <c r="D2135" t="s">
        <v>523</v>
      </c>
      <c r="E2135">
        <v>2</v>
      </c>
      <c r="F2135">
        <v>23523</v>
      </c>
      <c r="G2135">
        <f>TbReceitas[[#This Row],[quantidade]]*TbReceitas[[#This Row],[preco_unitario]]</f>
        <v>47046</v>
      </c>
      <c r="H2135" t="str">
        <f>TEXT(TbReceitas[[#This Row],[data_transacao]], "aaaa-mm")</f>
        <v>2025-12</v>
      </c>
    </row>
    <row r="2136" spans="1:8">
      <c r="A2136">
        <v>2135</v>
      </c>
      <c r="B2136" s="1">
        <v>45990</v>
      </c>
      <c r="C2136" t="s">
        <v>1468</v>
      </c>
      <c r="D2136" t="s">
        <v>186</v>
      </c>
      <c r="E2136">
        <v>3</v>
      </c>
      <c r="F2136">
        <v>5111</v>
      </c>
      <c r="G2136">
        <f>TbReceitas[[#This Row],[quantidade]]*TbReceitas[[#This Row],[preco_unitario]]</f>
        <v>15333</v>
      </c>
      <c r="H2136" t="str">
        <f>TEXT(TbReceitas[[#This Row],[data_transacao]], "aaaa-mm")</f>
        <v>2025-11</v>
      </c>
    </row>
    <row r="2137" spans="1:8">
      <c r="A2137">
        <v>2136</v>
      </c>
      <c r="B2137" s="1">
        <v>45879</v>
      </c>
      <c r="C2137" t="s">
        <v>1379</v>
      </c>
      <c r="D2137" t="s">
        <v>241</v>
      </c>
      <c r="E2137">
        <v>3</v>
      </c>
      <c r="F2137">
        <v>19575</v>
      </c>
      <c r="G2137">
        <f>TbReceitas[[#This Row],[quantidade]]*TbReceitas[[#This Row],[preco_unitario]]</f>
        <v>58725</v>
      </c>
      <c r="H2137" t="str">
        <f>TEXT(TbReceitas[[#This Row],[data_transacao]], "aaaa-mm")</f>
        <v>2025-08</v>
      </c>
    </row>
    <row r="2138" spans="1:8">
      <c r="A2138">
        <v>2137</v>
      </c>
      <c r="B2138" s="1">
        <v>45764</v>
      </c>
      <c r="C2138" t="s">
        <v>1127</v>
      </c>
      <c r="D2138" t="s">
        <v>183</v>
      </c>
      <c r="E2138">
        <v>1</v>
      </c>
      <c r="F2138">
        <v>21471</v>
      </c>
      <c r="G2138">
        <f>TbReceitas[[#This Row],[quantidade]]*TbReceitas[[#This Row],[preco_unitario]]</f>
        <v>21471</v>
      </c>
      <c r="H2138" t="str">
        <f>TEXT(TbReceitas[[#This Row],[data_transacao]], "aaaa-mm")</f>
        <v>2025-04</v>
      </c>
    </row>
    <row r="2139" spans="1:8">
      <c r="A2139">
        <v>2138</v>
      </c>
      <c r="B2139" s="1">
        <v>45563</v>
      </c>
      <c r="C2139" t="s">
        <v>1117</v>
      </c>
      <c r="D2139" t="s">
        <v>352</v>
      </c>
      <c r="E2139">
        <v>3</v>
      </c>
      <c r="F2139">
        <v>9748</v>
      </c>
      <c r="G2139">
        <f>TbReceitas[[#This Row],[quantidade]]*TbReceitas[[#This Row],[preco_unitario]]</f>
        <v>29244</v>
      </c>
      <c r="H2139" t="str">
        <f>TEXT(TbReceitas[[#This Row],[data_transacao]], "aaaa-mm")</f>
        <v>2024-09</v>
      </c>
    </row>
    <row r="2140" spans="1:8">
      <c r="A2140">
        <v>2139</v>
      </c>
      <c r="B2140" s="1">
        <v>45973</v>
      </c>
      <c r="C2140" t="s">
        <v>1599</v>
      </c>
      <c r="D2140" t="s">
        <v>326</v>
      </c>
      <c r="E2140">
        <v>5</v>
      </c>
      <c r="F2140">
        <v>20049</v>
      </c>
      <c r="G2140">
        <f>TbReceitas[[#This Row],[quantidade]]*TbReceitas[[#This Row],[preco_unitario]]</f>
        <v>100245</v>
      </c>
      <c r="H2140" t="str">
        <f>TEXT(TbReceitas[[#This Row],[data_transacao]], "aaaa-mm")</f>
        <v>2025-11</v>
      </c>
    </row>
    <row r="2141" spans="1:8">
      <c r="A2141">
        <v>2140</v>
      </c>
      <c r="B2141" s="1">
        <v>46101</v>
      </c>
      <c r="C2141" t="s">
        <v>1601</v>
      </c>
      <c r="D2141" t="s">
        <v>262</v>
      </c>
      <c r="E2141">
        <v>5</v>
      </c>
      <c r="F2141">
        <v>10217</v>
      </c>
      <c r="G2141">
        <f>TbReceitas[[#This Row],[quantidade]]*TbReceitas[[#This Row],[preco_unitario]]</f>
        <v>51085</v>
      </c>
      <c r="H2141" t="str">
        <f>TEXT(TbReceitas[[#This Row],[data_transacao]], "aaaa-mm")</f>
        <v>2026-03</v>
      </c>
    </row>
    <row r="2142" spans="1:8">
      <c r="A2142">
        <v>2141</v>
      </c>
      <c r="B2142" s="1">
        <v>45700</v>
      </c>
      <c r="C2142" t="s">
        <v>1657</v>
      </c>
      <c r="D2142" t="s">
        <v>572</v>
      </c>
      <c r="E2142">
        <v>3</v>
      </c>
      <c r="F2142">
        <v>18187</v>
      </c>
      <c r="G2142">
        <f>TbReceitas[[#This Row],[quantidade]]*TbReceitas[[#This Row],[preco_unitario]]</f>
        <v>54561</v>
      </c>
      <c r="H2142" t="str">
        <f>TEXT(TbReceitas[[#This Row],[data_transacao]], "aaaa-mm")</f>
        <v>2025-02</v>
      </c>
    </row>
    <row r="2143" spans="1:8">
      <c r="A2143">
        <v>2142</v>
      </c>
      <c r="B2143" s="1">
        <v>45754</v>
      </c>
      <c r="C2143" t="s">
        <v>1599</v>
      </c>
      <c r="D2143" t="s">
        <v>537</v>
      </c>
      <c r="E2143">
        <v>2</v>
      </c>
      <c r="F2143">
        <v>1116</v>
      </c>
      <c r="G2143">
        <f>TbReceitas[[#This Row],[quantidade]]*TbReceitas[[#This Row],[preco_unitario]]</f>
        <v>2232</v>
      </c>
      <c r="H2143" t="str">
        <f>TEXT(TbReceitas[[#This Row],[data_transacao]], "aaaa-mm")</f>
        <v>2025-04</v>
      </c>
    </row>
    <row r="2144" spans="1:8">
      <c r="A2144">
        <v>2143</v>
      </c>
      <c r="B2144" s="1">
        <v>46027</v>
      </c>
      <c r="C2144" t="s">
        <v>935</v>
      </c>
      <c r="D2144" t="s">
        <v>198</v>
      </c>
      <c r="E2144">
        <v>2</v>
      </c>
      <c r="F2144">
        <v>4434</v>
      </c>
      <c r="G2144">
        <f>TbReceitas[[#This Row],[quantidade]]*TbReceitas[[#This Row],[preco_unitario]]</f>
        <v>8868</v>
      </c>
      <c r="H2144" t="str">
        <f>TEXT(TbReceitas[[#This Row],[data_transacao]], "aaaa-mm")</f>
        <v>2026-01</v>
      </c>
    </row>
    <row r="2145" spans="1:8">
      <c r="A2145">
        <v>2144</v>
      </c>
      <c r="B2145" s="1">
        <v>45575</v>
      </c>
      <c r="C2145" t="s">
        <v>1699</v>
      </c>
      <c r="D2145" t="s">
        <v>628</v>
      </c>
      <c r="E2145">
        <v>4</v>
      </c>
      <c r="F2145">
        <v>4049</v>
      </c>
      <c r="G2145">
        <f>TbReceitas[[#This Row],[quantidade]]*TbReceitas[[#This Row],[preco_unitario]]</f>
        <v>16196</v>
      </c>
      <c r="H2145" t="str">
        <f>TEXT(TbReceitas[[#This Row],[data_transacao]], "aaaa-mm")</f>
        <v>2024-10</v>
      </c>
    </row>
    <row r="2146" spans="1:8">
      <c r="A2146">
        <v>2145</v>
      </c>
      <c r="B2146" s="1">
        <v>45635</v>
      </c>
      <c r="C2146" t="s">
        <v>1700</v>
      </c>
      <c r="D2146" t="s">
        <v>180</v>
      </c>
      <c r="E2146">
        <v>1</v>
      </c>
      <c r="F2146">
        <v>2024</v>
      </c>
      <c r="G2146">
        <f>TbReceitas[[#This Row],[quantidade]]*TbReceitas[[#This Row],[preco_unitario]]</f>
        <v>2024</v>
      </c>
      <c r="H2146" t="str">
        <f>TEXT(TbReceitas[[#This Row],[data_transacao]], "aaaa-mm")</f>
        <v>2024-12</v>
      </c>
    </row>
    <row r="2147" spans="1:8">
      <c r="A2147">
        <v>2146</v>
      </c>
      <c r="B2147" s="1">
        <v>46049</v>
      </c>
      <c r="C2147" t="s">
        <v>1701</v>
      </c>
      <c r="D2147" t="s">
        <v>230</v>
      </c>
      <c r="E2147">
        <v>3</v>
      </c>
      <c r="F2147">
        <v>2847</v>
      </c>
      <c r="G2147">
        <f>TbReceitas[[#This Row],[quantidade]]*TbReceitas[[#This Row],[preco_unitario]]</f>
        <v>8541</v>
      </c>
      <c r="H2147" t="str">
        <f>TEXT(TbReceitas[[#This Row],[data_transacao]], "aaaa-mm")</f>
        <v>2026-01</v>
      </c>
    </row>
    <row r="2148" spans="1:8">
      <c r="A2148">
        <v>2147</v>
      </c>
      <c r="B2148" s="1">
        <v>46156</v>
      </c>
      <c r="C2148" t="s">
        <v>1702</v>
      </c>
      <c r="D2148" t="s">
        <v>427</v>
      </c>
      <c r="E2148">
        <v>3</v>
      </c>
      <c r="F2148">
        <v>9083</v>
      </c>
      <c r="G2148">
        <f>TbReceitas[[#This Row],[quantidade]]*TbReceitas[[#This Row],[preco_unitario]]</f>
        <v>27249</v>
      </c>
      <c r="H2148" t="str">
        <f>TEXT(TbReceitas[[#This Row],[data_transacao]], "aaaa-mm")</f>
        <v>2026-05</v>
      </c>
    </row>
    <row r="2149" spans="1:8">
      <c r="A2149">
        <v>2148</v>
      </c>
      <c r="B2149" s="1">
        <v>46208</v>
      </c>
      <c r="C2149" t="s">
        <v>1703</v>
      </c>
      <c r="D2149" t="s">
        <v>649</v>
      </c>
      <c r="E2149">
        <v>2</v>
      </c>
      <c r="F2149">
        <v>22268</v>
      </c>
      <c r="G2149">
        <f>TbReceitas[[#This Row],[quantidade]]*TbReceitas[[#This Row],[preco_unitario]]</f>
        <v>44536</v>
      </c>
      <c r="H2149" t="str">
        <f>TEXT(TbReceitas[[#This Row],[data_transacao]], "aaaa-mm")</f>
        <v>2026-07</v>
      </c>
    </row>
    <row r="2150" spans="1:8">
      <c r="A2150">
        <v>2149</v>
      </c>
      <c r="B2150" s="1">
        <v>46207</v>
      </c>
      <c r="C2150" t="s">
        <v>1602</v>
      </c>
      <c r="D2150" t="s">
        <v>155</v>
      </c>
      <c r="E2150">
        <v>4</v>
      </c>
      <c r="F2150">
        <v>4712</v>
      </c>
      <c r="G2150">
        <f>TbReceitas[[#This Row],[quantidade]]*TbReceitas[[#This Row],[preco_unitario]]</f>
        <v>18848</v>
      </c>
      <c r="H2150" t="str">
        <f>TEXT(TbReceitas[[#This Row],[data_transacao]], "aaaa-mm")</f>
        <v>2026-07</v>
      </c>
    </row>
    <row r="2151" spans="1:8">
      <c r="A2151">
        <v>2150</v>
      </c>
      <c r="B2151" s="1">
        <v>45923</v>
      </c>
      <c r="C2151" t="s">
        <v>1704</v>
      </c>
      <c r="D2151" t="s">
        <v>89</v>
      </c>
      <c r="E2151">
        <v>3</v>
      </c>
      <c r="F2151">
        <v>2978</v>
      </c>
      <c r="G2151">
        <f>TbReceitas[[#This Row],[quantidade]]*TbReceitas[[#This Row],[preco_unitario]]</f>
        <v>8934</v>
      </c>
      <c r="H2151" t="str">
        <f>TEXT(TbReceitas[[#This Row],[data_transacao]], "aaaa-mm")</f>
        <v>2025-09</v>
      </c>
    </row>
    <row r="2152" spans="1:8">
      <c r="A2152">
        <v>2151</v>
      </c>
      <c r="B2152" s="1">
        <v>45643</v>
      </c>
      <c r="C2152" t="s">
        <v>1506</v>
      </c>
      <c r="D2152" t="s">
        <v>212</v>
      </c>
      <c r="E2152">
        <v>3</v>
      </c>
      <c r="F2152">
        <v>6603</v>
      </c>
      <c r="G2152">
        <f>TbReceitas[[#This Row],[quantidade]]*TbReceitas[[#This Row],[preco_unitario]]</f>
        <v>19809</v>
      </c>
      <c r="H2152" t="str">
        <f>TEXT(TbReceitas[[#This Row],[data_transacao]], "aaaa-mm")</f>
        <v>2024-12</v>
      </c>
    </row>
    <row r="2153" spans="1:8">
      <c r="A2153">
        <v>2152</v>
      </c>
      <c r="B2153" s="1">
        <v>45873</v>
      </c>
      <c r="C2153" t="s">
        <v>1186</v>
      </c>
      <c r="D2153" t="s">
        <v>256</v>
      </c>
      <c r="E2153">
        <v>5</v>
      </c>
      <c r="F2153">
        <v>9187</v>
      </c>
      <c r="G2153">
        <f>TbReceitas[[#This Row],[quantidade]]*TbReceitas[[#This Row],[preco_unitario]]</f>
        <v>45935</v>
      </c>
      <c r="H2153" t="str">
        <f>TEXT(TbReceitas[[#This Row],[data_transacao]], "aaaa-mm")</f>
        <v>2025-08</v>
      </c>
    </row>
    <row r="2154" spans="1:8">
      <c r="A2154">
        <v>2153</v>
      </c>
      <c r="B2154" s="1">
        <v>46261</v>
      </c>
      <c r="C2154" t="s">
        <v>1478</v>
      </c>
      <c r="D2154" t="s">
        <v>21</v>
      </c>
      <c r="E2154">
        <v>5</v>
      </c>
      <c r="F2154">
        <v>12746</v>
      </c>
      <c r="G2154">
        <f>TbReceitas[[#This Row],[quantidade]]*TbReceitas[[#This Row],[preco_unitario]]</f>
        <v>63730</v>
      </c>
      <c r="H2154" t="str">
        <f>TEXT(TbReceitas[[#This Row],[data_transacao]], "aaaa-mm")</f>
        <v>2026-08</v>
      </c>
    </row>
    <row r="2155" spans="1:8">
      <c r="A2155">
        <v>2154</v>
      </c>
      <c r="B2155" s="1">
        <v>45911</v>
      </c>
      <c r="C2155" t="s">
        <v>1702</v>
      </c>
      <c r="D2155" t="s">
        <v>412</v>
      </c>
      <c r="E2155">
        <v>2</v>
      </c>
      <c r="F2155">
        <v>18704</v>
      </c>
      <c r="G2155">
        <f>TbReceitas[[#This Row],[quantidade]]*TbReceitas[[#This Row],[preco_unitario]]</f>
        <v>37408</v>
      </c>
      <c r="H2155" t="str">
        <f>TEXT(TbReceitas[[#This Row],[data_transacao]], "aaaa-mm")</f>
        <v>2025-09</v>
      </c>
    </row>
    <row r="2156" spans="1:8">
      <c r="A2156">
        <v>2155</v>
      </c>
      <c r="B2156" s="1">
        <v>45812</v>
      </c>
      <c r="C2156" t="s">
        <v>1516</v>
      </c>
      <c r="D2156" t="s">
        <v>388</v>
      </c>
      <c r="E2156">
        <v>2</v>
      </c>
      <c r="F2156">
        <v>5518</v>
      </c>
      <c r="G2156">
        <f>TbReceitas[[#This Row],[quantidade]]*TbReceitas[[#This Row],[preco_unitario]]</f>
        <v>11036</v>
      </c>
      <c r="H2156" t="str">
        <f>TEXT(TbReceitas[[#This Row],[data_transacao]], "aaaa-mm")</f>
        <v>2025-06</v>
      </c>
    </row>
    <row r="2157" spans="1:8">
      <c r="A2157">
        <v>2156</v>
      </c>
      <c r="B2157" s="1">
        <v>46217</v>
      </c>
      <c r="C2157" t="s">
        <v>844</v>
      </c>
      <c r="D2157" t="s">
        <v>255</v>
      </c>
      <c r="E2157">
        <v>1</v>
      </c>
      <c r="F2157">
        <v>16027</v>
      </c>
      <c r="G2157">
        <f>TbReceitas[[#This Row],[quantidade]]*TbReceitas[[#This Row],[preco_unitario]]</f>
        <v>16027</v>
      </c>
      <c r="H2157" t="str">
        <f>TEXT(TbReceitas[[#This Row],[data_transacao]], "aaaa-mm")</f>
        <v>2026-07</v>
      </c>
    </row>
    <row r="2158" spans="1:8">
      <c r="A2158">
        <v>2157</v>
      </c>
      <c r="B2158" s="1">
        <v>46214</v>
      </c>
      <c r="C2158" t="s">
        <v>1705</v>
      </c>
      <c r="D2158" t="s">
        <v>1279</v>
      </c>
      <c r="E2158">
        <v>2</v>
      </c>
      <c r="F2158">
        <v>11256</v>
      </c>
      <c r="G2158">
        <f>TbReceitas[[#This Row],[quantidade]]*TbReceitas[[#This Row],[preco_unitario]]</f>
        <v>22512</v>
      </c>
      <c r="H2158" t="str">
        <f>TEXT(TbReceitas[[#This Row],[data_transacao]], "aaaa-mm")</f>
        <v>2026-07</v>
      </c>
    </row>
    <row r="2159" spans="1:8">
      <c r="A2159">
        <v>2158</v>
      </c>
      <c r="B2159" s="1">
        <v>45645</v>
      </c>
      <c r="C2159" t="s">
        <v>1281</v>
      </c>
      <c r="D2159" t="s">
        <v>25</v>
      </c>
      <c r="E2159">
        <v>5</v>
      </c>
      <c r="F2159">
        <v>15908</v>
      </c>
      <c r="G2159">
        <f>TbReceitas[[#This Row],[quantidade]]*TbReceitas[[#This Row],[preco_unitario]]</f>
        <v>79540</v>
      </c>
      <c r="H2159" t="str">
        <f>TEXT(TbReceitas[[#This Row],[data_transacao]], "aaaa-mm")</f>
        <v>2024-12</v>
      </c>
    </row>
    <row r="2160" spans="1:8">
      <c r="A2160">
        <v>2159</v>
      </c>
      <c r="B2160" s="1">
        <v>46050</v>
      </c>
      <c r="C2160" t="s">
        <v>1413</v>
      </c>
      <c r="D2160" t="s">
        <v>267</v>
      </c>
      <c r="E2160">
        <v>1</v>
      </c>
      <c r="F2160">
        <v>8433</v>
      </c>
      <c r="G2160">
        <f>TbReceitas[[#This Row],[quantidade]]*TbReceitas[[#This Row],[preco_unitario]]</f>
        <v>8433</v>
      </c>
      <c r="H2160" t="str">
        <f>TEXT(TbReceitas[[#This Row],[data_transacao]], "aaaa-mm")</f>
        <v>2026-01</v>
      </c>
    </row>
    <row r="2161" spans="1:8">
      <c r="A2161">
        <v>2160</v>
      </c>
      <c r="B2161" s="1">
        <v>45673</v>
      </c>
      <c r="C2161" t="s">
        <v>1470</v>
      </c>
      <c r="D2161" t="s">
        <v>877</v>
      </c>
      <c r="E2161">
        <v>3</v>
      </c>
      <c r="F2161">
        <v>23184</v>
      </c>
      <c r="G2161">
        <f>TbReceitas[[#This Row],[quantidade]]*TbReceitas[[#This Row],[preco_unitario]]</f>
        <v>69552</v>
      </c>
      <c r="H2161" t="str">
        <f>TEXT(TbReceitas[[#This Row],[data_transacao]], "aaaa-mm")</f>
        <v>2025-01</v>
      </c>
    </row>
    <row r="2162" spans="1:8">
      <c r="A2162">
        <v>2161</v>
      </c>
      <c r="B2162" s="1">
        <v>45725</v>
      </c>
      <c r="C2162" t="s">
        <v>924</v>
      </c>
      <c r="D2162" t="s">
        <v>149</v>
      </c>
      <c r="E2162">
        <v>1</v>
      </c>
      <c r="F2162">
        <v>9725</v>
      </c>
      <c r="G2162">
        <f>TbReceitas[[#This Row],[quantidade]]*TbReceitas[[#This Row],[preco_unitario]]</f>
        <v>9725</v>
      </c>
      <c r="H2162" t="str">
        <f>TEXT(TbReceitas[[#This Row],[data_transacao]], "aaaa-mm")</f>
        <v>2025-03</v>
      </c>
    </row>
    <row r="2163" spans="1:8">
      <c r="A2163">
        <v>2162</v>
      </c>
      <c r="B2163" s="1">
        <v>46014</v>
      </c>
      <c r="C2163" t="s">
        <v>927</v>
      </c>
      <c r="D2163" t="s">
        <v>581</v>
      </c>
      <c r="E2163">
        <v>3</v>
      </c>
      <c r="F2163">
        <v>2067</v>
      </c>
      <c r="G2163">
        <f>TbReceitas[[#This Row],[quantidade]]*TbReceitas[[#This Row],[preco_unitario]]</f>
        <v>6201</v>
      </c>
      <c r="H2163" t="str">
        <f>TEXT(TbReceitas[[#This Row],[data_transacao]], "aaaa-mm")</f>
        <v>2025-12</v>
      </c>
    </row>
    <row r="2164" spans="1:8">
      <c r="A2164">
        <v>2163</v>
      </c>
      <c r="B2164" s="1">
        <v>46216</v>
      </c>
      <c r="C2164" t="s">
        <v>1062</v>
      </c>
      <c r="D2164" t="s">
        <v>406</v>
      </c>
      <c r="E2164">
        <v>5</v>
      </c>
      <c r="F2164">
        <v>22347</v>
      </c>
      <c r="G2164">
        <f>TbReceitas[[#This Row],[quantidade]]*TbReceitas[[#This Row],[preco_unitario]]</f>
        <v>111735</v>
      </c>
      <c r="H2164" t="str">
        <f>TEXT(TbReceitas[[#This Row],[data_transacao]], "aaaa-mm")</f>
        <v>2026-07</v>
      </c>
    </row>
    <row r="2165" spans="1:8">
      <c r="A2165">
        <v>2164</v>
      </c>
      <c r="B2165" s="1">
        <v>45711</v>
      </c>
      <c r="C2165" t="s">
        <v>1361</v>
      </c>
      <c r="D2165" t="s">
        <v>284</v>
      </c>
      <c r="E2165">
        <v>5</v>
      </c>
      <c r="F2165">
        <v>16365</v>
      </c>
      <c r="G2165">
        <f>TbReceitas[[#This Row],[quantidade]]*TbReceitas[[#This Row],[preco_unitario]]</f>
        <v>81825</v>
      </c>
      <c r="H2165" t="str">
        <f>TEXT(TbReceitas[[#This Row],[data_transacao]], "aaaa-mm")</f>
        <v>2025-02</v>
      </c>
    </row>
    <row r="2166" spans="1:8">
      <c r="A2166">
        <v>2165</v>
      </c>
      <c r="B2166" s="1">
        <v>46221</v>
      </c>
      <c r="C2166" t="s">
        <v>1449</v>
      </c>
      <c r="D2166" t="s">
        <v>264</v>
      </c>
      <c r="E2166">
        <v>5</v>
      </c>
      <c r="F2166">
        <v>7267</v>
      </c>
      <c r="G2166">
        <f>TbReceitas[[#This Row],[quantidade]]*TbReceitas[[#This Row],[preco_unitario]]</f>
        <v>36335</v>
      </c>
      <c r="H2166" t="str">
        <f>TEXT(TbReceitas[[#This Row],[data_transacao]], "aaaa-mm")</f>
        <v>2026-07</v>
      </c>
    </row>
    <row r="2167" spans="1:8">
      <c r="A2167">
        <v>2166</v>
      </c>
      <c r="B2167" s="1">
        <v>46253</v>
      </c>
      <c r="C2167" t="s">
        <v>1706</v>
      </c>
      <c r="D2167" t="s">
        <v>159</v>
      </c>
      <c r="E2167">
        <v>2</v>
      </c>
      <c r="F2167">
        <v>16217</v>
      </c>
      <c r="G2167">
        <f>TbReceitas[[#This Row],[quantidade]]*TbReceitas[[#This Row],[preco_unitario]]</f>
        <v>32434</v>
      </c>
      <c r="H2167" t="str">
        <f>TEXT(TbReceitas[[#This Row],[data_transacao]], "aaaa-mm")</f>
        <v>2026-08</v>
      </c>
    </row>
    <row r="2168" spans="1:8">
      <c r="A2168">
        <v>2167</v>
      </c>
      <c r="B2168" s="1">
        <v>46038</v>
      </c>
      <c r="C2168" t="s">
        <v>858</v>
      </c>
      <c r="D2168" t="s">
        <v>392</v>
      </c>
      <c r="E2168">
        <v>1</v>
      </c>
      <c r="F2168">
        <v>11406</v>
      </c>
      <c r="G2168">
        <f>TbReceitas[[#This Row],[quantidade]]*TbReceitas[[#This Row],[preco_unitario]]</f>
        <v>11406</v>
      </c>
      <c r="H2168" t="str">
        <f>TEXT(TbReceitas[[#This Row],[data_transacao]], "aaaa-mm")</f>
        <v>2026-01</v>
      </c>
    </row>
    <row r="2169" spans="1:8">
      <c r="A2169">
        <v>2168</v>
      </c>
      <c r="B2169" s="1">
        <v>45675</v>
      </c>
      <c r="C2169" t="s">
        <v>1707</v>
      </c>
      <c r="D2169" t="s">
        <v>544</v>
      </c>
      <c r="E2169">
        <v>5</v>
      </c>
      <c r="F2169">
        <v>13184</v>
      </c>
      <c r="G2169">
        <f>TbReceitas[[#This Row],[quantidade]]*TbReceitas[[#This Row],[preco_unitario]]</f>
        <v>65920</v>
      </c>
      <c r="H2169" t="str">
        <f>TEXT(TbReceitas[[#This Row],[data_transacao]], "aaaa-mm")</f>
        <v>2025-01</v>
      </c>
    </row>
    <row r="2170" spans="1:8">
      <c r="A2170">
        <v>2169</v>
      </c>
      <c r="B2170" s="1">
        <v>46173</v>
      </c>
      <c r="C2170" t="s">
        <v>1272</v>
      </c>
      <c r="D2170" t="s">
        <v>301</v>
      </c>
      <c r="E2170">
        <v>1</v>
      </c>
      <c r="F2170">
        <v>13322</v>
      </c>
      <c r="G2170">
        <f>TbReceitas[[#This Row],[quantidade]]*TbReceitas[[#This Row],[preco_unitario]]</f>
        <v>13322</v>
      </c>
      <c r="H2170" t="str">
        <f>TEXT(TbReceitas[[#This Row],[data_transacao]], "aaaa-mm")</f>
        <v>2026-05</v>
      </c>
    </row>
    <row r="2171" spans="1:8">
      <c r="A2171">
        <v>2170</v>
      </c>
      <c r="B2171" s="1">
        <v>45556</v>
      </c>
      <c r="C2171" t="s">
        <v>1679</v>
      </c>
      <c r="D2171" t="s">
        <v>156</v>
      </c>
      <c r="E2171">
        <v>2</v>
      </c>
      <c r="F2171">
        <v>20451</v>
      </c>
      <c r="G2171">
        <f>TbReceitas[[#This Row],[quantidade]]*TbReceitas[[#This Row],[preco_unitario]]</f>
        <v>40902</v>
      </c>
      <c r="H2171" t="str">
        <f>TEXT(TbReceitas[[#This Row],[data_transacao]], "aaaa-mm")</f>
        <v>2024-09</v>
      </c>
    </row>
    <row r="2172" spans="1:8">
      <c r="A2172">
        <v>2171</v>
      </c>
      <c r="B2172" s="1">
        <v>45871</v>
      </c>
      <c r="C2172" t="s">
        <v>1570</v>
      </c>
      <c r="D2172" t="s">
        <v>452</v>
      </c>
      <c r="E2172">
        <v>1</v>
      </c>
      <c r="F2172">
        <v>607</v>
      </c>
      <c r="G2172">
        <f>TbReceitas[[#This Row],[quantidade]]*TbReceitas[[#This Row],[preco_unitario]]</f>
        <v>607</v>
      </c>
      <c r="H2172" t="str">
        <f>TEXT(TbReceitas[[#This Row],[data_transacao]], "aaaa-mm")</f>
        <v>2025-08</v>
      </c>
    </row>
    <row r="2173" spans="1:8">
      <c r="A2173">
        <v>2172</v>
      </c>
      <c r="B2173" s="1">
        <v>45936</v>
      </c>
      <c r="C2173" t="s">
        <v>1051</v>
      </c>
      <c r="D2173" t="s">
        <v>639</v>
      </c>
      <c r="E2173">
        <v>2</v>
      </c>
      <c r="F2173">
        <v>4224</v>
      </c>
      <c r="G2173">
        <f>TbReceitas[[#This Row],[quantidade]]*TbReceitas[[#This Row],[preco_unitario]]</f>
        <v>8448</v>
      </c>
      <c r="H2173" t="str">
        <f>TEXT(TbReceitas[[#This Row],[data_transacao]], "aaaa-mm")</f>
        <v>2025-10</v>
      </c>
    </row>
    <row r="2174" spans="1:8">
      <c r="A2174">
        <v>2173</v>
      </c>
      <c r="B2174" s="1">
        <v>45677</v>
      </c>
      <c r="C2174" t="s">
        <v>1708</v>
      </c>
      <c r="D2174" t="s">
        <v>466</v>
      </c>
      <c r="E2174">
        <v>2</v>
      </c>
      <c r="F2174">
        <v>12608</v>
      </c>
      <c r="G2174">
        <f>TbReceitas[[#This Row],[quantidade]]*TbReceitas[[#This Row],[preco_unitario]]</f>
        <v>25216</v>
      </c>
      <c r="H2174" t="str">
        <f>TEXT(TbReceitas[[#This Row],[data_transacao]], "aaaa-mm")</f>
        <v>2025-01</v>
      </c>
    </row>
    <row r="2175" spans="1:8">
      <c r="A2175">
        <v>2174</v>
      </c>
      <c r="B2175" s="1">
        <v>45596</v>
      </c>
      <c r="C2175" t="s">
        <v>1709</v>
      </c>
      <c r="D2175" t="s">
        <v>496</v>
      </c>
      <c r="E2175">
        <v>4</v>
      </c>
      <c r="F2175">
        <v>2496</v>
      </c>
      <c r="G2175">
        <f>TbReceitas[[#This Row],[quantidade]]*TbReceitas[[#This Row],[preco_unitario]]</f>
        <v>9984</v>
      </c>
      <c r="H2175" t="str">
        <f>TEXT(TbReceitas[[#This Row],[data_transacao]], "aaaa-mm")</f>
        <v>2024-10</v>
      </c>
    </row>
    <row r="2176" spans="1:8">
      <c r="A2176">
        <v>2175</v>
      </c>
      <c r="B2176" s="1">
        <v>46252</v>
      </c>
      <c r="C2176" t="s">
        <v>1679</v>
      </c>
      <c r="D2176" t="s">
        <v>255</v>
      </c>
      <c r="E2176">
        <v>1</v>
      </c>
      <c r="F2176">
        <v>16027</v>
      </c>
      <c r="G2176">
        <f>TbReceitas[[#This Row],[quantidade]]*TbReceitas[[#This Row],[preco_unitario]]</f>
        <v>16027</v>
      </c>
      <c r="H2176" t="str">
        <f>TEXT(TbReceitas[[#This Row],[data_transacao]], "aaaa-mm")</f>
        <v>2026-08</v>
      </c>
    </row>
    <row r="2177" spans="1:8">
      <c r="A2177">
        <v>2176</v>
      </c>
      <c r="B2177" s="1">
        <v>45914</v>
      </c>
      <c r="C2177" t="s">
        <v>1267</v>
      </c>
      <c r="D2177" t="s">
        <v>394</v>
      </c>
      <c r="E2177">
        <v>4</v>
      </c>
      <c r="F2177">
        <v>10708</v>
      </c>
      <c r="G2177">
        <f>TbReceitas[[#This Row],[quantidade]]*TbReceitas[[#This Row],[preco_unitario]]</f>
        <v>42832</v>
      </c>
      <c r="H2177" t="str">
        <f>TEXT(TbReceitas[[#This Row],[data_transacao]], "aaaa-mm")</f>
        <v>2025-09</v>
      </c>
    </row>
    <row r="2178" spans="1:8">
      <c r="A2178">
        <v>2177</v>
      </c>
      <c r="B2178" s="1">
        <v>46211</v>
      </c>
      <c r="C2178" t="s">
        <v>1710</v>
      </c>
      <c r="D2178" t="s">
        <v>227</v>
      </c>
      <c r="E2178">
        <v>3</v>
      </c>
      <c r="F2178">
        <v>23168</v>
      </c>
      <c r="G2178">
        <f>TbReceitas[[#This Row],[quantidade]]*TbReceitas[[#This Row],[preco_unitario]]</f>
        <v>69504</v>
      </c>
      <c r="H2178" t="str">
        <f>TEXT(TbReceitas[[#This Row],[data_transacao]], "aaaa-mm")</f>
        <v>2026-07</v>
      </c>
    </row>
    <row r="2179" spans="1:8">
      <c r="A2179">
        <v>2178</v>
      </c>
      <c r="B2179" s="1">
        <v>46170</v>
      </c>
      <c r="C2179" t="s">
        <v>769</v>
      </c>
      <c r="D2179" t="s">
        <v>51</v>
      </c>
      <c r="E2179">
        <v>1</v>
      </c>
      <c r="F2179">
        <v>8334</v>
      </c>
      <c r="G2179">
        <f>TbReceitas[[#This Row],[quantidade]]*TbReceitas[[#This Row],[preco_unitario]]</f>
        <v>8334</v>
      </c>
      <c r="H2179" t="str">
        <f>TEXT(TbReceitas[[#This Row],[data_transacao]], "aaaa-mm")</f>
        <v>2026-05</v>
      </c>
    </row>
    <row r="2180" spans="1:8">
      <c r="A2180">
        <v>2179</v>
      </c>
      <c r="B2180" s="1">
        <v>45960</v>
      </c>
      <c r="C2180" t="s">
        <v>1515</v>
      </c>
      <c r="D2180" t="s">
        <v>269</v>
      </c>
      <c r="E2180">
        <v>5</v>
      </c>
      <c r="F2180">
        <v>12528</v>
      </c>
      <c r="G2180">
        <f>TbReceitas[[#This Row],[quantidade]]*TbReceitas[[#This Row],[preco_unitario]]</f>
        <v>62640</v>
      </c>
      <c r="H2180" t="str">
        <f>TEXT(TbReceitas[[#This Row],[data_transacao]], "aaaa-mm")</f>
        <v>2025-10</v>
      </c>
    </row>
    <row r="2181" spans="1:8">
      <c r="A2181">
        <v>2180</v>
      </c>
      <c r="B2181" s="1">
        <v>45819</v>
      </c>
      <c r="C2181" t="s">
        <v>1553</v>
      </c>
      <c r="D2181" t="s">
        <v>599</v>
      </c>
      <c r="E2181">
        <v>3</v>
      </c>
      <c r="F2181">
        <v>45</v>
      </c>
      <c r="G2181">
        <f>TbReceitas[[#This Row],[quantidade]]*TbReceitas[[#This Row],[preco_unitario]]</f>
        <v>135</v>
      </c>
      <c r="H2181" t="str">
        <f>TEXT(TbReceitas[[#This Row],[data_transacao]], "aaaa-mm")</f>
        <v>2025-06</v>
      </c>
    </row>
    <row r="2182" spans="1:8">
      <c r="A2182">
        <v>2181</v>
      </c>
      <c r="B2182" s="1">
        <v>45825</v>
      </c>
      <c r="C2182" t="s">
        <v>1022</v>
      </c>
      <c r="D2182" t="s">
        <v>70</v>
      </c>
      <c r="E2182">
        <v>5</v>
      </c>
      <c r="F2182">
        <v>1198</v>
      </c>
      <c r="G2182">
        <f>TbReceitas[[#This Row],[quantidade]]*TbReceitas[[#This Row],[preco_unitario]]</f>
        <v>5990</v>
      </c>
      <c r="H2182" t="str">
        <f>TEXT(TbReceitas[[#This Row],[data_transacao]], "aaaa-mm")</f>
        <v>2025-06</v>
      </c>
    </row>
    <row r="2183" spans="1:8">
      <c r="A2183">
        <v>2182</v>
      </c>
      <c r="B2183" s="1">
        <v>45993</v>
      </c>
      <c r="C2183" t="s">
        <v>1711</v>
      </c>
      <c r="D2183" t="s">
        <v>216</v>
      </c>
      <c r="E2183">
        <v>5</v>
      </c>
      <c r="F2183">
        <v>9488</v>
      </c>
      <c r="G2183">
        <f>TbReceitas[[#This Row],[quantidade]]*TbReceitas[[#This Row],[preco_unitario]]</f>
        <v>47440</v>
      </c>
      <c r="H2183" t="str">
        <f>TEXT(TbReceitas[[#This Row],[data_transacao]], "aaaa-mm")</f>
        <v>2025-12</v>
      </c>
    </row>
    <row r="2184" spans="1:8">
      <c r="A2184">
        <v>2183</v>
      </c>
      <c r="B2184" s="1">
        <v>45939</v>
      </c>
      <c r="C2184" t="s">
        <v>1712</v>
      </c>
      <c r="D2184" t="s">
        <v>591</v>
      </c>
      <c r="E2184">
        <v>4</v>
      </c>
      <c r="F2184">
        <v>1718</v>
      </c>
      <c r="G2184">
        <f>TbReceitas[[#This Row],[quantidade]]*TbReceitas[[#This Row],[preco_unitario]]</f>
        <v>6872</v>
      </c>
      <c r="H2184" t="str">
        <f>TEXT(TbReceitas[[#This Row],[data_transacao]], "aaaa-mm")</f>
        <v>2025-10</v>
      </c>
    </row>
    <row r="2185" spans="1:8">
      <c r="A2185">
        <v>2184</v>
      </c>
      <c r="B2185" s="1">
        <v>46063</v>
      </c>
      <c r="C2185" t="s">
        <v>797</v>
      </c>
      <c r="D2185" t="s">
        <v>286</v>
      </c>
      <c r="E2185">
        <v>3</v>
      </c>
      <c r="F2185">
        <v>4982</v>
      </c>
      <c r="G2185">
        <f>TbReceitas[[#This Row],[quantidade]]*TbReceitas[[#This Row],[preco_unitario]]</f>
        <v>14946</v>
      </c>
      <c r="H2185" t="str">
        <f>TEXT(TbReceitas[[#This Row],[data_transacao]], "aaaa-mm")</f>
        <v>2026-02</v>
      </c>
    </row>
    <row r="2186" spans="1:8">
      <c r="A2186">
        <v>2185</v>
      </c>
      <c r="B2186" s="1">
        <v>45759</v>
      </c>
      <c r="C2186" t="s">
        <v>1309</v>
      </c>
      <c r="D2186" t="s">
        <v>436</v>
      </c>
      <c r="E2186">
        <v>1</v>
      </c>
      <c r="F2186">
        <v>24553</v>
      </c>
      <c r="G2186">
        <f>TbReceitas[[#This Row],[quantidade]]*TbReceitas[[#This Row],[preco_unitario]]</f>
        <v>24553</v>
      </c>
      <c r="H2186" t="str">
        <f>TEXT(TbReceitas[[#This Row],[data_transacao]], "aaaa-mm")</f>
        <v>2025-04</v>
      </c>
    </row>
    <row r="2187" spans="1:8">
      <c r="A2187">
        <v>2186</v>
      </c>
      <c r="B2187" s="1">
        <v>45699</v>
      </c>
      <c r="C2187" t="s">
        <v>1609</v>
      </c>
      <c r="D2187" t="s">
        <v>271</v>
      </c>
      <c r="E2187">
        <v>3</v>
      </c>
      <c r="F2187">
        <v>10155</v>
      </c>
      <c r="G2187">
        <f>TbReceitas[[#This Row],[quantidade]]*TbReceitas[[#This Row],[preco_unitario]]</f>
        <v>30465</v>
      </c>
      <c r="H2187" t="str">
        <f>TEXT(TbReceitas[[#This Row],[data_transacao]], "aaaa-mm")</f>
        <v>2025-02</v>
      </c>
    </row>
    <row r="2188" spans="1:8">
      <c r="A2188">
        <v>2187</v>
      </c>
      <c r="B2188" s="1">
        <v>45569</v>
      </c>
      <c r="C2188" t="s">
        <v>1169</v>
      </c>
      <c r="D2188" t="s">
        <v>429</v>
      </c>
      <c r="E2188">
        <v>5</v>
      </c>
      <c r="F2188">
        <v>15652</v>
      </c>
      <c r="G2188">
        <f>TbReceitas[[#This Row],[quantidade]]*TbReceitas[[#This Row],[preco_unitario]]</f>
        <v>78260</v>
      </c>
      <c r="H2188" t="str">
        <f>TEXT(TbReceitas[[#This Row],[data_transacao]], "aaaa-mm")</f>
        <v>2024-10</v>
      </c>
    </row>
    <row r="2189" spans="1:8">
      <c r="A2189">
        <v>2188</v>
      </c>
      <c r="B2189" s="1">
        <v>46005</v>
      </c>
      <c r="C2189" t="s">
        <v>1036</v>
      </c>
      <c r="D2189" t="s">
        <v>427</v>
      </c>
      <c r="E2189">
        <v>1</v>
      </c>
      <c r="F2189">
        <v>9083</v>
      </c>
      <c r="G2189">
        <f>TbReceitas[[#This Row],[quantidade]]*TbReceitas[[#This Row],[preco_unitario]]</f>
        <v>9083</v>
      </c>
      <c r="H2189" t="str">
        <f>TEXT(TbReceitas[[#This Row],[data_transacao]], "aaaa-mm")</f>
        <v>2025-12</v>
      </c>
    </row>
    <row r="2190" spans="1:8">
      <c r="A2190">
        <v>2189</v>
      </c>
      <c r="B2190" s="1">
        <v>46259</v>
      </c>
      <c r="C2190" t="s">
        <v>1572</v>
      </c>
      <c r="D2190" t="s">
        <v>489</v>
      </c>
      <c r="E2190">
        <v>3</v>
      </c>
      <c r="F2190">
        <v>786</v>
      </c>
      <c r="G2190">
        <f>TbReceitas[[#This Row],[quantidade]]*TbReceitas[[#This Row],[preco_unitario]]</f>
        <v>2358</v>
      </c>
      <c r="H2190" t="str">
        <f>TEXT(TbReceitas[[#This Row],[data_transacao]], "aaaa-mm")</f>
        <v>2026-08</v>
      </c>
    </row>
    <row r="2191" spans="1:8">
      <c r="A2191">
        <v>2190</v>
      </c>
      <c r="B2191" s="1">
        <v>46117</v>
      </c>
      <c r="C2191" t="s">
        <v>1713</v>
      </c>
      <c r="D2191" t="s">
        <v>703</v>
      </c>
      <c r="E2191">
        <v>5</v>
      </c>
      <c r="F2191">
        <v>5102</v>
      </c>
      <c r="G2191">
        <f>TbReceitas[[#This Row],[quantidade]]*TbReceitas[[#This Row],[preco_unitario]]</f>
        <v>25510</v>
      </c>
      <c r="H2191" t="str">
        <f>TEXT(TbReceitas[[#This Row],[data_transacao]], "aaaa-mm")</f>
        <v>2026-04</v>
      </c>
    </row>
    <row r="2192" spans="1:8">
      <c r="A2192">
        <v>2191</v>
      </c>
      <c r="B2192" s="1">
        <v>45875</v>
      </c>
      <c r="C2192" t="s">
        <v>1005</v>
      </c>
      <c r="D2192" t="s">
        <v>466</v>
      </c>
      <c r="E2192">
        <v>3</v>
      </c>
      <c r="F2192">
        <v>12608</v>
      </c>
      <c r="G2192">
        <f>TbReceitas[[#This Row],[quantidade]]*TbReceitas[[#This Row],[preco_unitario]]</f>
        <v>37824</v>
      </c>
      <c r="H2192" t="str">
        <f>TEXT(TbReceitas[[#This Row],[data_transacao]], "aaaa-mm")</f>
        <v>2025-08</v>
      </c>
    </row>
    <row r="2193" spans="1:8">
      <c r="A2193">
        <v>2192</v>
      </c>
      <c r="B2193" s="1">
        <v>45648</v>
      </c>
      <c r="C2193" t="s">
        <v>920</v>
      </c>
      <c r="D2193" t="s">
        <v>478</v>
      </c>
      <c r="E2193">
        <v>1</v>
      </c>
      <c r="F2193">
        <v>18253</v>
      </c>
      <c r="G2193">
        <f>TbReceitas[[#This Row],[quantidade]]*TbReceitas[[#This Row],[preco_unitario]]</f>
        <v>18253</v>
      </c>
      <c r="H2193" t="str">
        <f>TEXT(TbReceitas[[#This Row],[data_transacao]], "aaaa-mm")</f>
        <v>2024-12</v>
      </c>
    </row>
    <row r="2194" spans="1:8">
      <c r="A2194">
        <v>2193</v>
      </c>
      <c r="B2194" s="1">
        <v>45964</v>
      </c>
      <c r="C2194" t="s">
        <v>1691</v>
      </c>
      <c r="D2194" t="s">
        <v>603</v>
      </c>
      <c r="E2194">
        <v>3</v>
      </c>
      <c r="F2194">
        <v>1162</v>
      </c>
      <c r="G2194">
        <f>TbReceitas[[#This Row],[quantidade]]*TbReceitas[[#This Row],[preco_unitario]]</f>
        <v>3486</v>
      </c>
      <c r="H2194" t="str">
        <f>TEXT(TbReceitas[[#This Row],[data_transacao]], "aaaa-mm")</f>
        <v>2025-11</v>
      </c>
    </row>
    <row r="2195" spans="1:8">
      <c r="A2195">
        <v>2194</v>
      </c>
      <c r="B2195" s="1">
        <v>45669</v>
      </c>
      <c r="C2195" t="s">
        <v>1214</v>
      </c>
      <c r="D2195" t="s">
        <v>207</v>
      </c>
      <c r="E2195">
        <v>1</v>
      </c>
      <c r="F2195">
        <v>17156</v>
      </c>
      <c r="G2195">
        <f>TbReceitas[[#This Row],[quantidade]]*TbReceitas[[#This Row],[preco_unitario]]</f>
        <v>17156</v>
      </c>
      <c r="H2195" t="str">
        <f>TEXT(TbReceitas[[#This Row],[data_transacao]], "aaaa-mm")</f>
        <v>2025-01</v>
      </c>
    </row>
    <row r="2196" spans="1:8">
      <c r="A2196">
        <v>2195</v>
      </c>
      <c r="B2196" s="1">
        <v>46093</v>
      </c>
      <c r="C2196" t="s">
        <v>865</v>
      </c>
      <c r="D2196" t="s">
        <v>282</v>
      </c>
      <c r="E2196">
        <v>2</v>
      </c>
      <c r="F2196">
        <v>2647</v>
      </c>
      <c r="G2196">
        <f>TbReceitas[[#This Row],[quantidade]]*TbReceitas[[#This Row],[preco_unitario]]</f>
        <v>5294</v>
      </c>
      <c r="H2196" t="str">
        <f>TEXT(TbReceitas[[#This Row],[data_transacao]], "aaaa-mm")</f>
        <v>2026-03</v>
      </c>
    </row>
    <row r="2197" spans="1:8">
      <c r="A2197">
        <v>2196</v>
      </c>
      <c r="B2197" s="1">
        <v>45919</v>
      </c>
      <c r="C2197" t="s">
        <v>767</v>
      </c>
      <c r="D2197" t="s">
        <v>211</v>
      </c>
      <c r="E2197">
        <v>4</v>
      </c>
      <c r="F2197">
        <v>20547</v>
      </c>
      <c r="G2197">
        <f>TbReceitas[[#This Row],[quantidade]]*TbReceitas[[#This Row],[preco_unitario]]</f>
        <v>82188</v>
      </c>
      <c r="H2197" t="str">
        <f>TEXT(TbReceitas[[#This Row],[data_transacao]], "aaaa-mm")</f>
        <v>2025-09</v>
      </c>
    </row>
    <row r="2198" spans="1:8">
      <c r="A2198">
        <v>2197</v>
      </c>
      <c r="B2198" s="1">
        <v>46065</v>
      </c>
      <c r="C2198" t="s">
        <v>1386</v>
      </c>
      <c r="D2198" t="s">
        <v>312</v>
      </c>
      <c r="E2198">
        <v>1</v>
      </c>
      <c r="F2198">
        <v>24217</v>
      </c>
      <c r="G2198">
        <f>TbReceitas[[#This Row],[quantidade]]*TbReceitas[[#This Row],[preco_unitario]]</f>
        <v>24217</v>
      </c>
      <c r="H2198" t="str">
        <f>TEXT(TbReceitas[[#This Row],[data_transacao]], "aaaa-mm")</f>
        <v>2026-02</v>
      </c>
    </row>
    <row r="2199" spans="1:8">
      <c r="A2199">
        <v>2198</v>
      </c>
      <c r="B2199" s="1">
        <v>46135</v>
      </c>
      <c r="C2199" t="s">
        <v>1147</v>
      </c>
      <c r="D2199" t="s">
        <v>529</v>
      </c>
      <c r="E2199">
        <v>5</v>
      </c>
      <c r="F2199">
        <v>18056</v>
      </c>
      <c r="G2199">
        <f>TbReceitas[[#This Row],[quantidade]]*TbReceitas[[#This Row],[preco_unitario]]</f>
        <v>90280</v>
      </c>
      <c r="H2199" t="str">
        <f>TEXT(TbReceitas[[#This Row],[data_transacao]], "aaaa-mm")</f>
        <v>2026-04</v>
      </c>
    </row>
    <row r="2200" spans="1:8">
      <c r="A2200">
        <v>2199</v>
      </c>
      <c r="B2200" s="1">
        <v>46182</v>
      </c>
      <c r="C2200" t="s">
        <v>941</v>
      </c>
      <c r="D2200" t="s">
        <v>605</v>
      </c>
      <c r="E2200">
        <v>1</v>
      </c>
      <c r="F2200">
        <v>21376</v>
      </c>
      <c r="G2200">
        <f>TbReceitas[[#This Row],[quantidade]]*TbReceitas[[#This Row],[preco_unitario]]</f>
        <v>21376</v>
      </c>
      <c r="H2200" t="str">
        <f>TEXT(TbReceitas[[#This Row],[data_transacao]], "aaaa-mm")</f>
        <v>2026-06</v>
      </c>
    </row>
    <row r="2201" spans="1:8">
      <c r="A2201">
        <v>2200</v>
      </c>
      <c r="B2201" s="1">
        <v>45754</v>
      </c>
      <c r="C2201" t="s">
        <v>1411</v>
      </c>
      <c r="D2201" t="s">
        <v>316</v>
      </c>
      <c r="E2201">
        <v>1</v>
      </c>
      <c r="F2201">
        <v>4372</v>
      </c>
      <c r="G2201">
        <f>TbReceitas[[#This Row],[quantidade]]*TbReceitas[[#This Row],[preco_unitario]]</f>
        <v>4372</v>
      </c>
      <c r="H2201" t="str">
        <f>TEXT(TbReceitas[[#This Row],[data_transacao]], "aaaa-mm")</f>
        <v>2025-04</v>
      </c>
    </row>
    <row r="2202" spans="1:8">
      <c r="A2202">
        <v>2201</v>
      </c>
      <c r="B2202" s="1">
        <v>46264</v>
      </c>
      <c r="C2202" t="s">
        <v>909</v>
      </c>
      <c r="D2202" t="s">
        <v>670</v>
      </c>
      <c r="E2202">
        <v>1</v>
      </c>
      <c r="F2202">
        <v>23664</v>
      </c>
      <c r="G2202">
        <f>TbReceitas[[#This Row],[quantidade]]*TbReceitas[[#This Row],[preco_unitario]]</f>
        <v>23664</v>
      </c>
      <c r="H2202" t="str">
        <f>TEXT(TbReceitas[[#This Row],[data_transacao]], "aaaa-mm")</f>
        <v>2026-08</v>
      </c>
    </row>
    <row r="2203" spans="1:8">
      <c r="A2203">
        <v>2202</v>
      </c>
      <c r="B2203" s="1">
        <v>46149</v>
      </c>
      <c r="C2203" t="s">
        <v>1065</v>
      </c>
      <c r="D2203" t="s">
        <v>407</v>
      </c>
      <c r="E2203">
        <v>4</v>
      </c>
      <c r="F2203">
        <v>6567</v>
      </c>
      <c r="G2203">
        <f>TbReceitas[[#This Row],[quantidade]]*TbReceitas[[#This Row],[preco_unitario]]</f>
        <v>26268</v>
      </c>
      <c r="H2203" t="str">
        <f>TEXT(TbReceitas[[#This Row],[data_transacao]], "aaaa-mm")</f>
        <v>2026-05</v>
      </c>
    </row>
    <row r="2204" spans="1:8">
      <c r="A2204">
        <v>2203</v>
      </c>
      <c r="B2204" s="1">
        <v>45664</v>
      </c>
      <c r="C2204" t="s">
        <v>1357</v>
      </c>
      <c r="D2204" t="s">
        <v>1392</v>
      </c>
      <c r="E2204">
        <v>1</v>
      </c>
      <c r="F2204">
        <v>346</v>
      </c>
      <c r="G2204">
        <f>TbReceitas[[#This Row],[quantidade]]*TbReceitas[[#This Row],[preco_unitario]]</f>
        <v>346</v>
      </c>
      <c r="H2204" t="str">
        <f>TEXT(TbReceitas[[#This Row],[data_transacao]], "aaaa-mm")</f>
        <v>2025-01</v>
      </c>
    </row>
    <row r="2205" spans="1:8">
      <c r="A2205">
        <v>2204</v>
      </c>
      <c r="B2205" s="1">
        <v>45739</v>
      </c>
      <c r="C2205" t="s">
        <v>1004</v>
      </c>
      <c r="D2205" t="s">
        <v>484</v>
      </c>
      <c r="E2205">
        <v>1</v>
      </c>
      <c r="F2205">
        <v>1979</v>
      </c>
      <c r="G2205">
        <f>TbReceitas[[#This Row],[quantidade]]*TbReceitas[[#This Row],[preco_unitario]]</f>
        <v>1979</v>
      </c>
      <c r="H2205" t="str">
        <f>TEXT(TbReceitas[[#This Row],[data_transacao]], "aaaa-mm")</f>
        <v>2025-03</v>
      </c>
    </row>
    <row r="2206" spans="1:8">
      <c r="A2206">
        <v>2205</v>
      </c>
      <c r="B2206" s="1">
        <v>45818</v>
      </c>
      <c r="C2206" t="s">
        <v>839</v>
      </c>
      <c r="D2206" t="s">
        <v>147</v>
      </c>
      <c r="E2206">
        <v>5</v>
      </c>
      <c r="F2206">
        <v>3654</v>
      </c>
      <c r="G2206">
        <f>TbReceitas[[#This Row],[quantidade]]*TbReceitas[[#This Row],[preco_unitario]]</f>
        <v>18270</v>
      </c>
      <c r="H2206" t="str">
        <f>TEXT(TbReceitas[[#This Row],[data_transacao]], "aaaa-mm")</f>
        <v>2025-06</v>
      </c>
    </row>
    <row r="2207" spans="1:8">
      <c r="A2207">
        <v>2206</v>
      </c>
      <c r="B2207" s="1">
        <v>45597</v>
      </c>
      <c r="C2207" t="s">
        <v>743</v>
      </c>
      <c r="D2207" t="s">
        <v>621</v>
      </c>
      <c r="E2207">
        <v>2</v>
      </c>
      <c r="F2207">
        <v>9823</v>
      </c>
      <c r="G2207">
        <f>TbReceitas[[#This Row],[quantidade]]*TbReceitas[[#This Row],[preco_unitario]]</f>
        <v>19646</v>
      </c>
      <c r="H2207" t="str">
        <f>TEXT(TbReceitas[[#This Row],[data_transacao]], "aaaa-mm")</f>
        <v>2024-11</v>
      </c>
    </row>
    <row r="2208" spans="1:8">
      <c r="A2208">
        <v>2207</v>
      </c>
      <c r="B2208" s="1">
        <v>45813</v>
      </c>
      <c r="C2208" t="s">
        <v>1580</v>
      </c>
      <c r="D2208" t="s">
        <v>151</v>
      </c>
      <c r="E2208">
        <v>1</v>
      </c>
      <c r="F2208">
        <v>19706</v>
      </c>
      <c r="G2208">
        <f>TbReceitas[[#This Row],[quantidade]]*TbReceitas[[#This Row],[preco_unitario]]</f>
        <v>19706</v>
      </c>
      <c r="H2208" t="str">
        <f>TEXT(TbReceitas[[#This Row],[data_transacao]], "aaaa-mm")</f>
        <v>2025-06</v>
      </c>
    </row>
    <row r="2209" spans="1:8">
      <c r="A2209">
        <v>2208</v>
      </c>
      <c r="B2209" s="1">
        <v>46052</v>
      </c>
      <c r="C2209" t="s">
        <v>1075</v>
      </c>
      <c r="D2209" t="s">
        <v>508</v>
      </c>
      <c r="E2209">
        <v>1</v>
      </c>
      <c r="F2209">
        <v>12755</v>
      </c>
      <c r="G2209">
        <f>TbReceitas[[#This Row],[quantidade]]*TbReceitas[[#This Row],[preco_unitario]]</f>
        <v>12755</v>
      </c>
      <c r="H2209" t="str">
        <f>TEXT(TbReceitas[[#This Row],[data_transacao]], "aaaa-mm")</f>
        <v>2026-01</v>
      </c>
    </row>
    <row r="2210" spans="1:8">
      <c r="A2210">
        <v>2209</v>
      </c>
      <c r="B2210" s="1">
        <v>46165</v>
      </c>
      <c r="C2210" t="s">
        <v>1714</v>
      </c>
      <c r="D2210" t="s">
        <v>448</v>
      </c>
      <c r="E2210">
        <v>2</v>
      </c>
      <c r="F2210">
        <v>20644</v>
      </c>
      <c r="G2210">
        <f>TbReceitas[[#This Row],[quantidade]]*TbReceitas[[#This Row],[preco_unitario]]</f>
        <v>41288</v>
      </c>
      <c r="H2210" t="str">
        <f>TEXT(TbReceitas[[#This Row],[data_transacao]], "aaaa-mm")</f>
        <v>2026-05</v>
      </c>
    </row>
    <row r="2211" spans="1:8">
      <c r="A2211">
        <v>2210</v>
      </c>
      <c r="B2211" s="1">
        <v>46190</v>
      </c>
      <c r="C2211" t="s">
        <v>1551</v>
      </c>
      <c r="D2211" t="s">
        <v>145</v>
      </c>
      <c r="E2211">
        <v>5</v>
      </c>
      <c r="F2211">
        <v>3517</v>
      </c>
      <c r="G2211">
        <f>TbReceitas[[#This Row],[quantidade]]*TbReceitas[[#This Row],[preco_unitario]]</f>
        <v>17585</v>
      </c>
      <c r="H2211" t="str">
        <f>TEXT(TbReceitas[[#This Row],[data_transacao]], "aaaa-mm")</f>
        <v>2026-06</v>
      </c>
    </row>
    <row r="2212" spans="1:8">
      <c r="A2212">
        <v>2211</v>
      </c>
      <c r="B2212" s="1">
        <v>45711</v>
      </c>
      <c r="C2212" t="s">
        <v>1476</v>
      </c>
      <c r="D2212" t="s">
        <v>124</v>
      </c>
      <c r="E2212">
        <v>1</v>
      </c>
      <c r="F2212">
        <v>16361</v>
      </c>
      <c r="G2212">
        <f>TbReceitas[[#This Row],[quantidade]]*TbReceitas[[#This Row],[preco_unitario]]</f>
        <v>16361</v>
      </c>
      <c r="H2212" t="str">
        <f>TEXT(TbReceitas[[#This Row],[data_transacao]], "aaaa-mm")</f>
        <v>2025-02</v>
      </c>
    </row>
    <row r="2213" spans="1:8">
      <c r="A2213">
        <v>2212</v>
      </c>
      <c r="B2213" s="1">
        <v>45929</v>
      </c>
      <c r="C2213" t="s">
        <v>1154</v>
      </c>
      <c r="D2213" t="s">
        <v>331</v>
      </c>
      <c r="E2213">
        <v>2</v>
      </c>
      <c r="F2213">
        <v>1809</v>
      </c>
      <c r="G2213">
        <f>TbReceitas[[#This Row],[quantidade]]*TbReceitas[[#This Row],[preco_unitario]]</f>
        <v>3618</v>
      </c>
      <c r="H2213" t="str">
        <f>TEXT(TbReceitas[[#This Row],[data_transacao]], "aaaa-mm")</f>
        <v>2025-09</v>
      </c>
    </row>
    <row r="2214" spans="1:8">
      <c r="A2214">
        <v>2213</v>
      </c>
      <c r="B2214" s="1">
        <v>45821</v>
      </c>
      <c r="C2214" t="s">
        <v>1479</v>
      </c>
      <c r="D2214" t="s">
        <v>224</v>
      </c>
      <c r="E2214">
        <v>3</v>
      </c>
      <c r="F2214">
        <v>2181</v>
      </c>
      <c r="G2214">
        <f>TbReceitas[[#This Row],[quantidade]]*TbReceitas[[#This Row],[preco_unitario]]</f>
        <v>6543</v>
      </c>
      <c r="H2214" t="str">
        <f>TEXT(TbReceitas[[#This Row],[data_transacao]], "aaaa-mm")</f>
        <v>2025-06</v>
      </c>
    </row>
    <row r="2215" spans="1:8">
      <c r="A2215">
        <v>2214</v>
      </c>
      <c r="B2215" s="1">
        <v>46257</v>
      </c>
      <c r="C2215" t="s">
        <v>787</v>
      </c>
      <c r="D2215" t="s">
        <v>20</v>
      </c>
      <c r="E2215">
        <v>2</v>
      </c>
      <c r="F2215">
        <v>5319</v>
      </c>
      <c r="G2215">
        <f>TbReceitas[[#This Row],[quantidade]]*TbReceitas[[#This Row],[preco_unitario]]</f>
        <v>10638</v>
      </c>
      <c r="H2215" t="str">
        <f>TEXT(TbReceitas[[#This Row],[data_transacao]], "aaaa-mm")</f>
        <v>2026-08</v>
      </c>
    </row>
    <row r="2216" spans="1:8">
      <c r="A2216">
        <v>2215</v>
      </c>
      <c r="B2216" s="1">
        <v>45985</v>
      </c>
      <c r="C2216" t="s">
        <v>1306</v>
      </c>
      <c r="D2216" t="s">
        <v>392</v>
      </c>
      <c r="E2216">
        <v>1</v>
      </c>
      <c r="F2216">
        <v>11406</v>
      </c>
      <c r="G2216">
        <f>TbReceitas[[#This Row],[quantidade]]*TbReceitas[[#This Row],[preco_unitario]]</f>
        <v>11406</v>
      </c>
      <c r="H2216" t="str">
        <f>TEXT(TbReceitas[[#This Row],[data_transacao]], "aaaa-mm")</f>
        <v>2025-11</v>
      </c>
    </row>
    <row r="2217" spans="1:8">
      <c r="A2217">
        <v>2216</v>
      </c>
      <c r="B2217" s="1">
        <v>46068</v>
      </c>
      <c r="C2217" t="s">
        <v>744</v>
      </c>
      <c r="D2217" t="s">
        <v>553</v>
      </c>
      <c r="E2217">
        <v>5</v>
      </c>
      <c r="F2217">
        <v>106</v>
      </c>
      <c r="G2217">
        <f>TbReceitas[[#This Row],[quantidade]]*TbReceitas[[#This Row],[preco_unitario]]</f>
        <v>530</v>
      </c>
      <c r="H2217" t="str">
        <f>TEXT(TbReceitas[[#This Row],[data_transacao]], "aaaa-mm")</f>
        <v>2026-02</v>
      </c>
    </row>
    <row r="2218" spans="1:8">
      <c r="A2218">
        <v>2217</v>
      </c>
      <c r="B2218" s="1">
        <v>45819</v>
      </c>
      <c r="C2218" t="s">
        <v>1249</v>
      </c>
      <c r="D2218" t="s">
        <v>654</v>
      </c>
      <c r="E2218">
        <v>1</v>
      </c>
      <c r="F2218">
        <v>10545</v>
      </c>
      <c r="G2218">
        <f>TbReceitas[[#This Row],[quantidade]]*TbReceitas[[#This Row],[preco_unitario]]</f>
        <v>10545</v>
      </c>
      <c r="H2218" t="str">
        <f>TEXT(TbReceitas[[#This Row],[data_transacao]], "aaaa-mm")</f>
        <v>2025-06</v>
      </c>
    </row>
    <row r="2219" spans="1:8">
      <c r="A2219">
        <v>2218</v>
      </c>
      <c r="B2219" s="1">
        <v>45840</v>
      </c>
      <c r="C2219" t="s">
        <v>887</v>
      </c>
      <c r="D2219" t="s">
        <v>257</v>
      </c>
      <c r="E2219">
        <v>3</v>
      </c>
      <c r="F2219">
        <v>5821</v>
      </c>
      <c r="G2219">
        <f>TbReceitas[[#This Row],[quantidade]]*TbReceitas[[#This Row],[preco_unitario]]</f>
        <v>17463</v>
      </c>
      <c r="H2219" t="str">
        <f>TEXT(TbReceitas[[#This Row],[data_transacao]], "aaaa-mm")</f>
        <v>2025-07</v>
      </c>
    </row>
    <row r="2220" spans="1:8">
      <c r="A2220">
        <v>2219</v>
      </c>
      <c r="B2220" s="1">
        <v>46048</v>
      </c>
      <c r="C2220" t="s">
        <v>997</v>
      </c>
      <c r="D2220" t="s">
        <v>488</v>
      </c>
      <c r="E2220">
        <v>1</v>
      </c>
      <c r="F2220">
        <v>7594</v>
      </c>
      <c r="G2220">
        <f>TbReceitas[[#This Row],[quantidade]]*TbReceitas[[#This Row],[preco_unitario]]</f>
        <v>7594</v>
      </c>
      <c r="H2220" t="str">
        <f>TEXT(TbReceitas[[#This Row],[data_transacao]], "aaaa-mm")</f>
        <v>2026-01</v>
      </c>
    </row>
    <row r="2221" spans="1:8">
      <c r="A2221">
        <v>2220</v>
      </c>
      <c r="B2221" s="1">
        <v>46022</v>
      </c>
      <c r="C2221" t="s">
        <v>995</v>
      </c>
      <c r="D2221" t="s">
        <v>399</v>
      </c>
      <c r="E2221">
        <v>5</v>
      </c>
      <c r="F2221">
        <v>2413</v>
      </c>
      <c r="G2221">
        <f>TbReceitas[[#This Row],[quantidade]]*TbReceitas[[#This Row],[preco_unitario]]</f>
        <v>12065</v>
      </c>
      <c r="H2221" t="str">
        <f>TEXT(TbReceitas[[#This Row],[data_transacao]], "aaaa-mm")</f>
        <v>2025-12</v>
      </c>
    </row>
    <row r="2222" spans="1:8">
      <c r="A2222">
        <v>2221</v>
      </c>
      <c r="B2222" s="1">
        <v>45895</v>
      </c>
      <c r="C2222" t="s">
        <v>1705</v>
      </c>
      <c r="D2222" t="s">
        <v>474</v>
      </c>
      <c r="E2222">
        <v>1</v>
      </c>
      <c r="F2222">
        <v>10801</v>
      </c>
      <c r="G2222">
        <f>TbReceitas[[#This Row],[quantidade]]*TbReceitas[[#This Row],[preco_unitario]]</f>
        <v>10801</v>
      </c>
      <c r="H2222" t="str">
        <f>TEXT(TbReceitas[[#This Row],[data_transacao]], "aaaa-mm")</f>
        <v>2025-08</v>
      </c>
    </row>
    <row r="2223" spans="1:8">
      <c r="A2223">
        <v>2222</v>
      </c>
      <c r="B2223" s="1">
        <v>45868</v>
      </c>
      <c r="C2223" t="s">
        <v>1112</v>
      </c>
      <c r="D2223" t="s">
        <v>416</v>
      </c>
      <c r="E2223">
        <v>1</v>
      </c>
      <c r="F2223">
        <v>2143</v>
      </c>
      <c r="G2223">
        <f>TbReceitas[[#This Row],[quantidade]]*TbReceitas[[#This Row],[preco_unitario]]</f>
        <v>2143</v>
      </c>
      <c r="H2223" t="str">
        <f>TEXT(TbReceitas[[#This Row],[data_transacao]], "aaaa-mm")</f>
        <v>2025-07</v>
      </c>
    </row>
    <row r="2224" spans="1:8">
      <c r="A2224">
        <v>2223</v>
      </c>
      <c r="B2224" s="1">
        <v>45797</v>
      </c>
      <c r="C2224" t="s">
        <v>1192</v>
      </c>
      <c r="D2224" t="s">
        <v>196</v>
      </c>
      <c r="E2224">
        <v>1</v>
      </c>
      <c r="F2224">
        <v>8167</v>
      </c>
      <c r="G2224">
        <f>TbReceitas[[#This Row],[quantidade]]*TbReceitas[[#This Row],[preco_unitario]]</f>
        <v>8167</v>
      </c>
      <c r="H2224" t="str">
        <f>TEXT(TbReceitas[[#This Row],[data_transacao]], "aaaa-mm")</f>
        <v>2025-05</v>
      </c>
    </row>
    <row r="2225" spans="1:8">
      <c r="A2225">
        <v>2224</v>
      </c>
      <c r="B2225" s="1">
        <v>45835</v>
      </c>
      <c r="C2225" t="s">
        <v>1715</v>
      </c>
      <c r="D2225" t="s">
        <v>203</v>
      </c>
      <c r="E2225">
        <v>3</v>
      </c>
      <c r="F2225">
        <v>1934</v>
      </c>
      <c r="G2225">
        <f>TbReceitas[[#This Row],[quantidade]]*TbReceitas[[#This Row],[preco_unitario]]</f>
        <v>5802</v>
      </c>
      <c r="H2225" t="str">
        <f>TEXT(TbReceitas[[#This Row],[data_transacao]], "aaaa-mm")</f>
        <v>2025-06</v>
      </c>
    </row>
    <row r="2226" spans="1:8">
      <c r="A2226">
        <v>2225</v>
      </c>
      <c r="B2226" s="1">
        <v>46018</v>
      </c>
      <c r="C2226" t="s">
        <v>1387</v>
      </c>
      <c r="D2226" t="s">
        <v>54</v>
      </c>
      <c r="E2226">
        <v>4</v>
      </c>
      <c r="F2226">
        <v>17325</v>
      </c>
      <c r="G2226">
        <f>TbReceitas[[#This Row],[quantidade]]*TbReceitas[[#This Row],[preco_unitario]]</f>
        <v>69300</v>
      </c>
      <c r="H2226" t="str">
        <f>TEXT(TbReceitas[[#This Row],[data_transacao]], "aaaa-mm")</f>
        <v>2025-12</v>
      </c>
    </row>
    <row r="2227" spans="1:8">
      <c r="A2227">
        <v>2226</v>
      </c>
      <c r="B2227" s="1">
        <v>45912</v>
      </c>
      <c r="C2227" t="s">
        <v>1518</v>
      </c>
      <c r="D2227" t="s">
        <v>902</v>
      </c>
      <c r="E2227">
        <v>5</v>
      </c>
      <c r="F2227">
        <v>14695</v>
      </c>
      <c r="G2227">
        <f>TbReceitas[[#This Row],[quantidade]]*TbReceitas[[#This Row],[preco_unitario]]</f>
        <v>73475</v>
      </c>
      <c r="H2227" t="str">
        <f>TEXT(TbReceitas[[#This Row],[data_transacao]], "aaaa-mm")</f>
        <v>2025-09</v>
      </c>
    </row>
    <row r="2228" spans="1:8">
      <c r="A2228">
        <v>2227</v>
      </c>
      <c r="B2228" s="1">
        <v>45690</v>
      </c>
      <c r="C2228" t="s">
        <v>761</v>
      </c>
      <c r="D2228" t="s">
        <v>658</v>
      </c>
      <c r="E2228">
        <v>4</v>
      </c>
      <c r="F2228">
        <v>9276</v>
      </c>
      <c r="G2228">
        <f>TbReceitas[[#This Row],[quantidade]]*TbReceitas[[#This Row],[preco_unitario]]</f>
        <v>37104</v>
      </c>
      <c r="H2228" t="str">
        <f>TEXT(TbReceitas[[#This Row],[data_transacao]], "aaaa-mm")</f>
        <v>2025-02</v>
      </c>
    </row>
    <row r="2229" spans="1:8">
      <c r="A2229">
        <v>2228</v>
      </c>
      <c r="B2229" s="1">
        <v>46029</v>
      </c>
      <c r="C2229" t="s">
        <v>1642</v>
      </c>
      <c r="D2229" t="s">
        <v>1716</v>
      </c>
      <c r="E2229">
        <v>1</v>
      </c>
      <c r="F2229">
        <v>4146</v>
      </c>
      <c r="G2229">
        <f>TbReceitas[[#This Row],[quantidade]]*TbReceitas[[#This Row],[preco_unitario]]</f>
        <v>4146</v>
      </c>
      <c r="H2229" t="str">
        <f>TEXT(TbReceitas[[#This Row],[data_transacao]], "aaaa-mm")</f>
        <v>2026-01</v>
      </c>
    </row>
    <row r="2230" spans="1:8">
      <c r="A2230">
        <v>2229</v>
      </c>
      <c r="B2230" s="1">
        <v>45673</v>
      </c>
      <c r="C2230" t="s">
        <v>825</v>
      </c>
      <c r="D2230" t="s">
        <v>558</v>
      </c>
      <c r="E2230">
        <v>2</v>
      </c>
      <c r="F2230">
        <v>616</v>
      </c>
      <c r="G2230">
        <f>TbReceitas[[#This Row],[quantidade]]*TbReceitas[[#This Row],[preco_unitario]]</f>
        <v>1232</v>
      </c>
      <c r="H2230" t="str">
        <f>TEXT(TbReceitas[[#This Row],[data_transacao]], "aaaa-mm")</f>
        <v>2025-01</v>
      </c>
    </row>
    <row r="2231" spans="1:8">
      <c r="A2231">
        <v>2230</v>
      </c>
      <c r="B2231" s="1">
        <v>45627</v>
      </c>
      <c r="C2231" t="s">
        <v>833</v>
      </c>
      <c r="D2231" t="s">
        <v>420</v>
      </c>
      <c r="E2231">
        <v>3</v>
      </c>
      <c r="F2231">
        <v>24341</v>
      </c>
      <c r="G2231">
        <f>TbReceitas[[#This Row],[quantidade]]*TbReceitas[[#This Row],[preco_unitario]]</f>
        <v>73023</v>
      </c>
      <c r="H2231" t="str">
        <f>TEXT(TbReceitas[[#This Row],[data_transacao]], "aaaa-mm")</f>
        <v>2024-12</v>
      </c>
    </row>
    <row r="2232" spans="1:8">
      <c r="A2232">
        <v>2231</v>
      </c>
      <c r="B2232" s="1">
        <v>45765</v>
      </c>
      <c r="C2232" t="s">
        <v>1473</v>
      </c>
      <c r="D2232" t="s">
        <v>288</v>
      </c>
      <c r="E2232">
        <v>1</v>
      </c>
      <c r="F2232">
        <v>1219</v>
      </c>
      <c r="G2232">
        <f>TbReceitas[[#This Row],[quantidade]]*TbReceitas[[#This Row],[preco_unitario]]</f>
        <v>1219</v>
      </c>
      <c r="H2232" t="str">
        <f>TEXT(TbReceitas[[#This Row],[data_transacao]], "aaaa-mm")</f>
        <v>2025-04</v>
      </c>
    </row>
    <row r="2233" spans="1:8">
      <c r="A2233">
        <v>2232</v>
      </c>
      <c r="B2233" s="1">
        <v>45796</v>
      </c>
      <c r="C2233" t="s">
        <v>1031</v>
      </c>
      <c r="D2233" t="s">
        <v>202</v>
      </c>
      <c r="E2233">
        <v>1</v>
      </c>
      <c r="F2233">
        <v>8469</v>
      </c>
      <c r="G2233">
        <f>TbReceitas[[#This Row],[quantidade]]*TbReceitas[[#This Row],[preco_unitario]]</f>
        <v>8469</v>
      </c>
      <c r="H2233" t="str">
        <f>TEXT(TbReceitas[[#This Row],[data_transacao]], "aaaa-mm")</f>
        <v>2025-05</v>
      </c>
    </row>
    <row r="2234" spans="1:8">
      <c r="A2234">
        <v>2233</v>
      </c>
      <c r="B2234" s="1">
        <v>45654</v>
      </c>
      <c r="C2234" t="s">
        <v>1717</v>
      </c>
      <c r="D2234" t="s">
        <v>563</v>
      </c>
      <c r="E2234">
        <v>4</v>
      </c>
      <c r="F2234">
        <v>3006</v>
      </c>
      <c r="G2234">
        <f>TbReceitas[[#This Row],[quantidade]]*TbReceitas[[#This Row],[preco_unitario]]</f>
        <v>12024</v>
      </c>
      <c r="H2234" t="str">
        <f>TEXT(TbReceitas[[#This Row],[data_transacao]], "aaaa-mm")</f>
        <v>2024-12</v>
      </c>
    </row>
    <row r="2235" spans="1:8">
      <c r="A2235">
        <v>2234</v>
      </c>
      <c r="B2235" s="1">
        <v>46264</v>
      </c>
      <c r="C2235" t="s">
        <v>1718</v>
      </c>
      <c r="D2235" t="s">
        <v>12</v>
      </c>
      <c r="E2235">
        <v>5</v>
      </c>
      <c r="F2235">
        <v>11453</v>
      </c>
      <c r="G2235">
        <f>TbReceitas[[#This Row],[quantidade]]*TbReceitas[[#This Row],[preco_unitario]]</f>
        <v>57265</v>
      </c>
      <c r="H2235" t="str">
        <f>TEXT(TbReceitas[[#This Row],[data_transacao]], "aaaa-mm")</f>
        <v>2026-08</v>
      </c>
    </row>
    <row r="2236" spans="1:8">
      <c r="A2236">
        <v>2235</v>
      </c>
      <c r="B2236" s="1">
        <v>46124</v>
      </c>
      <c r="C2236" t="s">
        <v>1598</v>
      </c>
      <c r="D2236" t="s">
        <v>613</v>
      </c>
      <c r="E2236">
        <v>2</v>
      </c>
      <c r="F2236">
        <v>9029</v>
      </c>
      <c r="G2236">
        <f>TbReceitas[[#This Row],[quantidade]]*TbReceitas[[#This Row],[preco_unitario]]</f>
        <v>18058</v>
      </c>
      <c r="H2236" t="str">
        <f>TEXT(TbReceitas[[#This Row],[data_transacao]], "aaaa-mm")</f>
        <v>2026-04</v>
      </c>
    </row>
    <row r="2237" spans="1:8">
      <c r="A2237">
        <v>2236</v>
      </c>
      <c r="B2237" s="1">
        <v>45736</v>
      </c>
      <c r="C2237" t="s">
        <v>1091</v>
      </c>
      <c r="D2237" t="s">
        <v>136</v>
      </c>
      <c r="E2237">
        <v>5</v>
      </c>
      <c r="F2237">
        <v>134</v>
      </c>
      <c r="G2237">
        <f>TbReceitas[[#This Row],[quantidade]]*TbReceitas[[#This Row],[preco_unitario]]</f>
        <v>670</v>
      </c>
      <c r="H2237" t="str">
        <f>TEXT(TbReceitas[[#This Row],[data_transacao]], "aaaa-mm")</f>
        <v>2025-03</v>
      </c>
    </row>
    <row r="2238" spans="1:8">
      <c r="A2238">
        <v>2237</v>
      </c>
      <c r="B2238" s="1">
        <v>46154</v>
      </c>
      <c r="C2238" t="s">
        <v>1318</v>
      </c>
      <c r="D2238" t="s">
        <v>256</v>
      </c>
      <c r="E2238">
        <v>2</v>
      </c>
      <c r="F2238">
        <v>9187</v>
      </c>
      <c r="G2238">
        <f>TbReceitas[[#This Row],[quantidade]]*TbReceitas[[#This Row],[preco_unitario]]</f>
        <v>18374</v>
      </c>
      <c r="H2238" t="str">
        <f>TEXT(TbReceitas[[#This Row],[data_transacao]], "aaaa-mm")</f>
        <v>2026-05</v>
      </c>
    </row>
    <row r="2239" spans="1:8">
      <c r="A2239">
        <v>2238</v>
      </c>
      <c r="B2239" s="1">
        <v>45957</v>
      </c>
      <c r="C2239" t="s">
        <v>1719</v>
      </c>
      <c r="D2239" t="s">
        <v>573</v>
      </c>
      <c r="E2239">
        <v>4</v>
      </c>
      <c r="F2239">
        <v>1212</v>
      </c>
      <c r="G2239">
        <f>TbReceitas[[#This Row],[quantidade]]*TbReceitas[[#This Row],[preco_unitario]]</f>
        <v>4848</v>
      </c>
      <c r="H2239" t="str">
        <f>TEXT(TbReceitas[[#This Row],[data_transacao]], "aaaa-mm")</f>
        <v>2025-10</v>
      </c>
    </row>
    <row r="2240" spans="1:8">
      <c r="A2240">
        <v>2239</v>
      </c>
      <c r="B2240" s="1">
        <v>45952</v>
      </c>
      <c r="C2240" t="s">
        <v>1389</v>
      </c>
      <c r="D2240" t="s">
        <v>99</v>
      </c>
      <c r="E2240">
        <v>2</v>
      </c>
      <c r="F2240">
        <v>19038</v>
      </c>
      <c r="G2240">
        <f>TbReceitas[[#This Row],[quantidade]]*TbReceitas[[#This Row],[preco_unitario]]</f>
        <v>38076</v>
      </c>
      <c r="H2240" t="str">
        <f>TEXT(TbReceitas[[#This Row],[data_transacao]], "aaaa-mm")</f>
        <v>2025-10</v>
      </c>
    </row>
    <row r="2241" spans="1:8">
      <c r="A2241">
        <v>2240</v>
      </c>
      <c r="B2241" s="1">
        <v>46228</v>
      </c>
      <c r="C2241" t="s">
        <v>1247</v>
      </c>
      <c r="D2241" t="s">
        <v>642</v>
      </c>
      <c r="E2241">
        <v>3</v>
      </c>
      <c r="F2241">
        <v>3555</v>
      </c>
      <c r="G2241">
        <f>TbReceitas[[#This Row],[quantidade]]*TbReceitas[[#This Row],[preco_unitario]]</f>
        <v>10665</v>
      </c>
      <c r="H2241" t="str">
        <f>TEXT(TbReceitas[[#This Row],[data_transacao]], "aaaa-mm")</f>
        <v>2026-07</v>
      </c>
    </row>
    <row r="2242" spans="1:8">
      <c r="A2242">
        <v>2241</v>
      </c>
      <c r="B2242" s="1">
        <v>45761</v>
      </c>
      <c r="C2242" t="s">
        <v>1106</v>
      </c>
      <c r="D2242" t="s">
        <v>494</v>
      </c>
      <c r="E2242">
        <v>3</v>
      </c>
      <c r="F2242">
        <v>2542</v>
      </c>
      <c r="G2242">
        <f>TbReceitas[[#This Row],[quantidade]]*TbReceitas[[#This Row],[preco_unitario]]</f>
        <v>7626</v>
      </c>
      <c r="H2242" t="str">
        <f>TEXT(TbReceitas[[#This Row],[data_transacao]], "aaaa-mm")</f>
        <v>2025-04</v>
      </c>
    </row>
    <row r="2243" spans="1:8">
      <c r="A2243">
        <v>2242</v>
      </c>
      <c r="B2243" s="1">
        <v>45959</v>
      </c>
      <c r="C2243" t="s">
        <v>731</v>
      </c>
      <c r="D2243" t="s">
        <v>568</v>
      </c>
      <c r="E2243">
        <v>2</v>
      </c>
      <c r="F2243">
        <v>9027</v>
      </c>
      <c r="G2243">
        <f>TbReceitas[[#This Row],[quantidade]]*TbReceitas[[#This Row],[preco_unitario]]</f>
        <v>18054</v>
      </c>
      <c r="H2243" t="str">
        <f>TEXT(TbReceitas[[#This Row],[data_transacao]], "aaaa-mm")</f>
        <v>2025-10</v>
      </c>
    </row>
    <row r="2244" spans="1:8">
      <c r="A2244">
        <v>2243</v>
      </c>
      <c r="B2244" s="1">
        <v>45664</v>
      </c>
      <c r="C2244" t="s">
        <v>1720</v>
      </c>
      <c r="D2244" t="s">
        <v>409</v>
      </c>
      <c r="E2244">
        <v>1</v>
      </c>
      <c r="F2244">
        <v>6002</v>
      </c>
      <c r="G2244">
        <f>TbReceitas[[#This Row],[quantidade]]*TbReceitas[[#This Row],[preco_unitario]]</f>
        <v>6002</v>
      </c>
      <c r="H2244" t="str">
        <f>TEXT(TbReceitas[[#This Row],[data_transacao]], "aaaa-mm")</f>
        <v>2025-01</v>
      </c>
    </row>
    <row r="2245" spans="1:8">
      <c r="A2245">
        <v>2244</v>
      </c>
      <c r="B2245" s="1">
        <v>46115</v>
      </c>
      <c r="C2245" t="s">
        <v>785</v>
      </c>
      <c r="D2245" t="s">
        <v>563</v>
      </c>
      <c r="E2245">
        <v>4</v>
      </c>
      <c r="F2245">
        <v>3006</v>
      </c>
      <c r="G2245">
        <f>TbReceitas[[#This Row],[quantidade]]*TbReceitas[[#This Row],[preco_unitario]]</f>
        <v>12024</v>
      </c>
      <c r="H2245" t="str">
        <f>TEXT(TbReceitas[[#This Row],[data_transacao]], "aaaa-mm")</f>
        <v>2026-04</v>
      </c>
    </row>
    <row r="2246" spans="1:8">
      <c r="A2246">
        <v>2245</v>
      </c>
      <c r="B2246" s="1">
        <v>45824</v>
      </c>
      <c r="C2246" t="s">
        <v>1721</v>
      </c>
      <c r="D2246" t="s">
        <v>649</v>
      </c>
      <c r="E2246">
        <v>3</v>
      </c>
      <c r="F2246">
        <v>22268</v>
      </c>
      <c r="G2246">
        <f>TbReceitas[[#This Row],[quantidade]]*TbReceitas[[#This Row],[preco_unitario]]</f>
        <v>66804</v>
      </c>
      <c r="H2246" t="str">
        <f>TEXT(TbReceitas[[#This Row],[data_transacao]], "aaaa-mm")</f>
        <v>2025-06</v>
      </c>
    </row>
    <row r="2247" spans="1:8">
      <c r="A2247">
        <v>2246</v>
      </c>
      <c r="B2247" s="1">
        <v>45929</v>
      </c>
      <c r="C2247" t="s">
        <v>1722</v>
      </c>
      <c r="D2247" t="s">
        <v>348</v>
      </c>
      <c r="E2247">
        <v>3</v>
      </c>
      <c r="F2247">
        <v>14528</v>
      </c>
      <c r="G2247">
        <f>TbReceitas[[#This Row],[quantidade]]*TbReceitas[[#This Row],[preco_unitario]]</f>
        <v>43584</v>
      </c>
      <c r="H2247" t="str">
        <f>TEXT(TbReceitas[[#This Row],[data_transacao]], "aaaa-mm")</f>
        <v>2025-09</v>
      </c>
    </row>
    <row r="2248" spans="1:8">
      <c r="A2248">
        <v>2247</v>
      </c>
      <c r="B2248" s="1">
        <v>45885</v>
      </c>
      <c r="C2248" t="s">
        <v>1723</v>
      </c>
      <c r="D2248" t="s">
        <v>386</v>
      </c>
      <c r="E2248">
        <v>4</v>
      </c>
      <c r="F2248">
        <v>14646</v>
      </c>
      <c r="G2248">
        <f>TbReceitas[[#This Row],[quantidade]]*TbReceitas[[#This Row],[preco_unitario]]</f>
        <v>58584</v>
      </c>
      <c r="H2248" t="str">
        <f>TEXT(TbReceitas[[#This Row],[data_transacao]], "aaaa-mm")</f>
        <v>2025-08</v>
      </c>
    </row>
    <row r="2249" spans="1:8">
      <c r="A2249">
        <v>2248</v>
      </c>
      <c r="B2249" s="1">
        <v>46273</v>
      </c>
      <c r="C2249" t="s">
        <v>1132</v>
      </c>
      <c r="D2249" t="s">
        <v>139</v>
      </c>
      <c r="E2249">
        <v>4</v>
      </c>
      <c r="F2249">
        <v>21405</v>
      </c>
      <c r="G2249">
        <f>TbReceitas[[#This Row],[quantidade]]*TbReceitas[[#This Row],[preco_unitario]]</f>
        <v>85620</v>
      </c>
      <c r="H2249" t="str">
        <f>TEXT(TbReceitas[[#This Row],[data_transacao]], "aaaa-mm")</f>
        <v>2026-09</v>
      </c>
    </row>
    <row r="2250" spans="1:8">
      <c r="A2250">
        <v>2249</v>
      </c>
      <c r="B2250" s="1">
        <v>45903</v>
      </c>
      <c r="C2250" t="s">
        <v>1724</v>
      </c>
      <c r="D2250" t="s">
        <v>79</v>
      </c>
      <c r="E2250">
        <v>2</v>
      </c>
      <c r="F2250">
        <v>7278</v>
      </c>
      <c r="G2250">
        <f>TbReceitas[[#This Row],[quantidade]]*TbReceitas[[#This Row],[preco_unitario]]</f>
        <v>14556</v>
      </c>
      <c r="H2250" t="str">
        <f>TEXT(TbReceitas[[#This Row],[data_transacao]], "aaaa-mm")</f>
        <v>2025-09</v>
      </c>
    </row>
    <row r="2251" spans="1:8">
      <c r="A2251">
        <v>2250</v>
      </c>
      <c r="B2251" s="1">
        <v>46016</v>
      </c>
      <c r="C2251" t="s">
        <v>851</v>
      </c>
      <c r="D2251" t="s">
        <v>186</v>
      </c>
      <c r="E2251">
        <v>4</v>
      </c>
      <c r="F2251">
        <v>5111</v>
      </c>
      <c r="G2251">
        <f>TbReceitas[[#This Row],[quantidade]]*TbReceitas[[#This Row],[preco_unitario]]</f>
        <v>20444</v>
      </c>
      <c r="H2251" t="str">
        <f>TEXT(TbReceitas[[#This Row],[data_transacao]], "aaaa-mm")</f>
        <v>2025-12</v>
      </c>
    </row>
    <row r="2252" spans="1:8">
      <c r="A2252">
        <v>2251</v>
      </c>
      <c r="B2252" s="1">
        <v>45853</v>
      </c>
      <c r="C2252" t="s">
        <v>967</v>
      </c>
      <c r="D2252" t="s">
        <v>642</v>
      </c>
      <c r="E2252">
        <v>2</v>
      </c>
      <c r="F2252">
        <v>3555</v>
      </c>
      <c r="G2252">
        <f>TbReceitas[[#This Row],[quantidade]]*TbReceitas[[#This Row],[preco_unitario]]</f>
        <v>7110</v>
      </c>
      <c r="H2252" t="str">
        <f>TEXT(TbReceitas[[#This Row],[data_transacao]], "aaaa-mm")</f>
        <v>2025-07</v>
      </c>
    </row>
    <row r="2253" spans="1:8">
      <c r="A2253">
        <v>2252</v>
      </c>
      <c r="B2253" s="1">
        <v>45688</v>
      </c>
      <c r="C2253" t="s">
        <v>1725</v>
      </c>
      <c r="D2253" t="s">
        <v>604</v>
      </c>
      <c r="E2253">
        <v>5</v>
      </c>
      <c r="F2253">
        <v>17604</v>
      </c>
      <c r="G2253">
        <f>TbReceitas[[#This Row],[quantidade]]*TbReceitas[[#This Row],[preco_unitario]]</f>
        <v>88020</v>
      </c>
      <c r="H2253" t="str">
        <f>TEXT(TbReceitas[[#This Row],[data_transacao]], "aaaa-mm")</f>
        <v>2025-01</v>
      </c>
    </row>
    <row r="2254" spans="1:8">
      <c r="A2254">
        <v>2253</v>
      </c>
      <c r="B2254" s="1">
        <v>46155</v>
      </c>
      <c r="C2254" t="s">
        <v>1726</v>
      </c>
      <c r="D2254" t="s">
        <v>78</v>
      </c>
      <c r="E2254">
        <v>1</v>
      </c>
      <c r="F2254">
        <v>22164</v>
      </c>
      <c r="G2254">
        <f>TbReceitas[[#This Row],[quantidade]]*TbReceitas[[#This Row],[preco_unitario]]</f>
        <v>22164</v>
      </c>
      <c r="H2254" t="str">
        <f>TEXT(TbReceitas[[#This Row],[data_transacao]], "aaaa-mm")</f>
        <v>2026-05</v>
      </c>
    </row>
    <row r="2255" spans="1:8">
      <c r="A2255">
        <v>2254</v>
      </c>
      <c r="B2255" s="1">
        <v>45814</v>
      </c>
      <c r="C2255" t="s">
        <v>1027</v>
      </c>
      <c r="D2255" t="s">
        <v>484</v>
      </c>
      <c r="E2255">
        <v>2</v>
      </c>
      <c r="F2255">
        <v>1979</v>
      </c>
      <c r="G2255">
        <f>TbReceitas[[#This Row],[quantidade]]*TbReceitas[[#This Row],[preco_unitario]]</f>
        <v>3958</v>
      </c>
      <c r="H2255" t="str">
        <f>TEXT(TbReceitas[[#This Row],[data_transacao]], "aaaa-mm")</f>
        <v>2025-06</v>
      </c>
    </row>
    <row r="2256" spans="1:8">
      <c r="A2256">
        <v>2255</v>
      </c>
      <c r="B2256" s="1">
        <v>45959</v>
      </c>
      <c r="C2256" t="s">
        <v>1156</v>
      </c>
      <c r="D2256" t="s">
        <v>270</v>
      </c>
      <c r="E2256">
        <v>2</v>
      </c>
      <c r="F2256">
        <v>24663</v>
      </c>
      <c r="G2256">
        <f>TbReceitas[[#This Row],[quantidade]]*TbReceitas[[#This Row],[preco_unitario]]</f>
        <v>49326</v>
      </c>
      <c r="H2256" t="str">
        <f>TEXT(TbReceitas[[#This Row],[data_transacao]], "aaaa-mm")</f>
        <v>2025-10</v>
      </c>
    </row>
    <row r="2257" spans="1:8">
      <c r="A2257">
        <v>2256</v>
      </c>
      <c r="B2257" s="1">
        <v>45995</v>
      </c>
      <c r="C2257" t="s">
        <v>1455</v>
      </c>
      <c r="D2257" t="s">
        <v>632</v>
      </c>
      <c r="E2257">
        <v>4</v>
      </c>
      <c r="F2257">
        <v>6667</v>
      </c>
      <c r="G2257">
        <f>TbReceitas[[#This Row],[quantidade]]*TbReceitas[[#This Row],[preco_unitario]]</f>
        <v>26668</v>
      </c>
      <c r="H2257" t="str">
        <f>TEXT(TbReceitas[[#This Row],[data_transacao]], "aaaa-mm")</f>
        <v>2025-12</v>
      </c>
    </row>
    <row r="2258" spans="1:8">
      <c r="A2258">
        <v>2257</v>
      </c>
      <c r="B2258" s="1">
        <v>46043</v>
      </c>
      <c r="C2258" t="s">
        <v>1665</v>
      </c>
      <c r="D2258" t="s">
        <v>618</v>
      </c>
      <c r="E2258">
        <v>5</v>
      </c>
      <c r="F2258">
        <v>19479</v>
      </c>
      <c r="G2258">
        <f>TbReceitas[[#This Row],[quantidade]]*TbReceitas[[#This Row],[preco_unitario]]</f>
        <v>97395</v>
      </c>
      <c r="H2258" t="str">
        <f>TEXT(TbReceitas[[#This Row],[data_transacao]], "aaaa-mm")</f>
        <v>2026-01</v>
      </c>
    </row>
    <row r="2259" spans="1:8">
      <c r="A2259">
        <v>2258</v>
      </c>
      <c r="B2259" s="1">
        <v>45742</v>
      </c>
      <c r="C2259" t="s">
        <v>1208</v>
      </c>
      <c r="D2259" t="s">
        <v>79</v>
      </c>
      <c r="E2259">
        <v>3</v>
      </c>
      <c r="F2259">
        <v>7278</v>
      </c>
      <c r="G2259">
        <f>TbReceitas[[#This Row],[quantidade]]*TbReceitas[[#This Row],[preco_unitario]]</f>
        <v>21834</v>
      </c>
      <c r="H2259" t="str">
        <f>TEXT(TbReceitas[[#This Row],[data_transacao]], "aaaa-mm")</f>
        <v>2025-03</v>
      </c>
    </row>
    <row r="2260" spans="1:8">
      <c r="A2260">
        <v>2259</v>
      </c>
      <c r="B2260" s="1">
        <v>46268</v>
      </c>
      <c r="C2260" t="s">
        <v>1376</v>
      </c>
      <c r="D2260" t="s">
        <v>450</v>
      </c>
      <c r="E2260">
        <v>5</v>
      </c>
      <c r="F2260">
        <v>12673</v>
      </c>
      <c r="G2260">
        <f>TbReceitas[[#This Row],[quantidade]]*TbReceitas[[#This Row],[preco_unitario]]</f>
        <v>63365</v>
      </c>
      <c r="H2260" t="str">
        <f>TEXT(TbReceitas[[#This Row],[data_transacao]], "aaaa-mm")</f>
        <v>2026-09</v>
      </c>
    </row>
    <row r="2261" spans="1:8">
      <c r="A2261">
        <v>2260</v>
      </c>
      <c r="B2261" s="1">
        <v>45904</v>
      </c>
      <c r="C2261" t="s">
        <v>1468</v>
      </c>
      <c r="D2261" t="s">
        <v>31</v>
      </c>
      <c r="E2261">
        <v>2</v>
      </c>
      <c r="F2261">
        <v>3134</v>
      </c>
      <c r="G2261">
        <f>TbReceitas[[#This Row],[quantidade]]*TbReceitas[[#This Row],[preco_unitario]]</f>
        <v>6268</v>
      </c>
      <c r="H2261" t="str">
        <f>TEXT(TbReceitas[[#This Row],[data_transacao]], "aaaa-mm")</f>
        <v>2025-09</v>
      </c>
    </row>
    <row r="2262" spans="1:8">
      <c r="A2262">
        <v>2261</v>
      </c>
      <c r="B2262" s="1">
        <v>46121</v>
      </c>
      <c r="C2262" t="s">
        <v>1417</v>
      </c>
      <c r="D2262" t="s">
        <v>535</v>
      </c>
      <c r="E2262">
        <v>4</v>
      </c>
      <c r="F2262">
        <v>24784</v>
      </c>
      <c r="G2262">
        <f>TbReceitas[[#This Row],[quantidade]]*TbReceitas[[#This Row],[preco_unitario]]</f>
        <v>99136</v>
      </c>
      <c r="H2262" t="str">
        <f>TEXT(TbReceitas[[#This Row],[data_transacao]], "aaaa-mm")</f>
        <v>2026-04</v>
      </c>
    </row>
    <row r="2263" spans="1:8">
      <c r="A2263">
        <v>2262</v>
      </c>
      <c r="B2263" s="1">
        <v>45635</v>
      </c>
      <c r="C2263" t="s">
        <v>1358</v>
      </c>
      <c r="D2263" t="s">
        <v>600</v>
      </c>
      <c r="E2263">
        <v>4</v>
      </c>
      <c r="F2263">
        <v>16392</v>
      </c>
      <c r="G2263">
        <f>TbReceitas[[#This Row],[quantidade]]*TbReceitas[[#This Row],[preco_unitario]]</f>
        <v>65568</v>
      </c>
      <c r="H2263" t="str">
        <f>TEXT(TbReceitas[[#This Row],[data_transacao]], "aaaa-mm")</f>
        <v>2024-12</v>
      </c>
    </row>
    <row r="2264" spans="1:8">
      <c r="A2264">
        <v>2263</v>
      </c>
      <c r="B2264" s="1">
        <v>46038</v>
      </c>
      <c r="C2264" t="s">
        <v>1727</v>
      </c>
      <c r="D2264" t="s">
        <v>347</v>
      </c>
      <c r="E2264">
        <v>3</v>
      </c>
      <c r="F2264">
        <v>19492</v>
      </c>
      <c r="G2264">
        <f>TbReceitas[[#This Row],[quantidade]]*TbReceitas[[#This Row],[preco_unitario]]</f>
        <v>58476</v>
      </c>
      <c r="H2264" t="str">
        <f>TEXT(TbReceitas[[#This Row],[data_transacao]], "aaaa-mm")</f>
        <v>2026-01</v>
      </c>
    </row>
    <row r="2265" spans="1:8">
      <c r="A2265">
        <v>2264</v>
      </c>
      <c r="B2265" s="1">
        <v>45661</v>
      </c>
      <c r="C2265" t="s">
        <v>751</v>
      </c>
      <c r="D2265" t="s">
        <v>60</v>
      </c>
      <c r="E2265">
        <v>1</v>
      </c>
      <c r="F2265">
        <v>11989</v>
      </c>
      <c r="G2265">
        <f>TbReceitas[[#This Row],[quantidade]]*TbReceitas[[#This Row],[preco_unitario]]</f>
        <v>11989</v>
      </c>
      <c r="H2265" t="str">
        <f>TEXT(TbReceitas[[#This Row],[data_transacao]], "aaaa-mm")</f>
        <v>2025-01</v>
      </c>
    </row>
    <row r="2266" spans="1:8">
      <c r="A2266">
        <v>2265</v>
      </c>
      <c r="B2266" s="1">
        <v>46208</v>
      </c>
      <c r="C2266" t="s">
        <v>1165</v>
      </c>
      <c r="D2266" t="s">
        <v>523</v>
      </c>
      <c r="E2266">
        <v>5</v>
      </c>
      <c r="F2266">
        <v>23523</v>
      </c>
      <c r="G2266">
        <f>TbReceitas[[#This Row],[quantidade]]*TbReceitas[[#This Row],[preco_unitario]]</f>
        <v>117615</v>
      </c>
      <c r="H2266" t="str">
        <f>TEXT(TbReceitas[[#This Row],[data_transacao]], "aaaa-mm")</f>
        <v>2026-07</v>
      </c>
    </row>
    <row r="2267" spans="1:8">
      <c r="A2267">
        <v>2266</v>
      </c>
      <c r="B2267" s="1">
        <v>45704</v>
      </c>
      <c r="C2267" t="s">
        <v>1728</v>
      </c>
      <c r="D2267" t="s">
        <v>235</v>
      </c>
      <c r="E2267">
        <v>3</v>
      </c>
      <c r="F2267">
        <v>3762</v>
      </c>
      <c r="G2267">
        <f>TbReceitas[[#This Row],[quantidade]]*TbReceitas[[#This Row],[preco_unitario]]</f>
        <v>11286</v>
      </c>
      <c r="H2267" t="str">
        <f>TEXT(TbReceitas[[#This Row],[data_transacao]], "aaaa-mm")</f>
        <v>2025-02</v>
      </c>
    </row>
    <row r="2268" spans="1:8">
      <c r="A2268">
        <v>2267</v>
      </c>
      <c r="B2268" s="1">
        <v>46173</v>
      </c>
      <c r="C2268" t="s">
        <v>717</v>
      </c>
      <c r="D2268" t="s">
        <v>442</v>
      </c>
      <c r="E2268">
        <v>2</v>
      </c>
      <c r="F2268">
        <v>4426</v>
      </c>
      <c r="G2268">
        <f>TbReceitas[[#This Row],[quantidade]]*TbReceitas[[#This Row],[preco_unitario]]</f>
        <v>8852</v>
      </c>
      <c r="H2268" t="str">
        <f>TEXT(TbReceitas[[#This Row],[data_transacao]], "aaaa-mm")</f>
        <v>2026-05</v>
      </c>
    </row>
    <row r="2269" spans="1:8">
      <c r="A2269">
        <v>2268</v>
      </c>
      <c r="B2269" s="1">
        <v>45843</v>
      </c>
      <c r="C2269" t="s">
        <v>1327</v>
      </c>
      <c r="D2269" t="s">
        <v>109</v>
      </c>
      <c r="E2269">
        <v>1</v>
      </c>
      <c r="F2269">
        <v>23302</v>
      </c>
      <c r="G2269">
        <f>TbReceitas[[#This Row],[quantidade]]*TbReceitas[[#This Row],[preco_unitario]]</f>
        <v>23302</v>
      </c>
      <c r="H2269" t="str">
        <f>TEXT(TbReceitas[[#This Row],[data_transacao]], "aaaa-mm")</f>
        <v>2025-07</v>
      </c>
    </row>
    <row r="2270" spans="1:8">
      <c r="A2270">
        <v>2269</v>
      </c>
      <c r="B2270" s="1">
        <v>46099</v>
      </c>
      <c r="C2270" t="s">
        <v>1167</v>
      </c>
      <c r="D2270" t="s">
        <v>43</v>
      </c>
      <c r="E2270">
        <v>1</v>
      </c>
      <c r="F2270">
        <v>24604</v>
      </c>
      <c r="G2270">
        <f>TbReceitas[[#This Row],[quantidade]]*TbReceitas[[#This Row],[preco_unitario]]</f>
        <v>24604</v>
      </c>
      <c r="H2270" t="str">
        <f>TEXT(TbReceitas[[#This Row],[data_transacao]], "aaaa-mm")</f>
        <v>2026-03</v>
      </c>
    </row>
    <row r="2271" spans="1:8">
      <c r="A2271">
        <v>2270</v>
      </c>
      <c r="B2271" s="1">
        <v>45941</v>
      </c>
      <c r="C2271" t="s">
        <v>1553</v>
      </c>
      <c r="D2271" t="s">
        <v>302</v>
      </c>
      <c r="E2271">
        <v>4</v>
      </c>
      <c r="F2271">
        <v>3276</v>
      </c>
      <c r="G2271">
        <f>TbReceitas[[#This Row],[quantidade]]*TbReceitas[[#This Row],[preco_unitario]]</f>
        <v>13104</v>
      </c>
      <c r="H2271" t="str">
        <f>TEXT(TbReceitas[[#This Row],[data_transacao]], "aaaa-mm")</f>
        <v>2025-10</v>
      </c>
    </row>
    <row r="2272" spans="1:8">
      <c r="A2272">
        <v>2271</v>
      </c>
      <c r="B2272" s="1">
        <v>45799</v>
      </c>
      <c r="C2272" t="s">
        <v>1196</v>
      </c>
      <c r="D2272" t="s">
        <v>1220</v>
      </c>
      <c r="E2272">
        <v>4</v>
      </c>
      <c r="F2272">
        <v>6695</v>
      </c>
      <c r="G2272">
        <f>TbReceitas[[#This Row],[quantidade]]*TbReceitas[[#This Row],[preco_unitario]]</f>
        <v>26780</v>
      </c>
      <c r="H2272" t="str">
        <f>TEXT(TbReceitas[[#This Row],[data_transacao]], "aaaa-mm")</f>
        <v>2025-05</v>
      </c>
    </row>
    <row r="2273" spans="1:8">
      <c r="A2273">
        <v>2272</v>
      </c>
      <c r="B2273" s="1">
        <v>45991</v>
      </c>
      <c r="C2273" t="s">
        <v>796</v>
      </c>
      <c r="D2273" t="s">
        <v>301</v>
      </c>
      <c r="E2273">
        <v>4</v>
      </c>
      <c r="F2273">
        <v>13322</v>
      </c>
      <c r="G2273">
        <f>TbReceitas[[#This Row],[quantidade]]*TbReceitas[[#This Row],[preco_unitario]]</f>
        <v>53288</v>
      </c>
      <c r="H2273" t="str">
        <f>TEXT(TbReceitas[[#This Row],[data_transacao]], "aaaa-mm")</f>
        <v>2025-11</v>
      </c>
    </row>
    <row r="2274" spans="1:8">
      <c r="A2274">
        <v>2273</v>
      </c>
      <c r="B2274" s="1">
        <v>45772</v>
      </c>
      <c r="C2274" t="s">
        <v>911</v>
      </c>
      <c r="D2274" t="s">
        <v>337</v>
      </c>
      <c r="E2274">
        <v>2</v>
      </c>
      <c r="F2274">
        <v>8484</v>
      </c>
      <c r="G2274">
        <f>TbReceitas[[#This Row],[quantidade]]*TbReceitas[[#This Row],[preco_unitario]]</f>
        <v>16968</v>
      </c>
      <c r="H2274" t="str">
        <f>TEXT(TbReceitas[[#This Row],[data_transacao]], "aaaa-mm")</f>
        <v>2025-04</v>
      </c>
    </row>
    <row r="2275" spans="1:8">
      <c r="A2275">
        <v>2274</v>
      </c>
      <c r="B2275" s="1">
        <v>45998</v>
      </c>
      <c r="C2275" t="s">
        <v>1729</v>
      </c>
      <c r="D2275" t="s">
        <v>679</v>
      </c>
      <c r="E2275">
        <v>5</v>
      </c>
      <c r="F2275">
        <v>327</v>
      </c>
      <c r="G2275">
        <f>TbReceitas[[#This Row],[quantidade]]*TbReceitas[[#This Row],[preco_unitario]]</f>
        <v>1635</v>
      </c>
      <c r="H2275" t="str">
        <f>TEXT(TbReceitas[[#This Row],[data_transacao]], "aaaa-mm")</f>
        <v>2025-12</v>
      </c>
    </row>
    <row r="2276" spans="1:8">
      <c r="A2276">
        <v>2275</v>
      </c>
      <c r="B2276" s="1">
        <v>46190</v>
      </c>
      <c r="C2276" t="s">
        <v>1385</v>
      </c>
      <c r="D2276" t="s">
        <v>55</v>
      </c>
      <c r="E2276">
        <v>2</v>
      </c>
      <c r="F2276">
        <v>1039</v>
      </c>
      <c r="G2276">
        <f>TbReceitas[[#This Row],[quantidade]]*TbReceitas[[#This Row],[preco_unitario]]</f>
        <v>2078</v>
      </c>
      <c r="H2276" t="str">
        <f>TEXT(TbReceitas[[#This Row],[data_transacao]], "aaaa-mm")</f>
        <v>2026-06</v>
      </c>
    </row>
    <row r="2277" spans="1:8">
      <c r="A2277">
        <v>2276</v>
      </c>
      <c r="B2277" s="1">
        <v>45900</v>
      </c>
      <c r="C2277" t="s">
        <v>1417</v>
      </c>
      <c r="D2277" t="s">
        <v>292</v>
      </c>
      <c r="E2277">
        <v>5</v>
      </c>
      <c r="F2277">
        <v>85</v>
      </c>
      <c r="G2277">
        <f>TbReceitas[[#This Row],[quantidade]]*TbReceitas[[#This Row],[preco_unitario]]</f>
        <v>425</v>
      </c>
      <c r="H2277" t="str">
        <f>TEXT(TbReceitas[[#This Row],[data_transacao]], "aaaa-mm")</f>
        <v>2025-08</v>
      </c>
    </row>
    <row r="2278" spans="1:8">
      <c r="A2278">
        <v>2277</v>
      </c>
      <c r="B2278" s="1">
        <v>46075</v>
      </c>
      <c r="C2278" t="s">
        <v>1232</v>
      </c>
      <c r="D2278" t="s">
        <v>343</v>
      </c>
      <c r="E2278">
        <v>5</v>
      </c>
      <c r="F2278">
        <v>4997</v>
      </c>
      <c r="G2278">
        <f>TbReceitas[[#This Row],[quantidade]]*TbReceitas[[#This Row],[preco_unitario]]</f>
        <v>24985</v>
      </c>
      <c r="H2278" t="str">
        <f>TEXT(TbReceitas[[#This Row],[data_transacao]], "aaaa-mm")</f>
        <v>2026-02</v>
      </c>
    </row>
    <row r="2279" spans="1:8">
      <c r="A2279">
        <v>2278</v>
      </c>
      <c r="B2279" s="1">
        <v>45740</v>
      </c>
      <c r="C2279" t="s">
        <v>918</v>
      </c>
      <c r="D2279" t="s">
        <v>637</v>
      </c>
      <c r="E2279">
        <v>5</v>
      </c>
      <c r="F2279">
        <v>449</v>
      </c>
      <c r="G2279">
        <f>TbReceitas[[#This Row],[quantidade]]*TbReceitas[[#This Row],[preco_unitario]]</f>
        <v>2245</v>
      </c>
      <c r="H2279" t="str">
        <f>TEXT(TbReceitas[[#This Row],[data_transacao]], "aaaa-mm")</f>
        <v>2025-03</v>
      </c>
    </row>
    <row r="2280" spans="1:8">
      <c r="A2280">
        <v>2279</v>
      </c>
      <c r="B2280" s="1">
        <v>45905</v>
      </c>
      <c r="C2280" t="s">
        <v>1624</v>
      </c>
      <c r="D2280" t="s">
        <v>467</v>
      </c>
      <c r="E2280">
        <v>3</v>
      </c>
      <c r="F2280">
        <v>14848</v>
      </c>
      <c r="G2280">
        <f>TbReceitas[[#This Row],[quantidade]]*TbReceitas[[#This Row],[preco_unitario]]</f>
        <v>44544</v>
      </c>
      <c r="H2280" t="str">
        <f>TEXT(TbReceitas[[#This Row],[data_transacao]], "aaaa-mm")</f>
        <v>2025-09</v>
      </c>
    </row>
    <row r="2281" spans="1:8">
      <c r="A2281">
        <v>2280</v>
      </c>
      <c r="B2281" s="1">
        <v>46255</v>
      </c>
      <c r="C2281" t="s">
        <v>1657</v>
      </c>
      <c r="D2281" t="s">
        <v>389</v>
      </c>
      <c r="E2281">
        <v>2</v>
      </c>
      <c r="F2281">
        <v>9915</v>
      </c>
      <c r="G2281">
        <f>TbReceitas[[#This Row],[quantidade]]*TbReceitas[[#This Row],[preco_unitario]]</f>
        <v>19830</v>
      </c>
      <c r="H2281" t="str">
        <f>TEXT(TbReceitas[[#This Row],[data_transacao]], "aaaa-mm")</f>
        <v>2026-08</v>
      </c>
    </row>
    <row r="2282" spans="1:8">
      <c r="A2282">
        <v>2281</v>
      </c>
      <c r="B2282" s="1">
        <v>45849</v>
      </c>
      <c r="C2282" t="s">
        <v>1032</v>
      </c>
      <c r="D2282" t="s">
        <v>654</v>
      </c>
      <c r="E2282">
        <v>4</v>
      </c>
      <c r="F2282">
        <v>10545</v>
      </c>
      <c r="G2282">
        <f>TbReceitas[[#This Row],[quantidade]]*TbReceitas[[#This Row],[preco_unitario]]</f>
        <v>42180</v>
      </c>
      <c r="H2282" t="str">
        <f>TEXT(TbReceitas[[#This Row],[data_transacao]], "aaaa-mm")</f>
        <v>2025-07</v>
      </c>
    </row>
    <row r="2283" spans="1:8">
      <c r="A2283">
        <v>2282</v>
      </c>
      <c r="B2283" s="1">
        <v>45730</v>
      </c>
      <c r="C2283" t="s">
        <v>996</v>
      </c>
      <c r="D2283" t="s">
        <v>144</v>
      </c>
      <c r="E2283">
        <v>1</v>
      </c>
      <c r="F2283">
        <v>11267</v>
      </c>
      <c r="G2283">
        <f>TbReceitas[[#This Row],[quantidade]]*TbReceitas[[#This Row],[preco_unitario]]</f>
        <v>11267</v>
      </c>
      <c r="H2283" t="str">
        <f>TEXT(TbReceitas[[#This Row],[data_transacao]], "aaaa-mm")</f>
        <v>2025-03</v>
      </c>
    </row>
    <row r="2284" spans="1:8">
      <c r="A2284">
        <v>2283</v>
      </c>
      <c r="B2284" s="1">
        <v>46116</v>
      </c>
      <c r="C2284" t="s">
        <v>1730</v>
      </c>
      <c r="D2284" t="s">
        <v>259</v>
      </c>
      <c r="E2284">
        <v>3</v>
      </c>
      <c r="F2284">
        <v>2751</v>
      </c>
      <c r="G2284">
        <f>TbReceitas[[#This Row],[quantidade]]*TbReceitas[[#This Row],[preco_unitario]]</f>
        <v>8253</v>
      </c>
      <c r="H2284" t="str">
        <f>TEXT(TbReceitas[[#This Row],[data_transacao]], "aaaa-mm")</f>
        <v>2026-04</v>
      </c>
    </row>
    <row r="2285" spans="1:8">
      <c r="A2285">
        <v>2284</v>
      </c>
      <c r="B2285" s="1">
        <v>45949</v>
      </c>
      <c r="C2285" t="s">
        <v>750</v>
      </c>
      <c r="D2285" t="s">
        <v>374</v>
      </c>
      <c r="E2285">
        <v>5</v>
      </c>
      <c r="F2285">
        <v>24867</v>
      </c>
      <c r="G2285">
        <f>TbReceitas[[#This Row],[quantidade]]*TbReceitas[[#This Row],[preco_unitario]]</f>
        <v>124335</v>
      </c>
      <c r="H2285" t="str">
        <f>TEXT(TbReceitas[[#This Row],[data_transacao]], "aaaa-mm")</f>
        <v>2025-10</v>
      </c>
    </row>
    <row r="2286" spans="1:8">
      <c r="A2286">
        <v>2285</v>
      </c>
      <c r="B2286" s="1">
        <v>46231</v>
      </c>
      <c r="C2286" t="s">
        <v>1247</v>
      </c>
      <c r="D2286" t="s">
        <v>1109</v>
      </c>
      <c r="E2286">
        <v>1</v>
      </c>
      <c r="F2286">
        <v>18792</v>
      </c>
      <c r="G2286">
        <f>TbReceitas[[#This Row],[quantidade]]*TbReceitas[[#This Row],[preco_unitario]]</f>
        <v>18792</v>
      </c>
      <c r="H2286" t="str">
        <f>TEXT(TbReceitas[[#This Row],[data_transacao]], "aaaa-mm")</f>
        <v>2026-07</v>
      </c>
    </row>
    <row r="2287" spans="1:8">
      <c r="A2287">
        <v>2286</v>
      </c>
      <c r="B2287" s="1">
        <v>46194</v>
      </c>
      <c r="C2287" t="s">
        <v>1731</v>
      </c>
      <c r="D2287" t="s">
        <v>87</v>
      </c>
      <c r="E2287">
        <v>4</v>
      </c>
      <c r="F2287">
        <v>5365</v>
      </c>
      <c r="G2287">
        <f>TbReceitas[[#This Row],[quantidade]]*TbReceitas[[#This Row],[preco_unitario]]</f>
        <v>21460</v>
      </c>
      <c r="H2287" t="str">
        <f>TEXT(TbReceitas[[#This Row],[data_transacao]], "aaaa-mm")</f>
        <v>2026-06</v>
      </c>
    </row>
    <row r="2288" spans="1:8">
      <c r="A2288">
        <v>2287</v>
      </c>
      <c r="B2288" s="1">
        <v>45867</v>
      </c>
      <c r="C2288" t="s">
        <v>1472</v>
      </c>
      <c r="D2288" t="s">
        <v>627</v>
      </c>
      <c r="E2288">
        <v>5</v>
      </c>
      <c r="F2288">
        <v>8375</v>
      </c>
      <c r="G2288">
        <f>TbReceitas[[#This Row],[quantidade]]*TbReceitas[[#This Row],[preco_unitario]]</f>
        <v>41875</v>
      </c>
      <c r="H2288" t="str">
        <f>TEXT(TbReceitas[[#This Row],[data_transacao]], "aaaa-mm")</f>
        <v>2025-07</v>
      </c>
    </row>
    <row r="2289" spans="1:8">
      <c r="A2289">
        <v>2288</v>
      </c>
      <c r="B2289" s="1">
        <v>46151</v>
      </c>
      <c r="C2289" t="s">
        <v>967</v>
      </c>
      <c r="D2289" t="s">
        <v>505</v>
      </c>
      <c r="E2289">
        <v>1</v>
      </c>
      <c r="F2289">
        <v>9217</v>
      </c>
      <c r="G2289">
        <f>TbReceitas[[#This Row],[quantidade]]*TbReceitas[[#This Row],[preco_unitario]]</f>
        <v>9217</v>
      </c>
      <c r="H2289" t="str">
        <f>TEXT(TbReceitas[[#This Row],[data_transacao]], "aaaa-mm")</f>
        <v>2026-05</v>
      </c>
    </row>
    <row r="2290" spans="1:8">
      <c r="A2290">
        <v>2289</v>
      </c>
      <c r="B2290" s="1">
        <v>45726</v>
      </c>
      <c r="C2290" t="s">
        <v>1588</v>
      </c>
      <c r="D2290" t="s">
        <v>256</v>
      </c>
      <c r="E2290">
        <v>5</v>
      </c>
      <c r="F2290">
        <v>9187</v>
      </c>
      <c r="G2290">
        <f>TbReceitas[[#This Row],[quantidade]]*TbReceitas[[#This Row],[preco_unitario]]</f>
        <v>45935</v>
      </c>
      <c r="H2290" t="str">
        <f>TEXT(TbReceitas[[#This Row],[data_transacao]], "aaaa-mm")</f>
        <v>2025-03</v>
      </c>
    </row>
    <row r="2291" spans="1:8">
      <c r="A2291">
        <v>2290</v>
      </c>
      <c r="B2291" s="1">
        <v>45661</v>
      </c>
      <c r="C2291" t="s">
        <v>1477</v>
      </c>
      <c r="D2291" t="s">
        <v>292</v>
      </c>
      <c r="E2291">
        <v>1</v>
      </c>
      <c r="F2291">
        <v>85</v>
      </c>
      <c r="G2291">
        <f>TbReceitas[[#This Row],[quantidade]]*TbReceitas[[#This Row],[preco_unitario]]</f>
        <v>85</v>
      </c>
      <c r="H2291" t="str">
        <f>TEXT(TbReceitas[[#This Row],[data_transacao]], "aaaa-mm")</f>
        <v>2025-01</v>
      </c>
    </row>
    <row r="2292" spans="1:8">
      <c r="A2292">
        <v>2291</v>
      </c>
      <c r="B2292" s="1">
        <v>46027</v>
      </c>
      <c r="C2292" t="s">
        <v>1732</v>
      </c>
      <c r="D2292" t="s">
        <v>147</v>
      </c>
      <c r="E2292">
        <v>5</v>
      </c>
      <c r="F2292">
        <v>3654</v>
      </c>
      <c r="G2292">
        <f>TbReceitas[[#This Row],[quantidade]]*TbReceitas[[#This Row],[preco_unitario]]</f>
        <v>18270</v>
      </c>
      <c r="H2292" t="str">
        <f>TEXT(TbReceitas[[#This Row],[data_transacao]], "aaaa-mm")</f>
        <v>2026-01</v>
      </c>
    </row>
    <row r="2293" spans="1:8">
      <c r="A2293">
        <v>2292</v>
      </c>
      <c r="B2293" s="1">
        <v>46142</v>
      </c>
      <c r="C2293" t="s">
        <v>964</v>
      </c>
      <c r="D2293" t="s">
        <v>411</v>
      </c>
      <c r="E2293">
        <v>5</v>
      </c>
      <c r="F2293">
        <v>1601</v>
      </c>
      <c r="G2293">
        <f>TbReceitas[[#This Row],[quantidade]]*TbReceitas[[#This Row],[preco_unitario]]</f>
        <v>8005</v>
      </c>
      <c r="H2293" t="str">
        <f>TEXT(TbReceitas[[#This Row],[data_transacao]], "aaaa-mm")</f>
        <v>2026-04</v>
      </c>
    </row>
    <row r="2294" spans="1:8">
      <c r="A2294">
        <v>2293</v>
      </c>
      <c r="B2294" s="1">
        <v>46101</v>
      </c>
      <c r="C2294" t="s">
        <v>1029</v>
      </c>
      <c r="D2294" t="s">
        <v>370</v>
      </c>
      <c r="E2294">
        <v>1</v>
      </c>
      <c r="F2294">
        <v>10127</v>
      </c>
      <c r="G2294">
        <f>TbReceitas[[#This Row],[quantidade]]*TbReceitas[[#This Row],[preco_unitario]]</f>
        <v>10127</v>
      </c>
      <c r="H2294" t="str">
        <f>TEXT(TbReceitas[[#This Row],[data_transacao]], "aaaa-mm")</f>
        <v>2026-03</v>
      </c>
    </row>
    <row r="2295" spans="1:8">
      <c r="A2295">
        <v>2294</v>
      </c>
      <c r="B2295" s="1">
        <v>46099</v>
      </c>
      <c r="C2295" t="s">
        <v>1498</v>
      </c>
      <c r="D2295" t="s">
        <v>505</v>
      </c>
      <c r="E2295">
        <v>5</v>
      </c>
      <c r="F2295">
        <v>9217</v>
      </c>
      <c r="G2295">
        <f>TbReceitas[[#This Row],[quantidade]]*TbReceitas[[#This Row],[preco_unitario]]</f>
        <v>46085</v>
      </c>
      <c r="H2295" t="str">
        <f>TEXT(TbReceitas[[#This Row],[data_transacao]], "aaaa-mm")</f>
        <v>2026-03</v>
      </c>
    </row>
    <row r="2296" spans="1:8">
      <c r="A2296">
        <v>2295</v>
      </c>
      <c r="B2296" s="1">
        <v>45913</v>
      </c>
      <c r="C2296" t="s">
        <v>1289</v>
      </c>
      <c r="D2296" t="s">
        <v>151</v>
      </c>
      <c r="E2296">
        <v>2</v>
      </c>
      <c r="F2296">
        <v>19706</v>
      </c>
      <c r="G2296">
        <f>TbReceitas[[#This Row],[quantidade]]*TbReceitas[[#This Row],[preco_unitario]]</f>
        <v>39412</v>
      </c>
      <c r="H2296" t="str">
        <f>TEXT(TbReceitas[[#This Row],[data_transacao]], "aaaa-mm")</f>
        <v>2025-09</v>
      </c>
    </row>
    <row r="2297" spans="1:8">
      <c r="A2297">
        <v>2296</v>
      </c>
      <c r="B2297" s="1">
        <v>46159</v>
      </c>
      <c r="C2297" t="s">
        <v>1541</v>
      </c>
      <c r="D2297" t="s">
        <v>393</v>
      </c>
      <c r="E2297">
        <v>4</v>
      </c>
      <c r="F2297">
        <v>16342</v>
      </c>
      <c r="G2297">
        <f>TbReceitas[[#This Row],[quantidade]]*TbReceitas[[#This Row],[preco_unitario]]</f>
        <v>65368</v>
      </c>
      <c r="H2297" t="str">
        <f>TEXT(TbReceitas[[#This Row],[data_transacao]], "aaaa-mm")</f>
        <v>2026-05</v>
      </c>
    </row>
    <row r="2298" spans="1:8">
      <c r="A2298">
        <v>2297</v>
      </c>
      <c r="B2298" s="1">
        <v>46191</v>
      </c>
      <c r="C2298" t="s">
        <v>1710</v>
      </c>
      <c r="D2298" t="s">
        <v>353</v>
      </c>
      <c r="E2298">
        <v>2</v>
      </c>
      <c r="F2298">
        <v>1932</v>
      </c>
      <c r="G2298">
        <f>TbReceitas[[#This Row],[quantidade]]*TbReceitas[[#This Row],[preco_unitario]]</f>
        <v>3864</v>
      </c>
      <c r="H2298" t="str">
        <f>TEXT(TbReceitas[[#This Row],[data_transacao]], "aaaa-mm")</f>
        <v>2026-06</v>
      </c>
    </row>
    <row r="2299" spans="1:8">
      <c r="A2299">
        <v>2298</v>
      </c>
      <c r="B2299" s="1">
        <v>45569</v>
      </c>
      <c r="C2299" t="s">
        <v>1263</v>
      </c>
      <c r="D2299" t="s">
        <v>442</v>
      </c>
      <c r="E2299">
        <v>5</v>
      </c>
      <c r="F2299">
        <v>4426</v>
      </c>
      <c r="G2299">
        <f>TbReceitas[[#This Row],[quantidade]]*TbReceitas[[#This Row],[preco_unitario]]</f>
        <v>22130</v>
      </c>
      <c r="H2299" t="str">
        <f>TEXT(TbReceitas[[#This Row],[data_transacao]], "aaaa-mm")</f>
        <v>2024-10</v>
      </c>
    </row>
    <row r="2300" spans="1:8">
      <c r="A2300">
        <v>2299</v>
      </c>
      <c r="B2300" s="1">
        <v>45765</v>
      </c>
      <c r="C2300" t="s">
        <v>1005</v>
      </c>
      <c r="D2300" t="s">
        <v>343</v>
      </c>
      <c r="E2300">
        <v>2</v>
      </c>
      <c r="F2300">
        <v>4997</v>
      </c>
      <c r="G2300">
        <f>TbReceitas[[#This Row],[quantidade]]*TbReceitas[[#This Row],[preco_unitario]]</f>
        <v>9994</v>
      </c>
      <c r="H2300" t="str">
        <f>TEXT(TbReceitas[[#This Row],[data_transacao]], "aaaa-mm")</f>
        <v>2025-04</v>
      </c>
    </row>
    <row r="2301" spans="1:8">
      <c r="A2301">
        <v>2300</v>
      </c>
      <c r="B2301" s="1">
        <v>45769</v>
      </c>
      <c r="C2301" t="s">
        <v>1302</v>
      </c>
      <c r="D2301" t="s">
        <v>522</v>
      </c>
      <c r="E2301">
        <v>1</v>
      </c>
      <c r="F2301">
        <v>14004</v>
      </c>
      <c r="G2301">
        <f>TbReceitas[[#This Row],[quantidade]]*TbReceitas[[#This Row],[preco_unitario]]</f>
        <v>14004</v>
      </c>
      <c r="H2301" t="str">
        <f>TEXT(TbReceitas[[#This Row],[data_transacao]], "aaaa-mm")</f>
        <v>2025-04</v>
      </c>
    </row>
    <row r="2302" spans="1:8">
      <c r="A2302">
        <v>2301</v>
      </c>
      <c r="B2302" s="1">
        <v>45981</v>
      </c>
      <c r="C2302" t="s">
        <v>1733</v>
      </c>
      <c r="D2302" t="s">
        <v>459</v>
      </c>
      <c r="E2302">
        <v>1</v>
      </c>
      <c r="F2302">
        <v>23355</v>
      </c>
      <c r="G2302">
        <f>TbReceitas[[#This Row],[quantidade]]*TbReceitas[[#This Row],[preco_unitario]]</f>
        <v>23355</v>
      </c>
      <c r="H2302" t="str">
        <f>TEXT(TbReceitas[[#This Row],[data_transacao]], "aaaa-mm")</f>
        <v>2025-11</v>
      </c>
    </row>
    <row r="2303" spans="1:8">
      <c r="A2303">
        <v>2302</v>
      </c>
      <c r="B2303" s="1">
        <v>45703</v>
      </c>
      <c r="C2303" t="s">
        <v>721</v>
      </c>
      <c r="D2303" t="s">
        <v>1611</v>
      </c>
      <c r="E2303">
        <v>1</v>
      </c>
      <c r="F2303">
        <v>8745</v>
      </c>
      <c r="G2303">
        <f>TbReceitas[[#This Row],[quantidade]]*TbReceitas[[#This Row],[preco_unitario]]</f>
        <v>8745</v>
      </c>
      <c r="H2303" t="str">
        <f>TEXT(TbReceitas[[#This Row],[data_transacao]], "aaaa-mm")</f>
        <v>2025-02</v>
      </c>
    </row>
    <row r="2304" spans="1:8">
      <c r="A2304">
        <v>2303</v>
      </c>
      <c r="B2304" s="1">
        <v>45567</v>
      </c>
      <c r="C2304" t="s">
        <v>837</v>
      </c>
      <c r="D2304" t="s">
        <v>116</v>
      </c>
      <c r="E2304">
        <v>2</v>
      </c>
      <c r="F2304">
        <v>1384</v>
      </c>
      <c r="G2304">
        <f>TbReceitas[[#This Row],[quantidade]]*TbReceitas[[#This Row],[preco_unitario]]</f>
        <v>2768</v>
      </c>
      <c r="H2304" t="str">
        <f>TEXT(TbReceitas[[#This Row],[data_transacao]], "aaaa-mm")</f>
        <v>2024-10</v>
      </c>
    </row>
    <row r="2305" spans="1:8">
      <c r="A2305">
        <v>2304</v>
      </c>
      <c r="B2305" s="1">
        <v>46258</v>
      </c>
      <c r="C2305" t="s">
        <v>1086</v>
      </c>
      <c r="D2305" t="s">
        <v>232</v>
      </c>
      <c r="E2305">
        <v>3</v>
      </c>
      <c r="F2305">
        <v>17502</v>
      </c>
      <c r="G2305">
        <f>TbReceitas[[#This Row],[quantidade]]*TbReceitas[[#This Row],[preco_unitario]]</f>
        <v>52506</v>
      </c>
      <c r="H2305" t="str">
        <f>TEXT(TbReceitas[[#This Row],[data_transacao]], "aaaa-mm")</f>
        <v>2026-08</v>
      </c>
    </row>
    <row r="2306" spans="1:8">
      <c r="A2306">
        <v>2305</v>
      </c>
      <c r="B2306" s="1">
        <v>45808</v>
      </c>
      <c r="C2306" t="s">
        <v>1597</v>
      </c>
      <c r="D2306" t="s">
        <v>371</v>
      </c>
      <c r="E2306">
        <v>2</v>
      </c>
      <c r="F2306">
        <v>11753</v>
      </c>
      <c r="G2306">
        <f>TbReceitas[[#This Row],[quantidade]]*TbReceitas[[#This Row],[preco_unitario]]</f>
        <v>23506</v>
      </c>
      <c r="H2306" t="str">
        <f>TEXT(TbReceitas[[#This Row],[data_transacao]], "aaaa-mm")</f>
        <v>2025-05</v>
      </c>
    </row>
    <row r="2307" spans="1:8">
      <c r="A2307">
        <v>2306</v>
      </c>
      <c r="B2307" s="1">
        <v>46042</v>
      </c>
      <c r="C2307" t="s">
        <v>1033</v>
      </c>
      <c r="D2307" t="s">
        <v>395</v>
      </c>
      <c r="E2307">
        <v>5</v>
      </c>
      <c r="F2307">
        <v>17573</v>
      </c>
      <c r="G2307">
        <f>TbReceitas[[#This Row],[quantidade]]*TbReceitas[[#This Row],[preco_unitario]]</f>
        <v>87865</v>
      </c>
      <c r="H2307" t="str">
        <f>TEXT(TbReceitas[[#This Row],[data_transacao]], "aaaa-mm")</f>
        <v>2026-01</v>
      </c>
    </row>
    <row r="2308" spans="1:8">
      <c r="A2308">
        <v>2307</v>
      </c>
      <c r="B2308" s="1">
        <v>45872</v>
      </c>
      <c r="C2308" t="s">
        <v>918</v>
      </c>
      <c r="D2308" t="s">
        <v>188</v>
      </c>
      <c r="E2308">
        <v>1</v>
      </c>
      <c r="F2308">
        <v>13547</v>
      </c>
      <c r="G2308">
        <f>TbReceitas[[#This Row],[quantidade]]*TbReceitas[[#This Row],[preco_unitario]]</f>
        <v>13547</v>
      </c>
      <c r="H2308" t="str">
        <f>TEXT(TbReceitas[[#This Row],[data_transacao]], "aaaa-mm")</f>
        <v>2025-08</v>
      </c>
    </row>
    <row r="2309" spans="1:8">
      <c r="A2309">
        <v>2308</v>
      </c>
      <c r="B2309" s="1">
        <v>46161</v>
      </c>
      <c r="C2309" t="s">
        <v>838</v>
      </c>
      <c r="D2309" t="s">
        <v>321</v>
      </c>
      <c r="E2309">
        <v>2</v>
      </c>
      <c r="F2309">
        <v>8412</v>
      </c>
      <c r="G2309">
        <f>TbReceitas[[#This Row],[quantidade]]*TbReceitas[[#This Row],[preco_unitario]]</f>
        <v>16824</v>
      </c>
      <c r="H2309" t="str">
        <f>TEXT(TbReceitas[[#This Row],[data_transacao]], "aaaa-mm")</f>
        <v>2026-05</v>
      </c>
    </row>
    <row r="2310" spans="1:8">
      <c r="A2310">
        <v>2309</v>
      </c>
      <c r="B2310" s="1">
        <v>45680</v>
      </c>
      <c r="C2310" t="s">
        <v>1083</v>
      </c>
      <c r="D2310" t="s">
        <v>341</v>
      </c>
      <c r="E2310">
        <v>4</v>
      </c>
      <c r="F2310">
        <v>11665</v>
      </c>
      <c r="G2310">
        <f>TbReceitas[[#This Row],[quantidade]]*TbReceitas[[#This Row],[preco_unitario]]</f>
        <v>46660</v>
      </c>
      <c r="H2310" t="str">
        <f>TEXT(TbReceitas[[#This Row],[data_transacao]], "aaaa-mm")</f>
        <v>2025-01</v>
      </c>
    </row>
    <row r="2311" spans="1:8">
      <c r="A2311">
        <v>2310</v>
      </c>
      <c r="B2311" s="1">
        <v>46005</v>
      </c>
      <c r="C2311" t="s">
        <v>881</v>
      </c>
      <c r="D2311" t="s">
        <v>312</v>
      </c>
      <c r="E2311">
        <v>4</v>
      </c>
      <c r="F2311">
        <v>24217</v>
      </c>
      <c r="G2311">
        <f>TbReceitas[[#This Row],[quantidade]]*TbReceitas[[#This Row],[preco_unitario]]</f>
        <v>96868</v>
      </c>
      <c r="H2311" t="str">
        <f>TEXT(TbReceitas[[#This Row],[data_transacao]], "aaaa-mm")</f>
        <v>2025-12</v>
      </c>
    </row>
    <row r="2312" spans="1:8">
      <c r="A2312">
        <v>2311</v>
      </c>
      <c r="B2312" s="1">
        <v>46275</v>
      </c>
      <c r="C2312" t="s">
        <v>1734</v>
      </c>
      <c r="D2312" t="s">
        <v>622</v>
      </c>
      <c r="E2312">
        <v>1</v>
      </c>
      <c r="F2312">
        <v>15428</v>
      </c>
      <c r="G2312">
        <f>TbReceitas[[#This Row],[quantidade]]*TbReceitas[[#This Row],[preco_unitario]]</f>
        <v>15428</v>
      </c>
      <c r="H2312" t="str">
        <f>TEXT(TbReceitas[[#This Row],[data_transacao]], "aaaa-mm")</f>
        <v>2026-09</v>
      </c>
    </row>
    <row r="2313" spans="1:8">
      <c r="A2313">
        <v>2312</v>
      </c>
      <c r="B2313" s="1">
        <v>46264</v>
      </c>
      <c r="C2313" t="s">
        <v>1702</v>
      </c>
      <c r="D2313" t="s">
        <v>123</v>
      </c>
      <c r="E2313">
        <v>4</v>
      </c>
      <c r="F2313">
        <v>8019</v>
      </c>
      <c r="G2313">
        <f>TbReceitas[[#This Row],[quantidade]]*TbReceitas[[#This Row],[preco_unitario]]</f>
        <v>32076</v>
      </c>
      <c r="H2313" t="str">
        <f>TEXT(TbReceitas[[#This Row],[data_transacao]], "aaaa-mm")</f>
        <v>2026-08</v>
      </c>
    </row>
    <row r="2314" spans="1:8">
      <c r="A2314">
        <v>2313</v>
      </c>
      <c r="B2314" s="1">
        <v>45862</v>
      </c>
      <c r="C2314" t="s">
        <v>1073</v>
      </c>
      <c r="D2314" t="s">
        <v>240</v>
      </c>
      <c r="E2314">
        <v>3</v>
      </c>
      <c r="F2314">
        <v>19846</v>
      </c>
      <c r="G2314">
        <f>TbReceitas[[#This Row],[quantidade]]*TbReceitas[[#This Row],[preco_unitario]]</f>
        <v>59538</v>
      </c>
      <c r="H2314" t="str">
        <f>TEXT(TbReceitas[[#This Row],[data_transacao]], "aaaa-mm")</f>
        <v>2025-07</v>
      </c>
    </row>
    <row r="2315" spans="1:8">
      <c r="A2315">
        <v>2314</v>
      </c>
      <c r="B2315" s="1">
        <v>46263</v>
      </c>
      <c r="C2315" t="s">
        <v>1727</v>
      </c>
      <c r="D2315" t="s">
        <v>166</v>
      </c>
      <c r="E2315">
        <v>5</v>
      </c>
      <c r="F2315">
        <v>323</v>
      </c>
      <c r="G2315">
        <f>TbReceitas[[#This Row],[quantidade]]*TbReceitas[[#This Row],[preco_unitario]]</f>
        <v>1615</v>
      </c>
      <c r="H2315" t="str">
        <f>TEXT(TbReceitas[[#This Row],[data_transacao]], "aaaa-mm")</f>
        <v>2026-08</v>
      </c>
    </row>
    <row r="2316" spans="1:8">
      <c r="A2316">
        <v>2315</v>
      </c>
      <c r="B2316" s="1">
        <v>45897</v>
      </c>
      <c r="C2316" t="s">
        <v>1384</v>
      </c>
      <c r="D2316" t="s">
        <v>656</v>
      </c>
      <c r="E2316">
        <v>2</v>
      </c>
      <c r="F2316">
        <v>22049</v>
      </c>
      <c r="G2316">
        <f>TbReceitas[[#This Row],[quantidade]]*TbReceitas[[#This Row],[preco_unitario]]</f>
        <v>44098</v>
      </c>
      <c r="H2316" t="str">
        <f>TEXT(TbReceitas[[#This Row],[data_transacao]], "aaaa-mm")</f>
        <v>2025-08</v>
      </c>
    </row>
    <row r="2317" spans="1:8">
      <c r="A2317">
        <v>2316</v>
      </c>
      <c r="B2317" s="1">
        <v>45715</v>
      </c>
      <c r="C2317" t="s">
        <v>831</v>
      </c>
      <c r="D2317" t="s">
        <v>262</v>
      </c>
      <c r="E2317">
        <v>2</v>
      </c>
      <c r="F2317">
        <v>10217</v>
      </c>
      <c r="G2317">
        <f>TbReceitas[[#This Row],[quantidade]]*TbReceitas[[#This Row],[preco_unitario]]</f>
        <v>20434</v>
      </c>
      <c r="H2317" t="str">
        <f>TEXT(TbReceitas[[#This Row],[data_transacao]], "aaaa-mm")</f>
        <v>2025-02</v>
      </c>
    </row>
    <row r="2318" spans="1:8">
      <c r="A2318">
        <v>2317</v>
      </c>
      <c r="B2318" s="1">
        <v>45866</v>
      </c>
      <c r="C2318" t="s">
        <v>1100</v>
      </c>
      <c r="D2318" t="s">
        <v>176</v>
      </c>
      <c r="E2318">
        <v>4</v>
      </c>
      <c r="F2318">
        <v>776</v>
      </c>
      <c r="G2318">
        <f>TbReceitas[[#This Row],[quantidade]]*TbReceitas[[#This Row],[preco_unitario]]</f>
        <v>3104</v>
      </c>
      <c r="H2318" t="str">
        <f>TEXT(TbReceitas[[#This Row],[data_transacao]], "aaaa-mm")</f>
        <v>2025-07</v>
      </c>
    </row>
    <row r="2319" spans="1:8">
      <c r="A2319">
        <v>2318</v>
      </c>
      <c r="B2319" s="1">
        <v>45668</v>
      </c>
      <c r="C2319" t="s">
        <v>1735</v>
      </c>
      <c r="D2319" t="s">
        <v>302</v>
      </c>
      <c r="E2319">
        <v>4</v>
      </c>
      <c r="F2319">
        <v>3276</v>
      </c>
      <c r="G2319">
        <f>TbReceitas[[#This Row],[quantidade]]*TbReceitas[[#This Row],[preco_unitario]]</f>
        <v>13104</v>
      </c>
      <c r="H2319" t="str">
        <f>TEXT(TbReceitas[[#This Row],[data_transacao]], "aaaa-mm")</f>
        <v>2025-01</v>
      </c>
    </row>
    <row r="2320" spans="1:8">
      <c r="A2320">
        <v>2319</v>
      </c>
      <c r="B2320" s="1">
        <v>45650</v>
      </c>
      <c r="C2320" t="s">
        <v>1161</v>
      </c>
      <c r="D2320" t="s">
        <v>692</v>
      </c>
      <c r="E2320">
        <v>3</v>
      </c>
      <c r="F2320">
        <v>14519</v>
      </c>
      <c r="G2320">
        <f>TbReceitas[[#This Row],[quantidade]]*TbReceitas[[#This Row],[preco_unitario]]</f>
        <v>43557</v>
      </c>
      <c r="H2320" t="str">
        <f>TEXT(TbReceitas[[#This Row],[data_transacao]], "aaaa-mm")</f>
        <v>2024-12</v>
      </c>
    </row>
    <row r="2321" spans="1:8">
      <c r="A2321">
        <v>2320</v>
      </c>
      <c r="B2321" s="1">
        <v>45608</v>
      </c>
      <c r="C2321" t="s">
        <v>1623</v>
      </c>
      <c r="D2321" t="s">
        <v>208</v>
      </c>
      <c r="E2321">
        <v>2</v>
      </c>
      <c r="F2321">
        <v>2719</v>
      </c>
      <c r="G2321">
        <f>TbReceitas[[#This Row],[quantidade]]*TbReceitas[[#This Row],[preco_unitario]]</f>
        <v>5438</v>
      </c>
      <c r="H2321" t="str">
        <f>TEXT(TbReceitas[[#This Row],[data_transacao]], "aaaa-mm")</f>
        <v>2024-11</v>
      </c>
    </row>
    <row r="2322" spans="1:8">
      <c r="A2322">
        <v>2321</v>
      </c>
      <c r="B2322" s="1">
        <v>46190</v>
      </c>
      <c r="C2322" t="s">
        <v>1301</v>
      </c>
      <c r="D2322" t="s">
        <v>341</v>
      </c>
      <c r="E2322">
        <v>5</v>
      </c>
      <c r="F2322">
        <v>11665</v>
      </c>
      <c r="G2322">
        <f>TbReceitas[[#This Row],[quantidade]]*TbReceitas[[#This Row],[preco_unitario]]</f>
        <v>58325</v>
      </c>
      <c r="H2322" t="str">
        <f>TEXT(TbReceitas[[#This Row],[data_transacao]], "aaaa-mm")</f>
        <v>2026-06</v>
      </c>
    </row>
    <row r="2323" spans="1:8">
      <c r="A2323">
        <v>2322</v>
      </c>
      <c r="B2323" s="1">
        <v>45759</v>
      </c>
      <c r="C2323" t="s">
        <v>814</v>
      </c>
      <c r="D2323" t="s">
        <v>619</v>
      </c>
      <c r="E2323">
        <v>5</v>
      </c>
      <c r="F2323">
        <v>8101</v>
      </c>
      <c r="G2323">
        <f>TbReceitas[[#This Row],[quantidade]]*TbReceitas[[#This Row],[preco_unitario]]</f>
        <v>40505</v>
      </c>
      <c r="H2323" t="str">
        <f>TEXT(TbReceitas[[#This Row],[data_transacao]], "aaaa-mm")</f>
        <v>2025-04</v>
      </c>
    </row>
    <row r="2324" spans="1:8">
      <c r="A2324">
        <v>2323</v>
      </c>
      <c r="B2324" s="1">
        <v>45817</v>
      </c>
      <c r="C2324" t="s">
        <v>1736</v>
      </c>
      <c r="D2324" t="s">
        <v>203</v>
      </c>
      <c r="E2324">
        <v>5</v>
      </c>
      <c r="F2324">
        <v>1934</v>
      </c>
      <c r="G2324">
        <f>TbReceitas[[#This Row],[quantidade]]*TbReceitas[[#This Row],[preco_unitario]]</f>
        <v>9670</v>
      </c>
      <c r="H2324" t="str">
        <f>TEXT(TbReceitas[[#This Row],[data_transacao]], "aaaa-mm")</f>
        <v>2025-06</v>
      </c>
    </row>
    <row r="2325" spans="1:8">
      <c r="A2325">
        <v>2324</v>
      </c>
      <c r="B2325" s="1">
        <v>45601</v>
      </c>
      <c r="C2325" t="s">
        <v>930</v>
      </c>
      <c r="D2325" t="s">
        <v>278</v>
      </c>
      <c r="E2325">
        <v>4</v>
      </c>
      <c r="F2325">
        <v>17591</v>
      </c>
      <c r="G2325">
        <f>TbReceitas[[#This Row],[quantidade]]*TbReceitas[[#This Row],[preco_unitario]]</f>
        <v>70364</v>
      </c>
      <c r="H2325" t="str">
        <f>TEXT(TbReceitas[[#This Row],[data_transacao]], "aaaa-mm")</f>
        <v>2024-11</v>
      </c>
    </row>
    <row r="2326" spans="1:8">
      <c r="A2326">
        <v>2325</v>
      </c>
      <c r="B2326" s="1">
        <v>45657</v>
      </c>
      <c r="C2326" t="s">
        <v>1737</v>
      </c>
      <c r="D2326" t="s">
        <v>176</v>
      </c>
      <c r="E2326">
        <v>5</v>
      </c>
      <c r="F2326">
        <v>776</v>
      </c>
      <c r="G2326">
        <f>TbReceitas[[#This Row],[quantidade]]*TbReceitas[[#This Row],[preco_unitario]]</f>
        <v>3880</v>
      </c>
      <c r="H2326" t="str">
        <f>TEXT(TbReceitas[[#This Row],[data_transacao]], "aaaa-mm")</f>
        <v>2024-12</v>
      </c>
    </row>
    <row r="2327" spans="1:8">
      <c r="A2327">
        <v>2326</v>
      </c>
      <c r="B2327" s="1">
        <v>46264</v>
      </c>
      <c r="C2327" t="s">
        <v>806</v>
      </c>
      <c r="D2327" t="s">
        <v>537</v>
      </c>
      <c r="E2327">
        <v>4</v>
      </c>
      <c r="F2327">
        <v>1116</v>
      </c>
      <c r="G2327">
        <f>TbReceitas[[#This Row],[quantidade]]*TbReceitas[[#This Row],[preco_unitario]]</f>
        <v>4464</v>
      </c>
      <c r="H2327" t="str">
        <f>TEXT(TbReceitas[[#This Row],[data_transacao]], "aaaa-mm")</f>
        <v>2026-08</v>
      </c>
    </row>
    <row r="2328" spans="1:8">
      <c r="A2328">
        <v>2327</v>
      </c>
      <c r="B2328" s="1">
        <v>46180</v>
      </c>
      <c r="C2328" t="s">
        <v>1047</v>
      </c>
      <c r="D2328" t="s">
        <v>338</v>
      </c>
      <c r="E2328">
        <v>1</v>
      </c>
      <c r="F2328">
        <v>4563</v>
      </c>
      <c r="G2328">
        <f>TbReceitas[[#This Row],[quantidade]]*TbReceitas[[#This Row],[preco_unitario]]</f>
        <v>4563</v>
      </c>
      <c r="H2328" t="str">
        <f>TEXT(TbReceitas[[#This Row],[data_transacao]], "aaaa-mm")</f>
        <v>2026-06</v>
      </c>
    </row>
    <row r="2329" spans="1:8">
      <c r="A2329">
        <v>2328</v>
      </c>
      <c r="B2329" s="1">
        <v>45926</v>
      </c>
      <c r="C2329" t="s">
        <v>1427</v>
      </c>
      <c r="D2329" t="s">
        <v>246</v>
      </c>
      <c r="E2329">
        <v>5</v>
      </c>
      <c r="F2329">
        <v>23513</v>
      </c>
      <c r="G2329">
        <f>TbReceitas[[#This Row],[quantidade]]*TbReceitas[[#This Row],[preco_unitario]]</f>
        <v>117565</v>
      </c>
      <c r="H2329" t="str">
        <f>TEXT(TbReceitas[[#This Row],[data_transacao]], "aaaa-mm")</f>
        <v>2025-09</v>
      </c>
    </row>
    <row r="2330" spans="1:8">
      <c r="A2330">
        <v>2329</v>
      </c>
      <c r="B2330" s="1">
        <v>45886</v>
      </c>
      <c r="C2330" t="s">
        <v>1509</v>
      </c>
      <c r="D2330" t="s">
        <v>177</v>
      </c>
      <c r="E2330">
        <v>3</v>
      </c>
      <c r="F2330">
        <v>13512</v>
      </c>
      <c r="G2330">
        <f>TbReceitas[[#This Row],[quantidade]]*TbReceitas[[#This Row],[preco_unitario]]</f>
        <v>40536</v>
      </c>
      <c r="H2330" t="str">
        <f>TEXT(TbReceitas[[#This Row],[data_transacao]], "aaaa-mm")</f>
        <v>2025-08</v>
      </c>
    </row>
    <row r="2331" spans="1:8">
      <c r="A2331">
        <v>2330</v>
      </c>
      <c r="B2331" s="1">
        <v>45749</v>
      </c>
      <c r="C2331" t="s">
        <v>999</v>
      </c>
      <c r="D2331" t="s">
        <v>311</v>
      </c>
      <c r="E2331">
        <v>4</v>
      </c>
      <c r="F2331">
        <v>9922</v>
      </c>
      <c r="G2331">
        <f>TbReceitas[[#This Row],[quantidade]]*TbReceitas[[#This Row],[preco_unitario]]</f>
        <v>39688</v>
      </c>
      <c r="H2331" t="str">
        <f>TEXT(TbReceitas[[#This Row],[data_transacao]], "aaaa-mm")</f>
        <v>2025-04</v>
      </c>
    </row>
    <row r="2332" spans="1:8">
      <c r="A2332">
        <v>2331</v>
      </c>
      <c r="B2332" s="1">
        <v>46197</v>
      </c>
      <c r="C2332" t="s">
        <v>784</v>
      </c>
      <c r="D2332" t="s">
        <v>608</v>
      </c>
      <c r="E2332">
        <v>5</v>
      </c>
      <c r="F2332">
        <v>752</v>
      </c>
      <c r="G2332">
        <f>TbReceitas[[#This Row],[quantidade]]*TbReceitas[[#This Row],[preco_unitario]]</f>
        <v>3760</v>
      </c>
      <c r="H2332" t="str">
        <f>TEXT(TbReceitas[[#This Row],[data_transacao]], "aaaa-mm")</f>
        <v>2026-06</v>
      </c>
    </row>
    <row r="2333" spans="1:8">
      <c r="A2333">
        <v>2332</v>
      </c>
      <c r="B2333" s="1">
        <v>46166</v>
      </c>
      <c r="C2333" t="s">
        <v>905</v>
      </c>
      <c r="D2333" t="s">
        <v>15</v>
      </c>
      <c r="E2333">
        <v>5</v>
      </c>
      <c r="F2333">
        <v>15605</v>
      </c>
      <c r="G2333">
        <f>TbReceitas[[#This Row],[quantidade]]*TbReceitas[[#This Row],[preco_unitario]]</f>
        <v>78025</v>
      </c>
      <c r="H2333" t="str">
        <f>TEXT(TbReceitas[[#This Row],[data_transacao]], "aaaa-mm")</f>
        <v>2026-05</v>
      </c>
    </row>
    <row r="2334" spans="1:8">
      <c r="A2334">
        <v>2333</v>
      </c>
      <c r="B2334" s="1">
        <v>46146</v>
      </c>
      <c r="C2334" t="s">
        <v>1266</v>
      </c>
      <c r="D2334" t="s">
        <v>331</v>
      </c>
      <c r="E2334">
        <v>1</v>
      </c>
      <c r="F2334">
        <v>1809</v>
      </c>
      <c r="G2334">
        <f>TbReceitas[[#This Row],[quantidade]]*TbReceitas[[#This Row],[preco_unitario]]</f>
        <v>1809</v>
      </c>
      <c r="H2334" t="str">
        <f>TEXT(TbReceitas[[#This Row],[data_transacao]], "aaaa-mm")</f>
        <v>2026-05</v>
      </c>
    </row>
    <row r="2335" spans="1:8">
      <c r="A2335">
        <v>2334</v>
      </c>
      <c r="B2335" s="1">
        <v>46160</v>
      </c>
      <c r="C2335" t="s">
        <v>906</v>
      </c>
      <c r="D2335" t="s">
        <v>698</v>
      </c>
      <c r="E2335">
        <v>5</v>
      </c>
      <c r="F2335">
        <v>1919</v>
      </c>
      <c r="G2335">
        <f>TbReceitas[[#This Row],[quantidade]]*TbReceitas[[#This Row],[preco_unitario]]</f>
        <v>9595</v>
      </c>
      <c r="H2335" t="str">
        <f>TEXT(TbReceitas[[#This Row],[data_transacao]], "aaaa-mm")</f>
        <v>2026-05</v>
      </c>
    </row>
    <row r="2336" spans="1:8">
      <c r="A2336">
        <v>2335</v>
      </c>
      <c r="B2336" s="1">
        <v>45827</v>
      </c>
      <c r="C2336" t="s">
        <v>1485</v>
      </c>
      <c r="D2336" t="s">
        <v>877</v>
      </c>
      <c r="E2336">
        <v>4</v>
      </c>
      <c r="F2336">
        <v>23184</v>
      </c>
      <c r="G2336">
        <f>TbReceitas[[#This Row],[quantidade]]*TbReceitas[[#This Row],[preco_unitario]]</f>
        <v>92736</v>
      </c>
      <c r="H2336" t="str">
        <f>TEXT(TbReceitas[[#This Row],[data_transacao]], "aaaa-mm")</f>
        <v>2025-06</v>
      </c>
    </row>
    <row r="2337" spans="1:8">
      <c r="A2337">
        <v>2336</v>
      </c>
      <c r="B2337" s="1">
        <v>45745</v>
      </c>
      <c r="C2337" t="s">
        <v>1738</v>
      </c>
      <c r="D2337" t="s">
        <v>331</v>
      </c>
      <c r="E2337">
        <v>1</v>
      </c>
      <c r="F2337">
        <v>1809</v>
      </c>
      <c r="G2337">
        <f>TbReceitas[[#This Row],[quantidade]]*TbReceitas[[#This Row],[preco_unitario]]</f>
        <v>1809</v>
      </c>
      <c r="H2337" t="str">
        <f>TEXT(TbReceitas[[#This Row],[data_transacao]], "aaaa-mm")</f>
        <v>2025-03</v>
      </c>
    </row>
    <row r="2338" spans="1:8">
      <c r="A2338">
        <v>2337</v>
      </c>
      <c r="B2338" s="1">
        <v>45559</v>
      </c>
      <c r="C2338" t="s">
        <v>1739</v>
      </c>
      <c r="D2338" t="s">
        <v>302</v>
      </c>
      <c r="E2338">
        <v>2</v>
      </c>
      <c r="F2338">
        <v>3276</v>
      </c>
      <c r="G2338">
        <f>TbReceitas[[#This Row],[quantidade]]*TbReceitas[[#This Row],[preco_unitario]]</f>
        <v>6552</v>
      </c>
      <c r="H2338" t="str">
        <f>TEXT(TbReceitas[[#This Row],[data_transacao]], "aaaa-mm")</f>
        <v>2024-09</v>
      </c>
    </row>
    <row r="2339" spans="1:8">
      <c r="A2339">
        <v>2338</v>
      </c>
      <c r="B2339" s="1">
        <v>45620</v>
      </c>
      <c r="C2339" t="s">
        <v>881</v>
      </c>
      <c r="D2339" t="s">
        <v>63</v>
      </c>
      <c r="E2339">
        <v>5</v>
      </c>
      <c r="F2339">
        <v>17325</v>
      </c>
      <c r="G2339">
        <f>TbReceitas[[#This Row],[quantidade]]*TbReceitas[[#This Row],[preco_unitario]]</f>
        <v>86625</v>
      </c>
      <c r="H2339" t="str">
        <f>TEXT(TbReceitas[[#This Row],[data_transacao]], "aaaa-mm")</f>
        <v>2024-11</v>
      </c>
    </row>
    <row r="2340" spans="1:8">
      <c r="A2340">
        <v>2339</v>
      </c>
      <c r="B2340" s="1">
        <v>46140</v>
      </c>
      <c r="C2340" t="s">
        <v>721</v>
      </c>
      <c r="D2340" t="s">
        <v>450</v>
      </c>
      <c r="E2340">
        <v>5</v>
      </c>
      <c r="F2340">
        <v>12673</v>
      </c>
      <c r="G2340">
        <f>TbReceitas[[#This Row],[quantidade]]*TbReceitas[[#This Row],[preco_unitario]]</f>
        <v>63365</v>
      </c>
      <c r="H2340" t="str">
        <f>TEXT(TbReceitas[[#This Row],[data_transacao]], "aaaa-mm")</f>
        <v>2026-04</v>
      </c>
    </row>
    <row r="2341" spans="1:8">
      <c r="A2341">
        <v>2340</v>
      </c>
      <c r="B2341" s="1">
        <v>45637</v>
      </c>
      <c r="C2341" t="s">
        <v>1740</v>
      </c>
      <c r="D2341" t="s">
        <v>147</v>
      </c>
      <c r="E2341">
        <v>2</v>
      </c>
      <c r="F2341">
        <v>3654</v>
      </c>
      <c r="G2341">
        <f>TbReceitas[[#This Row],[quantidade]]*TbReceitas[[#This Row],[preco_unitario]]</f>
        <v>7308</v>
      </c>
      <c r="H2341" t="str">
        <f>TEXT(TbReceitas[[#This Row],[data_transacao]], "aaaa-mm")</f>
        <v>2024-12</v>
      </c>
    </row>
    <row r="2342" spans="1:8">
      <c r="A2342">
        <v>2341</v>
      </c>
      <c r="B2342" s="1">
        <v>45906</v>
      </c>
      <c r="C2342" t="s">
        <v>1659</v>
      </c>
      <c r="D2342" t="s">
        <v>589</v>
      </c>
      <c r="E2342">
        <v>1</v>
      </c>
      <c r="F2342">
        <v>6421</v>
      </c>
      <c r="G2342">
        <f>TbReceitas[[#This Row],[quantidade]]*TbReceitas[[#This Row],[preco_unitario]]</f>
        <v>6421</v>
      </c>
      <c r="H2342" t="str">
        <f>TEXT(TbReceitas[[#This Row],[data_transacao]], "aaaa-mm")</f>
        <v>2025-09</v>
      </c>
    </row>
    <row r="2343" spans="1:8">
      <c r="A2343">
        <v>2342</v>
      </c>
      <c r="B2343" s="1">
        <v>45763</v>
      </c>
      <c r="C2343" t="s">
        <v>1476</v>
      </c>
      <c r="D2343" t="s">
        <v>176</v>
      </c>
      <c r="E2343">
        <v>3</v>
      </c>
      <c r="F2343">
        <v>776</v>
      </c>
      <c r="G2343">
        <f>TbReceitas[[#This Row],[quantidade]]*TbReceitas[[#This Row],[preco_unitario]]</f>
        <v>2328</v>
      </c>
      <c r="H2343" t="str">
        <f>TEXT(TbReceitas[[#This Row],[data_transacao]], "aaaa-mm")</f>
        <v>2025-04</v>
      </c>
    </row>
    <row r="2344" spans="1:8">
      <c r="A2344">
        <v>2343</v>
      </c>
      <c r="B2344" s="1">
        <v>45855</v>
      </c>
      <c r="C2344" t="s">
        <v>1131</v>
      </c>
      <c r="D2344" t="s">
        <v>394</v>
      </c>
      <c r="E2344">
        <v>3</v>
      </c>
      <c r="F2344">
        <v>10708</v>
      </c>
      <c r="G2344">
        <f>TbReceitas[[#This Row],[quantidade]]*TbReceitas[[#This Row],[preco_unitario]]</f>
        <v>32124</v>
      </c>
      <c r="H2344" t="str">
        <f>TEXT(TbReceitas[[#This Row],[data_transacao]], "aaaa-mm")</f>
        <v>2025-07</v>
      </c>
    </row>
    <row r="2345" spans="1:8">
      <c r="A2345">
        <v>2344</v>
      </c>
      <c r="B2345" s="1">
        <v>45646</v>
      </c>
      <c r="C2345" t="s">
        <v>742</v>
      </c>
      <c r="D2345" t="s">
        <v>213</v>
      </c>
      <c r="E2345">
        <v>2</v>
      </c>
      <c r="F2345">
        <v>22847</v>
      </c>
      <c r="G2345">
        <f>TbReceitas[[#This Row],[quantidade]]*TbReceitas[[#This Row],[preco_unitario]]</f>
        <v>45694</v>
      </c>
      <c r="H2345" t="str">
        <f>TEXT(TbReceitas[[#This Row],[data_transacao]], "aaaa-mm")</f>
        <v>2024-12</v>
      </c>
    </row>
    <row r="2346" spans="1:8">
      <c r="A2346">
        <v>2345</v>
      </c>
      <c r="B2346" s="1">
        <v>46183</v>
      </c>
      <c r="C2346" t="s">
        <v>751</v>
      </c>
      <c r="D2346" t="s">
        <v>618</v>
      </c>
      <c r="E2346">
        <v>4</v>
      </c>
      <c r="F2346">
        <v>19479</v>
      </c>
      <c r="G2346">
        <f>TbReceitas[[#This Row],[quantidade]]*TbReceitas[[#This Row],[preco_unitario]]</f>
        <v>77916</v>
      </c>
      <c r="H2346" t="str">
        <f>TEXT(TbReceitas[[#This Row],[data_transacao]], "aaaa-mm")</f>
        <v>2026-06</v>
      </c>
    </row>
    <row r="2347" spans="1:8">
      <c r="A2347">
        <v>2346</v>
      </c>
      <c r="B2347" s="1">
        <v>45902</v>
      </c>
      <c r="C2347" t="s">
        <v>925</v>
      </c>
      <c r="D2347" t="s">
        <v>653</v>
      </c>
      <c r="E2347">
        <v>3</v>
      </c>
      <c r="F2347">
        <v>24964</v>
      </c>
      <c r="G2347">
        <f>TbReceitas[[#This Row],[quantidade]]*TbReceitas[[#This Row],[preco_unitario]]</f>
        <v>74892</v>
      </c>
      <c r="H2347" t="str">
        <f>TEXT(TbReceitas[[#This Row],[data_transacao]], "aaaa-mm")</f>
        <v>2025-09</v>
      </c>
    </row>
    <row r="2348" spans="1:8">
      <c r="A2348">
        <v>2347</v>
      </c>
      <c r="B2348" s="1">
        <v>45791</v>
      </c>
      <c r="C2348" t="s">
        <v>826</v>
      </c>
      <c r="D2348" t="s">
        <v>404</v>
      </c>
      <c r="E2348">
        <v>1</v>
      </c>
      <c r="F2348">
        <v>23298</v>
      </c>
      <c r="G2348">
        <f>TbReceitas[[#This Row],[quantidade]]*TbReceitas[[#This Row],[preco_unitario]]</f>
        <v>23298</v>
      </c>
      <c r="H2348" t="str">
        <f>TEXT(TbReceitas[[#This Row],[data_transacao]], "aaaa-mm")</f>
        <v>2025-05</v>
      </c>
    </row>
    <row r="2349" spans="1:8">
      <c r="A2349">
        <v>2348</v>
      </c>
      <c r="B2349" s="1">
        <v>46276</v>
      </c>
      <c r="C2349" t="s">
        <v>1741</v>
      </c>
      <c r="D2349" t="s">
        <v>90</v>
      </c>
      <c r="E2349">
        <v>2</v>
      </c>
      <c r="F2349">
        <v>20394</v>
      </c>
      <c r="G2349">
        <f>TbReceitas[[#This Row],[quantidade]]*TbReceitas[[#This Row],[preco_unitario]]</f>
        <v>40788</v>
      </c>
      <c r="H2349" t="str">
        <f>TEXT(TbReceitas[[#This Row],[data_transacao]], "aaaa-mm")</f>
        <v>2026-09</v>
      </c>
    </row>
    <row r="2350" spans="1:8">
      <c r="A2350">
        <v>2349</v>
      </c>
      <c r="B2350" s="1">
        <v>46203</v>
      </c>
      <c r="C2350" t="s">
        <v>1476</v>
      </c>
      <c r="D2350" t="s">
        <v>212</v>
      </c>
      <c r="E2350">
        <v>5</v>
      </c>
      <c r="F2350">
        <v>6603</v>
      </c>
      <c r="G2350">
        <f>TbReceitas[[#This Row],[quantidade]]*TbReceitas[[#This Row],[preco_unitario]]</f>
        <v>33015</v>
      </c>
      <c r="H2350" t="str">
        <f>TEXT(TbReceitas[[#This Row],[data_transacao]], "aaaa-mm")</f>
        <v>2026-06</v>
      </c>
    </row>
    <row r="2351" spans="1:8">
      <c r="A2351">
        <v>2350</v>
      </c>
      <c r="B2351" s="1">
        <v>45667</v>
      </c>
      <c r="C2351" t="s">
        <v>760</v>
      </c>
      <c r="D2351" t="s">
        <v>131</v>
      </c>
      <c r="E2351">
        <v>5</v>
      </c>
      <c r="F2351">
        <v>5592</v>
      </c>
      <c r="G2351">
        <f>TbReceitas[[#This Row],[quantidade]]*TbReceitas[[#This Row],[preco_unitario]]</f>
        <v>27960</v>
      </c>
      <c r="H2351" t="str">
        <f>TEXT(TbReceitas[[#This Row],[data_transacao]], "aaaa-mm")</f>
        <v>2025-01</v>
      </c>
    </row>
    <row r="2352" spans="1:8">
      <c r="A2352">
        <v>2351</v>
      </c>
      <c r="B2352" s="1">
        <v>45551</v>
      </c>
      <c r="C2352" t="s">
        <v>1479</v>
      </c>
      <c r="D2352" t="s">
        <v>246</v>
      </c>
      <c r="E2352">
        <v>3</v>
      </c>
      <c r="F2352">
        <v>23513</v>
      </c>
      <c r="G2352">
        <f>TbReceitas[[#This Row],[quantidade]]*TbReceitas[[#This Row],[preco_unitario]]</f>
        <v>70539</v>
      </c>
      <c r="H2352" t="str">
        <f>TEXT(TbReceitas[[#This Row],[data_transacao]], "aaaa-mm")</f>
        <v>2024-09</v>
      </c>
    </row>
    <row r="2353" spans="1:8">
      <c r="A2353">
        <v>2352</v>
      </c>
      <c r="B2353" s="1">
        <v>45892</v>
      </c>
      <c r="C2353" t="s">
        <v>1044</v>
      </c>
      <c r="D2353" t="s">
        <v>388</v>
      </c>
      <c r="E2353">
        <v>2</v>
      </c>
      <c r="F2353">
        <v>5518</v>
      </c>
      <c r="G2353">
        <f>TbReceitas[[#This Row],[quantidade]]*TbReceitas[[#This Row],[preco_unitario]]</f>
        <v>11036</v>
      </c>
      <c r="H2353" t="str">
        <f>TEXT(TbReceitas[[#This Row],[data_transacao]], "aaaa-mm")</f>
        <v>2025-08</v>
      </c>
    </row>
    <row r="2354" spans="1:8">
      <c r="A2354">
        <v>2353</v>
      </c>
      <c r="B2354" s="1">
        <v>46068</v>
      </c>
      <c r="C2354" t="s">
        <v>1246</v>
      </c>
      <c r="D2354" t="s">
        <v>571</v>
      </c>
      <c r="E2354">
        <v>4</v>
      </c>
      <c r="F2354">
        <v>7293</v>
      </c>
      <c r="G2354">
        <f>TbReceitas[[#This Row],[quantidade]]*TbReceitas[[#This Row],[preco_unitario]]</f>
        <v>29172</v>
      </c>
      <c r="H2354" t="str">
        <f>TEXT(TbReceitas[[#This Row],[data_transacao]], "aaaa-mm")</f>
        <v>2026-02</v>
      </c>
    </row>
    <row r="2355" spans="1:8">
      <c r="A2355">
        <v>2354</v>
      </c>
      <c r="B2355" s="1">
        <v>45768</v>
      </c>
      <c r="C2355" t="s">
        <v>1685</v>
      </c>
      <c r="D2355" t="s">
        <v>174</v>
      </c>
      <c r="E2355">
        <v>4</v>
      </c>
      <c r="F2355">
        <v>3232</v>
      </c>
      <c r="G2355">
        <f>TbReceitas[[#This Row],[quantidade]]*TbReceitas[[#This Row],[preco_unitario]]</f>
        <v>12928</v>
      </c>
      <c r="H2355" t="str">
        <f>TEXT(TbReceitas[[#This Row],[data_transacao]], "aaaa-mm")</f>
        <v>2025-04</v>
      </c>
    </row>
    <row r="2356" spans="1:8">
      <c r="A2356">
        <v>2355</v>
      </c>
      <c r="B2356" s="1">
        <v>46146</v>
      </c>
      <c r="C2356" t="s">
        <v>791</v>
      </c>
      <c r="D2356" t="s">
        <v>587</v>
      </c>
      <c r="E2356">
        <v>4</v>
      </c>
      <c r="F2356">
        <v>2411</v>
      </c>
      <c r="G2356">
        <f>TbReceitas[[#This Row],[quantidade]]*TbReceitas[[#This Row],[preco_unitario]]</f>
        <v>9644</v>
      </c>
      <c r="H2356" t="str">
        <f>TEXT(TbReceitas[[#This Row],[data_transacao]], "aaaa-mm")</f>
        <v>2026-05</v>
      </c>
    </row>
    <row r="2357" spans="1:8">
      <c r="A2357">
        <v>2356</v>
      </c>
      <c r="B2357" s="1">
        <v>45820</v>
      </c>
      <c r="C2357" t="s">
        <v>1742</v>
      </c>
      <c r="D2357" t="s">
        <v>426</v>
      </c>
      <c r="E2357">
        <v>4</v>
      </c>
      <c r="F2357">
        <v>155</v>
      </c>
      <c r="G2357">
        <f>TbReceitas[[#This Row],[quantidade]]*TbReceitas[[#This Row],[preco_unitario]]</f>
        <v>620</v>
      </c>
      <c r="H2357" t="str">
        <f>TEXT(TbReceitas[[#This Row],[data_transacao]], "aaaa-mm")</f>
        <v>2025-06</v>
      </c>
    </row>
    <row r="2358" spans="1:8">
      <c r="A2358">
        <v>2357</v>
      </c>
      <c r="B2358" s="1">
        <v>45810</v>
      </c>
      <c r="C2358" t="s">
        <v>1261</v>
      </c>
      <c r="D2358" t="s">
        <v>467</v>
      </c>
      <c r="E2358">
        <v>5</v>
      </c>
      <c r="F2358">
        <v>14848</v>
      </c>
      <c r="G2358">
        <f>TbReceitas[[#This Row],[quantidade]]*TbReceitas[[#This Row],[preco_unitario]]</f>
        <v>74240</v>
      </c>
      <c r="H2358" t="str">
        <f>TEXT(TbReceitas[[#This Row],[data_transacao]], "aaaa-mm")</f>
        <v>2025-06</v>
      </c>
    </row>
    <row r="2359" spans="1:8">
      <c r="A2359">
        <v>2358</v>
      </c>
      <c r="B2359" s="1">
        <v>45576</v>
      </c>
      <c r="C2359" t="s">
        <v>1045</v>
      </c>
      <c r="D2359" t="s">
        <v>26</v>
      </c>
      <c r="E2359">
        <v>1</v>
      </c>
      <c r="F2359">
        <v>936</v>
      </c>
      <c r="G2359">
        <f>TbReceitas[[#This Row],[quantidade]]*TbReceitas[[#This Row],[preco_unitario]]</f>
        <v>936</v>
      </c>
      <c r="H2359" t="str">
        <f>TEXT(TbReceitas[[#This Row],[data_transacao]], "aaaa-mm")</f>
        <v>2024-10</v>
      </c>
    </row>
    <row r="2360" spans="1:8">
      <c r="A2360">
        <v>2359</v>
      </c>
      <c r="B2360" s="1">
        <v>46042</v>
      </c>
      <c r="C2360" t="s">
        <v>1578</v>
      </c>
      <c r="D2360" t="s">
        <v>59</v>
      </c>
      <c r="E2360">
        <v>2</v>
      </c>
      <c r="F2360">
        <v>13531</v>
      </c>
      <c r="G2360">
        <f>TbReceitas[[#This Row],[quantidade]]*TbReceitas[[#This Row],[preco_unitario]]</f>
        <v>27062</v>
      </c>
      <c r="H2360" t="str">
        <f>TEXT(TbReceitas[[#This Row],[data_transacao]], "aaaa-mm")</f>
        <v>2026-01</v>
      </c>
    </row>
    <row r="2361" spans="1:8">
      <c r="A2361">
        <v>2360</v>
      </c>
      <c r="B2361" s="1">
        <v>45962</v>
      </c>
      <c r="C2361" t="s">
        <v>1567</v>
      </c>
      <c r="D2361" t="s">
        <v>263</v>
      </c>
      <c r="E2361">
        <v>3</v>
      </c>
      <c r="F2361">
        <v>18249</v>
      </c>
      <c r="G2361">
        <f>TbReceitas[[#This Row],[quantidade]]*TbReceitas[[#This Row],[preco_unitario]]</f>
        <v>54747</v>
      </c>
      <c r="H2361" t="str">
        <f>TEXT(TbReceitas[[#This Row],[data_transacao]], "aaaa-mm")</f>
        <v>2025-11</v>
      </c>
    </row>
    <row r="2362" spans="1:8">
      <c r="A2362">
        <v>2361</v>
      </c>
      <c r="B2362" s="1">
        <v>45547</v>
      </c>
      <c r="C2362" t="s">
        <v>1743</v>
      </c>
      <c r="D2362" t="s">
        <v>190</v>
      </c>
      <c r="E2362">
        <v>3</v>
      </c>
      <c r="F2362">
        <v>5094</v>
      </c>
      <c r="G2362">
        <f>TbReceitas[[#This Row],[quantidade]]*TbReceitas[[#This Row],[preco_unitario]]</f>
        <v>15282</v>
      </c>
      <c r="H2362" t="str">
        <f>TEXT(TbReceitas[[#This Row],[data_transacao]], "aaaa-mm")</f>
        <v>2024-09</v>
      </c>
    </row>
    <row r="2363" spans="1:8">
      <c r="A2363">
        <v>2362</v>
      </c>
      <c r="B2363" s="1">
        <v>46272</v>
      </c>
      <c r="C2363" t="s">
        <v>1526</v>
      </c>
      <c r="D2363" t="s">
        <v>312</v>
      </c>
      <c r="E2363">
        <v>5</v>
      </c>
      <c r="F2363">
        <v>24217</v>
      </c>
      <c r="G2363">
        <f>TbReceitas[[#This Row],[quantidade]]*TbReceitas[[#This Row],[preco_unitario]]</f>
        <v>121085</v>
      </c>
      <c r="H2363" t="str">
        <f>TEXT(TbReceitas[[#This Row],[data_transacao]], "aaaa-mm")</f>
        <v>2026-09</v>
      </c>
    </row>
    <row r="2364" spans="1:8">
      <c r="A2364">
        <v>2363</v>
      </c>
      <c r="B2364" s="1">
        <v>45894</v>
      </c>
      <c r="C2364" t="s">
        <v>1098</v>
      </c>
      <c r="D2364" t="s">
        <v>147</v>
      </c>
      <c r="E2364">
        <v>3</v>
      </c>
      <c r="F2364">
        <v>3654</v>
      </c>
      <c r="G2364">
        <f>TbReceitas[[#This Row],[quantidade]]*TbReceitas[[#This Row],[preco_unitario]]</f>
        <v>10962</v>
      </c>
      <c r="H2364" t="str">
        <f>TEXT(TbReceitas[[#This Row],[data_transacao]], "aaaa-mm")</f>
        <v>2025-08</v>
      </c>
    </row>
    <row r="2365" spans="1:8">
      <c r="A2365">
        <v>2364</v>
      </c>
      <c r="B2365" s="1">
        <v>45931</v>
      </c>
      <c r="C2365" t="s">
        <v>1048</v>
      </c>
      <c r="D2365" t="s">
        <v>115</v>
      </c>
      <c r="E2365">
        <v>1</v>
      </c>
      <c r="F2365">
        <v>10588</v>
      </c>
      <c r="G2365">
        <f>TbReceitas[[#This Row],[quantidade]]*TbReceitas[[#This Row],[preco_unitario]]</f>
        <v>10588</v>
      </c>
      <c r="H2365" t="str">
        <f>TEXT(TbReceitas[[#This Row],[data_transacao]], "aaaa-mm")</f>
        <v>2025-10</v>
      </c>
    </row>
    <row r="2366" spans="1:8">
      <c r="A2366">
        <v>2365</v>
      </c>
      <c r="B2366" s="1">
        <v>45651</v>
      </c>
      <c r="C2366" t="s">
        <v>1744</v>
      </c>
      <c r="D2366" t="s">
        <v>472</v>
      </c>
      <c r="E2366">
        <v>2</v>
      </c>
      <c r="F2366">
        <v>15247</v>
      </c>
      <c r="G2366">
        <f>TbReceitas[[#This Row],[quantidade]]*TbReceitas[[#This Row],[preco_unitario]]</f>
        <v>30494</v>
      </c>
      <c r="H2366" t="str">
        <f>TEXT(TbReceitas[[#This Row],[data_transacao]], "aaaa-mm")</f>
        <v>2024-12</v>
      </c>
    </row>
    <row r="2367" spans="1:8">
      <c r="A2367">
        <v>2366</v>
      </c>
      <c r="B2367" s="1">
        <v>46037</v>
      </c>
      <c r="C2367" t="s">
        <v>721</v>
      </c>
      <c r="D2367" t="s">
        <v>684</v>
      </c>
      <c r="E2367">
        <v>3</v>
      </c>
      <c r="F2367">
        <v>14496</v>
      </c>
      <c r="G2367">
        <f>TbReceitas[[#This Row],[quantidade]]*TbReceitas[[#This Row],[preco_unitario]]</f>
        <v>43488</v>
      </c>
      <c r="H2367" t="str">
        <f>TEXT(TbReceitas[[#This Row],[data_transacao]], "aaaa-mm")</f>
        <v>2026-01</v>
      </c>
    </row>
    <row r="2368" spans="1:8">
      <c r="A2368">
        <v>2367</v>
      </c>
      <c r="B2368" s="1">
        <v>45640</v>
      </c>
      <c r="C2368" t="s">
        <v>1293</v>
      </c>
      <c r="D2368" t="s">
        <v>17</v>
      </c>
      <c r="E2368">
        <v>5</v>
      </c>
      <c r="F2368">
        <v>18565</v>
      </c>
      <c r="G2368">
        <f>TbReceitas[[#This Row],[quantidade]]*TbReceitas[[#This Row],[preco_unitario]]</f>
        <v>92825</v>
      </c>
      <c r="H2368" t="str">
        <f>TEXT(TbReceitas[[#This Row],[data_transacao]], "aaaa-mm")</f>
        <v>2024-12</v>
      </c>
    </row>
    <row r="2369" spans="1:8">
      <c r="A2369">
        <v>2368</v>
      </c>
      <c r="B2369" s="1">
        <v>45585</v>
      </c>
      <c r="C2369" t="s">
        <v>800</v>
      </c>
      <c r="D2369" t="s">
        <v>432</v>
      </c>
      <c r="E2369">
        <v>2</v>
      </c>
      <c r="F2369">
        <v>2156</v>
      </c>
      <c r="G2369">
        <f>TbReceitas[[#This Row],[quantidade]]*TbReceitas[[#This Row],[preco_unitario]]</f>
        <v>4312</v>
      </c>
      <c r="H2369" t="str">
        <f>TEXT(TbReceitas[[#This Row],[data_transacao]], "aaaa-mm")</f>
        <v>2024-10</v>
      </c>
    </row>
    <row r="2370" spans="1:8">
      <c r="A2370">
        <v>2369</v>
      </c>
      <c r="B2370" s="1">
        <v>45884</v>
      </c>
      <c r="C2370" t="s">
        <v>1652</v>
      </c>
      <c r="D2370" t="s">
        <v>362</v>
      </c>
      <c r="E2370">
        <v>2</v>
      </c>
      <c r="F2370">
        <v>19722</v>
      </c>
      <c r="G2370">
        <f>TbReceitas[[#This Row],[quantidade]]*TbReceitas[[#This Row],[preco_unitario]]</f>
        <v>39444</v>
      </c>
      <c r="H2370" t="str">
        <f>TEXT(TbReceitas[[#This Row],[data_transacao]], "aaaa-mm")</f>
        <v>2025-08</v>
      </c>
    </row>
    <row r="2371" spans="1:8">
      <c r="A2371">
        <v>2370</v>
      </c>
      <c r="B2371" s="1">
        <v>46172</v>
      </c>
      <c r="C2371" t="s">
        <v>866</v>
      </c>
      <c r="D2371" t="s">
        <v>439</v>
      </c>
      <c r="E2371">
        <v>2</v>
      </c>
      <c r="F2371">
        <v>1782</v>
      </c>
      <c r="G2371">
        <f>TbReceitas[[#This Row],[quantidade]]*TbReceitas[[#This Row],[preco_unitario]]</f>
        <v>3564</v>
      </c>
      <c r="H2371" t="str">
        <f>TEXT(TbReceitas[[#This Row],[data_transacao]], "aaaa-mm")</f>
        <v>2026-05</v>
      </c>
    </row>
    <row r="2372" spans="1:8">
      <c r="A2372">
        <v>2371</v>
      </c>
      <c r="B2372" s="1">
        <v>45888</v>
      </c>
      <c r="C2372" t="s">
        <v>1675</v>
      </c>
      <c r="D2372" t="s">
        <v>508</v>
      </c>
      <c r="E2372">
        <v>1</v>
      </c>
      <c r="F2372">
        <v>12755</v>
      </c>
      <c r="G2372">
        <f>TbReceitas[[#This Row],[quantidade]]*TbReceitas[[#This Row],[preco_unitario]]</f>
        <v>12755</v>
      </c>
      <c r="H2372" t="str">
        <f>TEXT(TbReceitas[[#This Row],[data_transacao]], "aaaa-mm")</f>
        <v>2025-08</v>
      </c>
    </row>
    <row r="2373" spans="1:8">
      <c r="A2373">
        <v>2372</v>
      </c>
      <c r="B2373" s="1">
        <v>45961</v>
      </c>
      <c r="C2373" t="s">
        <v>1084</v>
      </c>
      <c r="D2373" t="s">
        <v>25</v>
      </c>
      <c r="E2373">
        <v>5</v>
      </c>
      <c r="F2373">
        <v>15908</v>
      </c>
      <c r="G2373">
        <f>TbReceitas[[#This Row],[quantidade]]*TbReceitas[[#This Row],[preco_unitario]]</f>
        <v>79540</v>
      </c>
      <c r="H2373" t="str">
        <f>TEXT(TbReceitas[[#This Row],[data_transacao]], "aaaa-mm")</f>
        <v>2025-10</v>
      </c>
    </row>
    <row r="2374" spans="1:8">
      <c r="A2374">
        <v>2373</v>
      </c>
      <c r="B2374" s="1">
        <v>45655</v>
      </c>
      <c r="C2374" t="s">
        <v>1460</v>
      </c>
      <c r="D2374" t="s">
        <v>546</v>
      </c>
      <c r="E2374">
        <v>1</v>
      </c>
      <c r="F2374">
        <v>21187</v>
      </c>
      <c r="G2374">
        <f>TbReceitas[[#This Row],[quantidade]]*TbReceitas[[#This Row],[preco_unitario]]</f>
        <v>21187</v>
      </c>
      <c r="H2374" t="str">
        <f>TEXT(TbReceitas[[#This Row],[data_transacao]], "aaaa-mm")</f>
        <v>2024-12</v>
      </c>
    </row>
    <row r="2375" spans="1:8">
      <c r="A2375">
        <v>2374</v>
      </c>
      <c r="B2375" s="1">
        <v>45601</v>
      </c>
      <c r="C2375" t="s">
        <v>1547</v>
      </c>
      <c r="D2375" t="s">
        <v>634</v>
      </c>
      <c r="E2375">
        <v>1</v>
      </c>
      <c r="F2375">
        <v>21686</v>
      </c>
      <c r="G2375">
        <f>TbReceitas[[#This Row],[quantidade]]*TbReceitas[[#This Row],[preco_unitario]]</f>
        <v>21686</v>
      </c>
      <c r="H2375" t="str">
        <f>TEXT(TbReceitas[[#This Row],[data_transacao]], "aaaa-mm")</f>
        <v>2024-11</v>
      </c>
    </row>
    <row r="2376" spans="1:8">
      <c r="A2376">
        <v>2375</v>
      </c>
      <c r="B2376" s="1">
        <v>45888</v>
      </c>
      <c r="C2376" t="s">
        <v>1248</v>
      </c>
      <c r="D2376" t="s">
        <v>180</v>
      </c>
      <c r="E2376">
        <v>4</v>
      </c>
      <c r="F2376">
        <v>2024</v>
      </c>
      <c r="G2376">
        <f>TbReceitas[[#This Row],[quantidade]]*TbReceitas[[#This Row],[preco_unitario]]</f>
        <v>8096</v>
      </c>
      <c r="H2376" t="str">
        <f>TEXT(TbReceitas[[#This Row],[data_transacao]], "aaaa-mm")</f>
        <v>2025-08</v>
      </c>
    </row>
    <row r="2377" spans="1:8">
      <c r="A2377">
        <v>2376</v>
      </c>
      <c r="B2377" s="1">
        <v>46015</v>
      </c>
      <c r="C2377" t="s">
        <v>1662</v>
      </c>
      <c r="D2377" t="s">
        <v>190</v>
      </c>
      <c r="E2377">
        <v>1</v>
      </c>
      <c r="F2377">
        <v>5094</v>
      </c>
      <c r="G2377">
        <f>TbReceitas[[#This Row],[quantidade]]*TbReceitas[[#This Row],[preco_unitario]]</f>
        <v>5094</v>
      </c>
      <c r="H2377" t="str">
        <f>TEXT(TbReceitas[[#This Row],[data_transacao]], "aaaa-mm")</f>
        <v>2025-12</v>
      </c>
    </row>
    <row r="2378" spans="1:8">
      <c r="A2378">
        <v>2377</v>
      </c>
      <c r="B2378" s="1">
        <v>45814</v>
      </c>
      <c r="C2378" t="s">
        <v>1412</v>
      </c>
      <c r="D2378" t="s">
        <v>654</v>
      </c>
      <c r="E2378">
        <v>5</v>
      </c>
      <c r="F2378">
        <v>10545</v>
      </c>
      <c r="G2378">
        <f>TbReceitas[[#This Row],[quantidade]]*TbReceitas[[#This Row],[preco_unitario]]</f>
        <v>52725</v>
      </c>
      <c r="H2378" t="str">
        <f>TEXT(TbReceitas[[#This Row],[data_transacao]], "aaaa-mm")</f>
        <v>2025-06</v>
      </c>
    </row>
    <row r="2379" spans="1:8">
      <c r="A2379">
        <v>2378</v>
      </c>
      <c r="B2379" s="1">
        <v>46068</v>
      </c>
      <c r="C2379" t="s">
        <v>1031</v>
      </c>
      <c r="D2379" t="s">
        <v>354</v>
      </c>
      <c r="E2379">
        <v>2</v>
      </c>
      <c r="F2379">
        <v>19135</v>
      </c>
      <c r="G2379">
        <f>TbReceitas[[#This Row],[quantidade]]*TbReceitas[[#This Row],[preco_unitario]]</f>
        <v>38270</v>
      </c>
      <c r="H2379" t="str">
        <f>TEXT(TbReceitas[[#This Row],[data_transacao]], "aaaa-mm")</f>
        <v>2026-02</v>
      </c>
    </row>
    <row r="2380" spans="1:8">
      <c r="A2380">
        <v>2379</v>
      </c>
      <c r="B2380" s="1">
        <v>46039</v>
      </c>
      <c r="C2380" t="s">
        <v>1574</v>
      </c>
      <c r="D2380" t="s">
        <v>84</v>
      </c>
      <c r="E2380">
        <v>2</v>
      </c>
      <c r="F2380">
        <v>21541</v>
      </c>
      <c r="G2380">
        <f>TbReceitas[[#This Row],[quantidade]]*TbReceitas[[#This Row],[preco_unitario]]</f>
        <v>43082</v>
      </c>
      <c r="H2380" t="str">
        <f>TEXT(TbReceitas[[#This Row],[data_transacao]], "aaaa-mm")</f>
        <v>2026-01</v>
      </c>
    </row>
    <row r="2381" spans="1:8">
      <c r="A2381">
        <v>2380</v>
      </c>
      <c r="B2381" s="1">
        <v>45980</v>
      </c>
      <c r="C2381" t="s">
        <v>1414</v>
      </c>
      <c r="D2381" t="s">
        <v>608</v>
      </c>
      <c r="E2381">
        <v>1</v>
      </c>
      <c r="F2381">
        <v>752</v>
      </c>
      <c r="G2381">
        <f>TbReceitas[[#This Row],[quantidade]]*TbReceitas[[#This Row],[preco_unitario]]</f>
        <v>752</v>
      </c>
      <c r="H2381" t="str">
        <f>TEXT(TbReceitas[[#This Row],[data_transacao]], "aaaa-mm")</f>
        <v>2025-11</v>
      </c>
    </row>
    <row r="2382" spans="1:8">
      <c r="A2382">
        <v>2381</v>
      </c>
      <c r="B2382" s="1">
        <v>46006</v>
      </c>
      <c r="C2382" t="s">
        <v>1134</v>
      </c>
      <c r="D2382" t="s">
        <v>14</v>
      </c>
      <c r="E2382">
        <v>3</v>
      </c>
      <c r="F2382">
        <v>11529</v>
      </c>
      <c r="G2382">
        <f>TbReceitas[[#This Row],[quantidade]]*TbReceitas[[#This Row],[preco_unitario]]</f>
        <v>34587</v>
      </c>
      <c r="H2382" t="str">
        <f>TEXT(TbReceitas[[#This Row],[data_transacao]], "aaaa-mm")</f>
        <v>2025-12</v>
      </c>
    </row>
    <row r="2383" spans="1:8">
      <c r="A2383">
        <v>2382</v>
      </c>
      <c r="B2383" s="1">
        <v>45606</v>
      </c>
      <c r="C2383" t="s">
        <v>882</v>
      </c>
      <c r="D2383" t="s">
        <v>16</v>
      </c>
      <c r="E2383">
        <v>2</v>
      </c>
      <c r="F2383">
        <v>19899</v>
      </c>
      <c r="G2383">
        <f>TbReceitas[[#This Row],[quantidade]]*TbReceitas[[#This Row],[preco_unitario]]</f>
        <v>39798</v>
      </c>
      <c r="H2383" t="str">
        <f>TEXT(TbReceitas[[#This Row],[data_transacao]], "aaaa-mm")</f>
        <v>2024-11</v>
      </c>
    </row>
    <row r="2384" spans="1:8">
      <c r="A2384">
        <v>2383</v>
      </c>
      <c r="B2384" s="1">
        <v>45967</v>
      </c>
      <c r="C2384" t="s">
        <v>1550</v>
      </c>
      <c r="D2384" t="s">
        <v>635</v>
      </c>
      <c r="E2384">
        <v>3</v>
      </c>
      <c r="F2384">
        <v>821</v>
      </c>
      <c r="G2384">
        <f>TbReceitas[[#This Row],[quantidade]]*TbReceitas[[#This Row],[preco_unitario]]</f>
        <v>2463</v>
      </c>
      <c r="H2384" t="str">
        <f>TEXT(TbReceitas[[#This Row],[data_transacao]], "aaaa-mm")</f>
        <v>2025-11</v>
      </c>
    </row>
    <row r="2385" spans="1:8">
      <c r="A2385">
        <v>2384</v>
      </c>
      <c r="B2385" s="1">
        <v>45848</v>
      </c>
      <c r="C2385" t="s">
        <v>963</v>
      </c>
      <c r="D2385" t="s">
        <v>458</v>
      </c>
      <c r="E2385">
        <v>4</v>
      </c>
      <c r="F2385">
        <v>4815</v>
      </c>
      <c r="G2385">
        <f>TbReceitas[[#This Row],[quantidade]]*TbReceitas[[#This Row],[preco_unitario]]</f>
        <v>19260</v>
      </c>
      <c r="H2385" t="str">
        <f>TEXT(TbReceitas[[#This Row],[data_transacao]], "aaaa-mm")</f>
        <v>2025-07</v>
      </c>
    </row>
    <row r="2386" spans="1:8">
      <c r="A2386">
        <v>2385</v>
      </c>
      <c r="B2386" s="1">
        <v>45729</v>
      </c>
      <c r="C2386" t="s">
        <v>1304</v>
      </c>
      <c r="D2386" t="s">
        <v>272</v>
      </c>
      <c r="E2386">
        <v>2</v>
      </c>
      <c r="F2386">
        <v>2294</v>
      </c>
      <c r="G2386">
        <f>TbReceitas[[#This Row],[quantidade]]*TbReceitas[[#This Row],[preco_unitario]]</f>
        <v>4588</v>
      </c>
      <c r="H2386" t="str">
        <f>TEXT(TbReceitas[[#This Row],[data_transacao]], "aaaa-mm")</f>
        <v>2025-03</v>
      </c>
    </row>
    <row r="2387" spans="1:8">
      <c r="A2387">
        <v>2386</v>
      </c>
      <c r="B2387" s="1">
        <v>46221</v>
      </c>
      <c r="C2387" t="s">
        <v>1591</v>
      </c>
      <c r="D2387" t="s">
        <v>285</v>
      </c>
      <c r="E2387">
        <v>4</v>
      </c>
      <c r="F2387">
        <v>23725</v>
      </c>
      <c r="G2387">
        <f>TbReceitas[[#This Row],[quantidade]]*TbReceitas[[#This Row],[preco_unitario]]</f>
        <v>94900</v>
      </c>
      <c r="H2387" t="str">
        <f>TEXT(TbReceitas[[#This Row],[data_transacao]], "aaaa-mm")</f>
        <v>2026-07</v>
      </c>
    </row>
    <row r="2388" spans="1:8">
      <c r="A2388">
        <v>2387</v>
      </c>
      <c r="B2388" s="1">
        <v>46070</v>
      </c>
      <c r="C2388" t="s">
        <v>991</v>
      </c>
      <c r="D2388" t="s">
        <v>130</v>
      </c>
      <c r="E2388">
        <v>1</v>
      </c>
      <c r="F2388">
        <v>18118</v>
      </c>
      <c r="G2388">
        <f>TbReceitas[[#This Row],[quantidade]]*TbReceitas[[#This Row],[preco_unitario]]</f>
        <v>18118</v>
      </c>
      <c r="H2388" t="str">
        <f>TEXT(TbReceitas[[#This Row],[data_transacao]], "aaaa-mm")</f>
        <v>2026-02</v>
      </c>
    </row>
    <row r="2389" spans="1:8">
      <c r="A2389">
        <v>2388</v>
      </c>
      <c r="B2389" s="1">
        <v>45810</v>
      </c>
      <c r="C2389" t="s">
        <v>1248</v>
      </c>
      <c r="D2389" t="s">
        <v>58</v>
      </c>
      <c r="E2389">
        <v>4</v>
      </c>
      <c r="F2389">
        <v>7027</v>
      </c>
      <c r="G2389">
        <f>TbReceitas[[#This Row],[quantidade]]*TbReceitas[[#This Row],[preco_unitario]]</f>
        <v>28108</v>
      </c>
      <c r="H2389" t="str">
        <f>TEXT(TbReceitas[[#This Row],[data_transacao]], "aaaa-mm")</f>
        <v>2025-06</v>
      </c>
    </row>
    <row r="2390" spans="1:8">
      <c r="A2390">
        <v>2389</v>
      </c>
      <c r="B2390" s="1">
        <v>45982</v>
      </c>
      <c r="C2390" t="s">
        <v>1108</v>
      </c>
      <c r="D2390" t="s">
        <v>216</v>
      </c>
      <c r="E2390">
        <v>4</v>
      </c>
      <c r="F2390">
        <v>9488</v>
      </c>
      <c r="G2390">
        <f>TbReceitas[[#This Row],[quantidade]]*TbReceitas[[#This Row],[preco_unitario]]</f>
        <v>37952</v>
      </c>
      <c r="H2390" t="str">
        <f>TEXT(TbReceitas[[#This Row],[data_transacao]], "aaaa-mm")</f>
        <v>2025-11</v>
      </c>
    </row>
    <row r="2391" spans="1:8">
      <c r="A2391">
        <v>2390</v>
      </c>
      <c r="B2391" s="1">
        <v>46046</v>
      </c>
      <c r="C2391" t="s">
        <v>778</v>
      </c>
      <c r="D2391" t="s">
        <v>675</v>
      </c>
      <c r="E2391">
        <v>4</v>
      </c>
      <c r="F2391">
        <v>808</v>
      </c>
      <c r="G2391">
        <f>TbReceitas[[#This Row],[quantidade]]*TbReceitas[[#This Row],[preco_unitario]]</f>
        <v>3232</v>
      </c>
      <c r="H2391" t="str">
        <f>TEXT(TbReceitas[[#This Row],[data_transacao]], "aaaa-mm")</f>
        <v>2026-01</v>
      </c>
    </row>
    <row r="2392" spans="1:8">
      <c r="A2392">
        <v>2391</v>
      </c>
      <c r="B2392" s="1">
        <v>45588</v>
      </c>
      <c r="C2392" t="s">
        <v>782</v>
      </c>
      <c r="D2392" t="s">
        <v>680</v>
      </c>
      <c r="E2392">
        <v>3</v>
      </c>
      <c r="F2392">
        <v>7316</v>
      </c>
      <c r="G2392">
        <f>TbReceitas[[#This Row],[quantidade]]*TbReceitas[[#This Row],[preco_unitario]]</f>
        <v>21948</v>
      </c>
      <c r="H2392" t="str">
        <f>TEXT(TbReceitas[[#This Row],[data_transacao]], "aaaa-mm")</f>
        <v>2024-10</v>
      </c>
    </row>
    <row r="2393" spans="1:8">
      <c r="A2393">
        <v>2392</v>
      </c>
      <c r="B2393" s="1">
        <v>46102</v>
      </c>
      <c r="C2393" t="s">
        <v>1089</v>
      </c>
      <c r="D2393" t="s">
        <v>269</v>
      </c>
      <c r="E2393">
        <v>1</v>
      </c>
      <c r="F2393">
        <v>12528</v>
      </c>
      <c r="G2393">
        <f>TbReceitas[[#This Row],[quantidade]]*TbReceitas[[#This Row],[preco_unitario]]</f>
        <v>12528</v>
      </c>
      <c r="H2393" t="str">
        <f>TEXT(TbReceitas[[#This Row],[data_transacao]], "aaaa-mm")</f>
        <v>2026-03</v>
      </c>
    </row>
    <row r="2394" spans="1:8">
      <c r="A2394">
        <v>2393</v>
      </c>
      <c r="B2394" s="1">
        <v>45906</v>
      </c>
      <c r="C2394" t="s">
        <v>1249</v>
      </c>
      <c r="D2394" t="s">
        <v>1313</v>
      </c>
      <c r="E2394">
        <v>4</v>
      </c>
      <c r="F2394">
        <v>4935</v>
      </c>
      <c r="G2394">
        <f>TbReceitas[[#This Row],[quantidade]]*TbReceitas[[#This Row],[preco_unitario]]</f>
        <v>19740</v>
      </c>
      <c r="H2394" t="str">
        <f>TEXT(TbReceitas[[#This Row],[data_transacao]], "aaaa-mm")</f>
        <v>2025-09</v>
      </c>
    </row>
    <row r="2395" spans="1:8">
      <c r="A2395">
        <v>2394</v>
      </c>
      <c r="B2395" s="1">
        <v>46013</v>
      </c>
      <c r="C2395" t="s">
        <v>753</v>
      </c>
      <c r="D2395" t="s">
        <v>52</v>
      </c>
      <c r="E2395">
        <v>5</v>
      </c>
      <c r="F2395">
        <v>3572</v>
      </c>
      <c r="G2395">
        <f>TbReceitas[[#This Row],[quantidade]]*TbReceitas[[#This Row],[preco_unitario]]</f>
        <v>17860</v>
      </c>
      <c r="H2395" t="str">
        <f>TEXT(TbReceitas[[#This Row],[data_transacao]], "aaaa-mm")</f>
        <v>2025-12</v>
      </c>
    </row>
    <row r="2396" spans="1:8">
      <c r="A2396">
        <v>2395</v>
      </c>
      <c r="B2396" s="1">
        <v>45992</v>
      </c>
      <c r="C2396" t="s">
        <v>1745</v>
      </c>
      <c r="D2396" t="s">
        <v>202</v>
      </c>
      <c r="E2396">
        <v>3</v>
      </c>
      <c r="F2396">
        <v>8469</v>
      </c>
      <c r="G2396">
        <f>TbReceitas[[#This Row],[quantidade]]*TbReceitas[[#This Row],[preco_unitario]]</f>
        <v>25407</v>
      </c>
      <c r="H2396" t="str">
        <f>TEXT(TbReceitas[[#This Row],[data_transacao]], "aaaa-mm")</f>
        <v>2025-12</v>
      </c>
    </row>
    <row r="2397" spans="1:8">
      <c r="A2397">
        <v>2396</v>
      </c>
      <c r="B2397" s="1">
        <v>46276</v>
      </c>
      <c r="C2397" t="s">
        <v>790</v>
      </c>
      <c r="D2397" t="s">
        <v>242</v>
      </c>
      <c r="E2397">
        <v>5</v>
      </c>
      <c r="F2397">
        <v>21063</v>
      </c>
      <c r="G2397">
        <f>TbReceitas[[#This Row],[quantidade]]*TbReceitas[[#This Row],[preco_unitario]]</f>
        <v>105315</v>
      </c>
      <c r="H2397" t="str">
        <f>TEXT(TbReceitas[[#This Row],[data_transacao]], "aaaa-mm")</f>
        <v>2026-09</v>
      </c>
    </row>
    <row r="2398" spans="1:8">
      <c r="A2398">
        <v>2397</v>
      </c>
      <c r="B2398" s="1">
        <v>46163</v>
      </c>
      <c r="C2398" t="s">
        <v>1709</v>
      </c>
      <c r="D2398" t="s">
        <v>444</v>
      </c>
      <c r="E2398">
        <v>2</v>
      </c>
      <c r="F2398">
        <v>6184</v>
      </c>
      <c r="G2398">
        <f>TbReceitas[[#This Row],[quantidade]]*TbReceitas[[#This Row],[preco_unitario]]</f>
        <v>12368</v>
      </c>
      <c r="H2398" t="str">
        <f>TEXT(TbReceitas[[#This Row],[data_transacao]], "aaaa-mm")</f>
        <v>2026-05</v>
      </c>
    </row>
    <row r="2399" spans="1:8">
      <c r="A2399">
        <v>2398</v>
      </c>
      <c r="B2399" s="1">
        <v>46270</v>
      </c>
      <c r="C2399" t="s">
        <v>1348</v>
      </c>
      <c r="D2399" t="s">
        <v>76</v>
      </c>
      <c r="E2399">
        <v>2</v>
      </c>
      <c r="F2399">
        <v>23998</v>
      </c>
      <c r="G2399">
        <f>TbReceitas[[#This Row],[quantidade]]*TbReceitas[[#This Row],[preco_unitario]]</f>
        <v>47996</v>
      </c>
      <c r="H2399" t="str">
        <f>TEXT(TbReceitas[[#This Row],[data_transacao]], "aaaa-mm")</f>
        <v>2026-09</v>
      </c>
    </row>
    <row r="2400" spans="1:8">
      <c r="A2400">
        <v>2399</v>
      </c>
      <c r="B2400" s="1">
        <v>45604</v>
      </c>
      <c r="C2400" t="s">
        <v>874</v>
      </c>
      <c r="D2400" t="s">
        <v>217</v>
      </c>
      <c r="E2400">
        <v>3</v>
      </c>
      <c r="F2400">
        <v>4789</v>
      </c>
      <c r="G2400">
        <f>TbReceitas[[#This Row],[quantidade]]*TbReceitas[[#This Row],[preco_unitario]]</f>
        <v>14367</v>
      </c>
      <c r="H2400" t="str">
        <f>TEXT(TbReceitas[[#This Row],[data_transacao]], "aaaa-mm")</f>
        <v>2024-11</v>
      </c>
    </row>
    <row r="2401" spans="1:8">
      <c r="A2401">
        <v>2400</v>
      </c>
      <c r="B2401" s="1">
        <v>45647</v>
      </c>
      <c r="C2401" t="s">
        <v>1328</v>
      </c>
      <c r="D2401" t="s">
        <v>593</v>
      </c>
      <c r="E2401">
        <v>1</v>
      </c>
      <c r="F2401">
        <v>2171</v>
      </c>
      <c r="G2401">
        <f>TbReceitas[[#This Row],[quantidade]]*TbReceitas[[#This Row],[preco_unitario]]</f>
        <v>2171</v>
      </c>
      <c r="H2401" t="str">
        <f>TEXT(TbReceitas[[#This Row],[data_transacao]], "aaaa-mm")</f>
        <v>2024-12</v>
      </c>
    </row>
    <row r="2402" spans="1:8">
      <c r="A2402">
        <v>2401</v>
      </c>
      <c r="B2402" s="1">
        <v>46142</v>
      </c>
      <c r="C2402" t="s">
        <v>1615</v>
      </c>
      <c r="D2402" t="s">
        <v>76</v>
      </c>
      <c r="E2402">
        <v>1</v>
      </c>
      <c r="F2402">
        <v>23998</v>
      </c>
      <c r="G2402">
        <f>TbReceitas[[#This Row],[quantidade]]*TbReceitas[[#This Row],[preco_unitario]]</f>
        <v>23998</v>
      </c>
      <c r="H2402" t="str">
        <f>TEXT(TbReceitas[[#This Row],[data_transacao]], "aaaa-mm")</f>
        <v>2026-04</v>
      </c>
    </row>
    <row r="2403" spans="1:8">
      <c r="A2403">
        <v>2402</v>
      </c>
      <c r="B2403" s="1">
        <v>46055</v>
      </c>
      <c r="C2403" t="s">
        <v>1589</v>
      </c>
      <c r="D2403" t="s">
        <v>466</v>
      </c>
      <c r="E2403">
        <v>5</v>
      </c>
      <c r="F2403">
        <v>12608</v>
      </c>
      <c r="G2403">
        <f>TbReceitas[[#This Row],[quantidade]]*TbReceitas[[#This Row],[preco_unitario]]</f>
        <v>63040</v>
      </c>
      <c r="H2403" t="str">
        <f>TEXT(TbReceitas[[#This Row],[data_transacao]], "aaaa-mm")</f>
        <v>2026-02</v>
      </c>
    </row>
    <row r="2404" spans="1:8">
      <c r="A2404">
        <v>2403</v>
      </c>
      <c r="B2404" s="1">
        <v>46024</v>
      </c>
      <c r="C2404" t="s">
        <v>1646</v>
      </c>
      <c r="D2404" t="s">
        <v>336</v>
      </c>
      <c r="E2404">
        <v>1</v>
      </c>
      <c r="F2404">
        <v>15514</v>
      </c>
      <c r="G2404">
        <f>TbReceitas[[#This Row],[quantidade]]*TbReceitas[[#This Row],[preco_unitario]]</f>
        <v>15514</v>
      </c>
      <c r="H2404" t="str">
        <f>TEXT(TbReceitas[[#This Row],[data_transacao]], "aaaa-mm")</f>
        <v>2026-01</v>
      </c>
    </row>
    <row r="2405" spans="1:8">
      <c r="A2405">
        <v>2404</v>
      </c>
      <c r="B2405" s="1">
        <v>45665</v>
      </c>
      <c r="C2405" t="s">
        <v>1746</v>
      </c>
      <c r="D2405" t="s">
        <v>37</v>
      </c>
      <c r="E2405">
        <v>4</v>
      </c>
      <c r="F2405">
        <v>15145</v>
      </c>
      <c r="G2405">
        <f>TbReceitas[[#This Row],[quantidade]]*TbReceitas[[#This Row],[preco_unitario]]</f>
        <v>60580</v>
      </c>
      <c r="H2405" t="str">
        <f>TEXT(TbReceitas[[#This Row],[data_transacao]], "aaaa-mm")</f>
        <v>2025-01</v>
      </c>
    </row>
    <row r="2406" spans="1:8">
      <c r="A2406">
        <v>2405</v>
      </c>
      <c r="B2406" s="1">
        <v>46047</v>
      </c>
      <c r="C2406" t="s">
        <v>1438</v>
      </c>
      <c r="D2406" t="s">
        <v>258</v>
      </c>
      <c r="E2406">
        <v>5</v>
      </c>
      <c r="F2406">
        <v>19424</v>
      </c>
      <c r="G2406">
        <f>TbReceitas[[#This Row],[quantidade]]*TbReceitas[[#This Row],[preco_unitario]]</f>
        <v>97120</v>
      </c>
      <c r="H2406" t="str">
        <f>TEXT(TbReceitas[[#This Row],[data_transacao]], "aaaa-mm")</f>
        <v>2026-01</v>
      </c>
    </row>
    <row r="2407" spans="1:8">
      <c r="A2407">
        <v>2406</v>
      </c>
      <c r="B2407" s="1">
        <v>45793</v>
      </c>
      <c r="C2407" t="s">
        <v>1198</v>
      </c>
      <c r="D2407" t="s">
        <v>722</v>
      </c>
      <c r="E2407">
        <v>2</v>
      </c>
      <c r="F2407">
        <v>1511</v>
      </c>
      <c r="G2407">
        <f>TbReceitas[[#This Row],[quantidade]]*TbReceitas[[#This Row],[preco_unitario]]</f>
        <v>3022</v>
      </c>
      <c r="H2407" t="str">
        <f>TEXT(TbReceitas[[#This Row],[data_transacao]], "aaaa-mm")</f>
        <v>2025-05</v>
      </c>
    </row>
    <row r="2408" spans="1:8">
      <c r="A2408">
        <v>2407</v>
      </c>
      <c r="B2408" s="1">
        <v>46072</v>
      </c>
      <c r="C2408" t="s">
        <v>1235</v>
      </c>
      <c r="D2408" t="s">
        <v>413</v>
      </c>
      <c r="E2408">
        <v>2</v>
      </c>
      <c r="F2408">
        <v>738</v>
      </c>
      <c r="G2408">
        <f>TbReceitas[[#This Row],[quantidade]]*TbReceitas[[#This Row],[preco_unitario]]</f>
        <v>1476</v>
      </c>
      <c r="H2408" t="str">
        <f>TEXT(TbReceitas[[#This Row],[data_transacao]], "aaaa-mm")</f>
        <v>2026-02</v>
      </c>
    </row>
    <row r="2409" spans="1:8">
      <c r="A2409">
        <v>2408</v>
      </c>
      <c r="B2409" s="1">
        <v>45851</v>
      </c>
      <c r="C2409" t="s">
        <v>1747</v>
      </c>
      <c r="D2409" t="s">
        <v>1440</v>
      </c>
      <c r="E2409">
        <v>4</v>
      </c>
      <c r="F2409">
        <v>17606</v>
      </c>
      <c r="G2409">
        <f>TbReceitas[[#This Row],[quantidade]]*TbReceitas[[#This Row],[preco_unitario]]</f>
        <v>70424</v>
      </c>
      <c r="H2409" t="str">
        <f>TEXT(TbReceitas[[#This Row],[data_transacao]], "aaaa-mm")</f>
        <v>2025-07</v>
      </c>
    </row>
    <row r="2410" spans="1:8">
      <c r="A2410">
        <v>2409</v>
      </c>
      <c r="B2410" s="1">
        <v>45899</v>
      </c>
      <c r="C2410" t="s">
        <v>1661</v>
      </c>
      <c r="D2410" t="s">
        <v>135</v>
      </c>
      <c r="E2410">
        <v>3</v>
      </c>
      <c r="F2410">
        <v>2344</v>
      </c>
      <c r="G2410">
        <f>TbReceitas[[#This Row],[quantidade]]*TbReceitas[[#This Row],[preco_unitario]]</f>
        <v>7032</v>
      </c>
      <c r="H2410" t="str">
        <f>TEXT(TbReceitas[[#This Row],[data_transacao]], "aaaa-mm")</f>
        <v>2025-08</v>
      </c>
    </row>
    <row r="2411" spans="1:8">
      <c r="A2411">
        <v>2410</v>
      </c>
      <c r="B2411" s="1">
        <v>46085</v>
      </c>
      <c r="C2411" t="s">
        <v>1045</v>
      </c>
      <c r="D2411" t="s">
        <v>226</v>
      </c>
      <c r="E2411">
        <v>1</v>
      </c>
      <c r="F2411">
        <v>4994</v>
      </c>
      <c r="G2411">
        <f>TbReceitas[[#This Row],[quantidade]]*TbReceitas[[#This Row],[preco_unitario]]</f>
        <v>4994</v>
      </c>
      <c r="H2411" t="str">
        <f>TEXT(TbReceitas[[#This Row],[data_transacao]], "aaaa-mm")</f>
        <v>2026-03</v>
      </c>
    </row>
    <row r="2412" spans="1:8">
      <c r="A2412">
        <v>2411</v>
      </c>
      <c r="B2412" s="1">
        <v>45931</v>
      </c>
      <c r="C2412" t="s">
        <v>1258</v>
      </c>
      <c r="D2412" t="s">
        <v>235</v>
      </c>
      <c r="E2412">
        <v>5</v>
      </c>
      <c r="F2412">
        <v>3762</v>
      </c>
      <c r="G2412">
        <f>TbReceitas[[#This Row],[quantidade]]*TbReceitas[[#This Row],[preco_unitario]]</f>
        <v>18810</v>
      </c>
      <c r="H2412" t="str">
        <f>TEXT(TbReceitas[[#This Row],[data_transacao]], "aaaa-mm")</f>
        <v>2025-10</v>
      </c>
    </row>
    <row r="2413" spans="1:8">
      <c r="A2413">
        <v>2412</v>
      </c>
      <c r="B2413" s="1">
        <v>45770</v>
      </c>
      <c r="C2413" t="s">
        <v>763</v>
      </c>
      <c r="D2413" t="s">
        <v>178</v>
      </c>
      <c r="E2413">
        <v>1</v>
      </c>
      <c r="F2413">
        <v>24143</v>
      </c>
      <c r="G2413">
        <f>TbReceitas[[#This Row],[quantidade]]*TbReceitas[[#This Row],[preco_unitario]]</f>
        <v>24143</v>
      </c>
      <c r="H2413" t="str">
        <f>TEXT(TbReceitas[[#This Row],[data_transacao]], "aaaa-mm")</f>
        <v>2025-04</v>
      </c>
    </row>
    <row r="2414" spans="1:8">
      <c r="A2414">
        <v>2413</v>
      </c>
      <c r="B2414" s="1">
        <v>45852</v>
      </c>
      <c r="C2414" t="s">
        <v>1619</v>
      </c>
      <c r="D2414" t="s">
        <v>212</v>
      </c>
      <c r="E2414">
        <v>2</v>
      </c>
      <c r="F2414">
        <v>6603</v>
      </c>
      <c r="G2414">
        <f>TbReceitas[[#This Row],[quantidade]]*TbReceitas[[#This Row],[preco_unitario]]</f>
        <v>13206</v>
      </c>
      <c r="H2414" t="str">
        <f>TEXT(TbReceitas[[#This Row],[data_transacao]], "aaaa-mm")</f>
        <v>2025-07</v>
      </c>
    </row>
    <row r="2415" spans="1:8">
      <c r="A2415">
        <v>2414</v>
      </c>
      <c r="B2415" s="1">
        <v>45737</v>
      </c>
      <c r="C2415" t="s">
        <v>1748</v>
      </c>
      <c r="D2415" t="s">
        <v>288</v>
      </c>
      <c r="E2415">
        <v>5</v>
      </c>
      <c r="F2415">
        <v>1219</v>
      </c>
      <c r="G2415">
        <f>TbReceitas[[#This Row],[quantidade]]*TbReceitas[[#This Row],[preco_unitario]]</f>
        <v>6095</v>
      </c>
      <c r="H2415" t="str">
        <f>TEXT(TbReceitas[[#This Row],[data_transacao]], "aaaa-mm")</f>
        <v>2025-03</v>
      </c>
    </row>
    <row r="2416" spans="1:8">
      <c r="A2416">
        <v>2415</v>
      </c>
      <c r="B2416" s="1">
        <v>46200</v>
      </c>
      <c r="C2416" t="s">
        <v>954</v>
      </c>
      <c r="D2416" t="s">
        <v>442</v>
      </c>
      <c r="E2416">
        <v>5</v>
      </c>
      <c r="F2416">
        <v>4426</v>
      </c>
      <c r="G2416">
        <f>TbReceitas[[#This Row],[quantidade]]*TbReceitas[[#This Row],[preco_unitario]]</f>
        <v>22130</v>
      </c>
      <c r="H2416" t="str">
        <f>TEXT(TbReceitas[[#This Row],[data_transacao]], "aaaa-mm")</f>
        <v>2026-06</v>
      </c>
    </row>
    <row r="2417" spans="1:8">
      <c r="A2417">
        <v>2416</v>
      </c>
      <c r="B2417" s="1">
        <v>45917</v>
      </c>
      <c r="C2417" t="s">
        <v>1062</v>
      </c>
      <c r="D2417" t="s">
        <v>333</v>
      </c>
      <c r="E2417">
        <v>3</v>
      </c>
      <c r="F2417">
        <v>6799</v>
      </c>
      <c r="G2417">
        <f>TbReceitas[[#This Row],[quantidade]]*TbReceitas[[#This Row],[preco_unitario]]</f>
        <v>20397</v>
      </c>
      <c r="H2417" t="str">
        <f>TEXT(TbReceitas[[#This Row],[data_transacao]], "aaaa-mm")</f>
        <v>2025-09</v>
      </c>
    </row>
    <row r="2418" spans="1:8">
      <c r="A2418">
        <v>2417</v>
      </c>
      <c r="B2418" s="1">
        <v>46234</v>
      </c>
      <c r="C2418" t="s">
        <v>1309</v>
      </c>
      <c r="D2418" t="s">
        <v>500</v>
      </c>
      <c r="E2418">
        <v>5</v>
      </c>
      <c r="F2418">
        <v>1675</v>
      </c>
      <c r="G2418">
        <f>TbReceitas[[#This Row],[quantidade]]*TbReceitas[[#This Row],[preco_unitario]]</f>
        <v>8375</v>
      </c>
      <c r="H2418" t="str">
        <f>TEXT(TbReceitas[[#This Row],[data_transacao]], "aaaa-mm")</f>
        <v>2026-07</v>
      </c>
    </row>
    <row r="2419" spans="1:8">
      <c r="A2419">
        <v>2418</v>
      </c>
      <c r="B2419" s="1">
        <v>45833</v>
      </c>
      <c r="C2419" t="s">
        <v>1585</v>
      </c>
      <c r="D2419" t="s">
        <v>516</v>
      </c>
      <c r="E2419">
        <v>5</v>
      </c>
      <c r="F2419">
        <v>4039</v>
      </c>
      <c r="G2419">
        <f>TbReceitas[[#This Row],[quantidade]]*TbReceitas[[#This Row],[preco_unitario]]</f>
        <v>20195</v>
      </c>
      <c r="H2419" t="str">
        <f>TEXT(TbReceitas[[#This Row],[data_transacao]], "aaaa-mm")</f>
        <v>2025-06</v>
      </c>
    </row>
    <row r="2420" spans="1:8">
      <c r="A2420">
        <v>2419</v>
      </c>
      <c r="B2420" s="1">
        <v>45705</v>
      </c>
      <c r="C2420" t="s">
        <v>1572</v>
      </c>
      <c r="D2420" t="s">
        <v>11</v>
      </c>
      <c r="E2420">
        <v>1</v>
      </c>
      <c r="F2420">
        <v>21599</v>
      </c>
      <c r="G2420">
        <f>TbReceitas[[#This Row],[quantidade]]*TbReceitas[[#This Row],[preco_unitario]]</f>
        <v>21599</v>
      </c>
      <c r="H2420" t="str">
        <f>TEXT(TbReceitas[[#This Row],[data_transacao]], "aaaa-mm")</f>
        <v>2025-02</v>
      </c>
    </row>
    <row r="2421" spans="1:8">
      <c r="A2421">
        <v>2420</v>
      </c>
      <c r="B2421" s="1">
        <v>45998</v>
      </c>
      <c r="C2421" t="s">
        <v>1737</v>
      </c>
      <c r="D2421" t="s">
        <v>241</v>
      </c>
      <c r="E2421">
        <v>1</v>
      </c>
      <c r="F2421">
        <v>19575</v>
      </c>
      <c r="G2421">
        <f>TbReceitas[[#This Row],[quantidade]]*TbReceitas[[#This Row],[preco_unitario]]</f>
        <v>19575</v>
      </c>
      <c r="H2421" t="str">
        <f>TEXT(TbReceitas[[#This Row],[data_transacao]], "aaaa-mm")</f>
        <v>2025-12</v>
      </c>
    </row>
    <row r="2422" spans="1:8">
      <c r="A2422">
        <v>2421</v>
      </c>
      <c r="B2422" s="1">
        <v>46171</v>
      </c>
      <c r="C2422" t="s">
        <v>1319</v>
      </c>
      <c r="D2422" t="s">
        <v>228</v>
      </c>
      <c r="E2422">
        <v>1</v>
      </c>
      <c r="F2422">
        <v>6348</v>
      </c>
      <c r="G2422">
        <f>TbReceitas[[#This Row],[quantidade]]*TbReceitas[[#This Row],[preco_unitario]]</f>
        <v>6348</v>
      </c>
      <c r="H2422" t="str">
        <f>TEXT(TbReceitas[[#This Row],[data_transacao]], "aaaa-mm")</f>
        <v>2026-05</v>
      </c>
    </row>
    <row r="2423" spans="1:8">
      <c r="A2423">
        <v>2422</v>
      </c>
      <c r="B2423" s="1">
        <v>45904</v>
      </c>
      <c r="C2423" t="s">
        <v>1383</v>
      </c>
      <c r="D2423" t="s">
        <v>340</v>
      </c>
      <c r="E2423">
        <v>3</v>
      </c>
      <c r="F2423">
        <v>13813</v>
      </c>
      <c r="G2423">
        <f>TbReceitas[[#This Row],[quantidade]]*TbReceitas[[#This Row],[preco_unitario]]</f>
        <v>41439</v>
      </c>
      <c r="H2423" t="str">
        <f>TEXT(TbReceitas[[#This Row],[data_transacao]], "aaaa-mm")</f>
        <v>2025-09</v>
      </c>
    </row>
    <row r="2424" spans="1:8">
      <c r="A2424">
        <v>2423</v>
      </c>
      <c r="B2424" s="1">
        <v>46178</v>
      </c>
      <c r="C2424" t="s">
        <v>1529</v>
      </c>
      <c r="D2424" t="s">
        <v>273</v>
      </c>
      <c r="E2424">
        <v>3</v>
      </c>
      <c r="F2424">
        <v>3035</v>
      </c>
      <c r="G2424">
        <f>TbReceitas[[#This Row],[quantidade]]*TbReceitas[[#This Row],[preco_unitario]]</f>
        <v>9105</v>
      </c>
      <c r="H2424" t="str">
        <f>TEXT(TbReceitas[[#This Row],[data_transacao]], "aaaa-mm")</f>
        <v>2026-06</v>
      </c>
    </row>
    <row r="2425" spans="1:8">
      <c r="A2425">
        <v>2424</v>
      </c>
      <c r="B2425" s="1">
        <v>46054</v>
      </c>
      <c r="C2425" t="s">
        <v>1192</v>
      </c>
      <c r="D2425" t="s">
        <v>442</v>
      </c>
      <c r="E2425">
        <v>3</v>
      </c>
      <c r="F2425">
        <v>4426</v>
      </c>
      <c r="G2425">
        <f>TbReceitas[[#This Row],[quantidade]]*TbReceitas[[#This Row],[preco_unitario]]</f>
        <v>13278</v>
      </c>
      <c r="H2425" t="str">
        <f>TEXT(TbReceitas[[#This Row],[data_transacao]], "aaaa-mm")</f>
        <v>2026-02</v>
      </c>
    </row>
    <row r="2426" spans="1:8">
      <c r="A2426">
        <v>2425</v>
      </c>
      <c r="B2426" s="1">
        <v>46154</v>
      </c>
      <c r="C2426" t="s">
        <v>1749</v>
      </c>
      <c r="D2426" t="s">
        <v>134</v>
      </c>
      <c r="E2426">
        <v>4</v>
      </c>
      <c r="F2426">
        <v>12384</v>
      </c>
      <c r="G2426">
        <f>TbReceitas[[#This Row],[quantidade]]*TbReceitas[[#This Row],[preco_unitario]]</f>
        <v>49536</v>
      </c>
      <c r="H2426" t="str">
        <f>TEXT(TbReceitas[[#This Row],[data_transacao]], "aaaa-mm")</f>
        <v>2026-05</v>
      </c>
    </row>
    <row r="2427" spans="1:8">
      <c r="A2427">
        <v>2426</v>
      </c>
      <c r="B2427" s="1">
        <v>45605</v>
      </c>
      <c r="C2427" t="s">
        <v>966</v>
      </c>
      <c r="D2427" t="s">
        <v>291</v>
      </c>
      <c r="E2427">
        <v>3</v>
      </c>
      <c r="F2427">
        <v>24715</v>
      </c>
      <c r="G2427">
        <f>TbReceitas[[#This Row],[quantidade]]*TbReceitas[[#This Row],[preco_unitario]]</f>
        <v>74145</v>
      </c>
      <c r="H2427" t="str">
        <f>TEXT(TbReceitas[[#This Row],[data_transacao]], "aaaa-mm")</f>
        <v>2024-11</v>
      </c>
    </row>
    <row r="2428" spans="1:8">
      <c r="A2428">
        <v>2427</v>
      </c>
      <c r="B2428" s="1">
        <v>46093</v>
      </c>
      <c r="C2428" t="s">
        <v>1451</v>
      </c>
      <c r="D2428" t="s">
        <v>176</v>
      </c>
      <c r="E2428">
        <v>1</v>
      </c>
      <c r="F2428">
        <v>776</v>
      </c>
      <c r="G2428">
        <f>TbReceitas[[#This Row],[quantidade]]*TbReceitas[[#This Row],[preco_unitario]]</f>
        <v>776</v>
      </c>
      <c r="H2428" t="str">
        <f>TEXT(TbReceitas[[#This Row],[data_transacao]], "aaaa-mm")</f>
        <v>2026-03</v>
      </c>
    </row>
    <row r="2429" spans="1:8">
      <c r="A2429">
        <v>2428</v>
      </c>
      <c r="B2429" s="1">
        <v>46083</v>
      </c>
      <c r="C2429" t="s">
        <v>768</v>
      </c>
      <c r="D2429" t="s">
        <v>556</v>
      </c>
      <c r="E2429">
        <v>2</v>
      </c>
      <c r="F2429">
        <v>3854</v>
      </c>
      <c r="G2429">
        <f>TbReceitas[[#This Row],[quantidade]]*TbReceitas[[#This Row],[preco_unitario]]</f>
        <v>7708</v>
      </c>
      <c r="H2429" t="str">
        <f>TEXT(TbReceitas[[#This Row],[data_transacao]], "aaaa-mm")</f>
        <v>2026-03</v>
      </c>
    </row>
    <row r="2430" spans="1:8">
      <c r="A2430">
        <v>2429</v>
      </c>
      <c r="B2430" s="1">
        <v>45885</v>
      </c>
      <c r="C2430" t="s">
        <v>841</v>
      </c>
      <c r="D2430" t="s">
        <v>557</v>
      </c>
      <c r="E2430">
        <v>2</v>
      </c>
      <c r="F2430">
        <v>5746</v>
      </c>
      <c r="G2430">
        <f>TbReceitas[[#This Row],[quantidade]]*TbReceitas[[#This Row],[preco_unitario]]</f>
        <v>11492</v>
      </c>
      <c r="H2430" t="str">
        <f>TEXT(TbReceitas[[#This Row],[data_transacao]], "aaaa-mm")</f>
        <v>2025-08</v>
      </c>
    </row>
    <row r="2431" spans="1:8">
      <c r="A2431">
        <v>2430</v>
      </c>
      <c r="B2431" s="1">
        <v>46061</v>
      </c>
      <c r="C2431" t="s">
        <v>895</v>
      </c>
      <c r="D2431" t="s">
        <v>561</v>
      </c>
      <c r="E2431">
        <v>5</v>
      </c>
      <c r="F2431">
        <v>878</v>
      </c>
      <c r="G2431">
        <f>TbReceitas[[#This Row],[quantidade]]*TbReceitas[[#This Row],[preco_unitario]]</f>
        <v>4390</v>
      </c>
      <c r="H2431" t="str">
        <f>TEXT(TbReceitas[[#This Row],[data_transacao]], "aaaa-mm")</f>
        <v>2026-02</v>
      </c>
    </row>
    <row r="2432" spans="1:8">
      <c r="A2432">
        <v>2431</v>
      </c>
      <c r="B2432" s="1">
        <v>46119</v>
      </c>
      <c r="C2432" t="s">
        <v>1012</v>
      </c>
      <c r="D2432" t="s">
        <v>428</v>
      </c>
      <c r="E2432">
        <v>4</v>
      </c>
      <c r="F2432">
        <v>19405</v>
      </c>
      <c r="G2432">
        <f>TbReceitas[[#This Row],[quantidade]]*TbReceitas[[#This Row],[preco_unitario]]</f>
        <v>77620</v>
      </c>
      <c r="H2432" t="str">
        <f>TEXT(TbReceitas[[#This Row],[data_transacao]], "aaaa-mm")</f>
        <v>2026-04</v>
      </c>
    </row>
    <row r="2433" spans="1:8">
      <c r="A2433">
        <v>2432</v>
      </c>
      <c r="B2433" s="1">
        <v>46017</v>
      </c>
      <c r="C2433" t="s">
        <v>820</v>
      </c>
      <c r="D2433" t="s">
        <v>528</v>
      </c>
      <c r="E2433">
        <v>5</v>
      </c>
      <c r="F2433">
        <v>17709</v>
      </c>
      <c r="G2433">
        <f>TbReceitas[[#This Row],[quantidade]]*TbReceitas[[#This Row],[preco_unitario]]</f>
        <v>88545</v>
      </c>
      <c r="H2433" t="str">
        <f>TEXT(TbReceitas[[#This Row],[data_transacao]], "aaaa-mm")</f>
        <v>2025-12</v>
      </c>
    </row>
    <row r="2434" spans="1:8">
      <c r="A2434">
        <v>2433</v>
      </c>
      <c r="B2434" s="1">
        <v>46058</v>
      </c>
      <c r="C2434" t="s">
        <v>1646</v>
      </c>
      <c r="D2434" t="s">
        <v>619</v>
      </c>
      <c r="E2434">
        <v>4</v>
      </c>
      <c r="F2434">
        <v>8101</v>
      </c>
      <c r="G2434">
        <f>TbReceitas[[#This Row],[quantidade]]*TbReceitas[[#This Row],[preco_unitario]]</f>
        <v>32404</v>
      </c>
      <c r="H2434" t="str">
        <f>TEXT(TbReceitas[[#This Row],[data_transacao]], "aaaa-mm")</f>
        <v>2026-02</v>
      </c>
    </row>
    <row r="2435" spans="1:8">
      <c r="A2435">
        <v>2434</v>
      </c>
      <c r="B2435" s="1">
        <v>45570</v>
      </c>
      <c r="C2435" t="s">
        <v>1750</v>
      </c>
      <c r="D2435" t="s">
        <v>698</v>
      </c>
      <c r="E2435">
        <v>1</v>
      </c>
      <c r="F2435">
        <v>1919</v>
      </c>
      <c r="G2435">
        <f>TbReceitas[[#This Row],[quantidade]]*TbReceitas[[#This Row],[preco_unitario]]</f>
        <v>1919</v>
      </c>
      <c r="H2435" t="str">
        <f>TEXT(TbReceitas[[#This Row],[data_transacao]], "aaaa-mm")</f>
        <v>2024-10</v>
      </c>
    </row>
    <row r="2436" spans="1:8">
      <c r="A2436">
        <v>2435</v>
      </c>
      <c r="B2436" s="1">
        <v>46037</v>
      </c>
      <c r="C2436" t="s">
        <v>1732</v>
      </c>
      <c r="D2436" t="s">
        <v>121</v>
      </c>
      <c r="E2436">
        <v>2</v>
      </c>
      <c r="F2436">
        <v>9685</v>
      </c>
      <c r="G2436">
        <f>TbReceitas[[#This Row],[quantidade]]*TbReceitas[[#This Row],[preco_unitario]]</f>
        <v>19370</v>
      </c>
      <c r="H2436" t="str">
        <f>TEXT(TbReceitas[[#This Row],[data_transacao]], "aaaa-mm")</f>
        <v>2026-01</v>
      </c>
    </row>
    <row r="2437" spans="1:8">
      <c r="A2437">
        <v>2436</v>
      </c>
      <c r="B2437" s="1">
        <v>45976</v>
      </c>
      <c r="C2437" t="s">
        <v>1362</v>
      </c>
      <c r="D2437" t="s">
        <v>451</v>
      </c>
      <c r="E2437">
        <v>2</v>
      </c>
      <c r="F2437">
        <v>17205</v>
      </c>
      <c r="G2437">
        <f>TbReceitas[[#This Row],[quantidade]]*TbReceitas[[#This Row],[preco_unitario]]</f>
        <v>34410</v>
      </c>
      <c r="H2437" t="str">
        <f>TEXT(TbReceitas[[#This Row],[data_transacao]], "aaaa-mm")</f>
        <v>2025-11</v>
      </c>
    </row>
    <row r="2438" spans="1:8">
      <c r="A2438">
        <v>2437</v>
      </c>
      <c r="B2438" s="1">
        <v>46079</v>
      </c>
      <c r="C2438" t="s">
        <v>1155</v>
      </c>
      <c r="D2438" t="s">
        <v>516</v>
      </c>
      <c r="E2438">
        <v>3</v>
      </c>
      <c r="F2438">
        <v>4039</v>
      </c>
      <c r="G2438">
        <f>TbReceitas[[#This Row],[quantidade]]*TbReceitas[[#This Row],[preco_unitario]]</f>
        <v>12117</v>
      </c>
      <c r="H2438" t="str">
        <f>TEXT(TbReceitas[[#This Row],[data_transacao]], "aaaa-mm")</f>
        <v>2026-02</v>
      </c>
    </row>
    <row r="2439" spans="1:8">
      <c r="A2439">
        <v>2438</v>
      </c>
      <c r="B2439" s="1">
        <v>45934</v>
      </c>
      <c r="C2439" t="s">
        <v>1078</v>
      </c>
      <c r="D2439" t="s">
        <v>454</v>
      </c>
      <c r="E2439">
        <v>4</v>
      </c>
      <c r="F2439">
        <v>4692</v>
      </c>
      <c r="G2439">
        <f>TbReceitas[[#This Row],[quantidade]]*TbReceitas[[#This Row],[preco_unitario]]</f>
        <v>18768</v>
      </c>
      <c r="H2439" t="str">
        <f>TEXT(TbReceitas[[#This Row],[data_transacao]], "aaaa-mm")</f>
        <v>2025-10</v>
      </c>
    </row>
    <row r="2440" spans="1:8">
      <c r="A2440">
        <v>2439</v>
      </c>
      <c r="B2440" s="1">
        <v>45790</v>
      </c>
      <c r="C2440" t="s">
        <v>1246</v>
      </c>
      <c r="D2440" t="s">
        <v>122</v>
      </c>
      <c r="E2440">
        <v>1</v>
      </c>
      <c r="F2440">
        <v>2704</v>
      </c>
      <c r="G2440">
        <f>TbReceitas[[#This Row],[quantidade]]*TbReceitas[[#This Row],[preco_unitario]]</f>
        <v>2704</v>
      </c>
      <c r="H2440" t="str">
        <f>TEXT(TbReceitas[[#This Row],[data_transacao]], "aaaa-mm")</f>
        <v>2025-05</v>
      </c>
    </row>
    <row r="2441" spans="1:8">
      <c r="A2441">
        <v>2440</v>
      </c>
      <c r="B2441" s="1">
        <v>45681</v>
      </c>
      <c r="C2441" t="s">
        <v>1531</v>
      </c>
      <c r="D2441" t="s">
        <v>102</v>
      </c>
      <c r="E2441">
        <v>3</v>
      </c>
      <c r="F2441">
        <v>10748</v>
      </c>
      <c r="G2441">
        <f>TbReceitas[[#This Row],[quantidade]]*TbReceitas[[#This Row],[preco_unitario]]</f>
        <v>32244</v>
      </c>
      <c r="H2441" t="str">
        <f>TEXT(TbReceitas[[#This Row],[data_transacao]], "aaaa-mm")</f>
        <v>2025-01</v>
      </c>
    </row>
    <row r="2442" spans="1:8">
      <c r="A2442">
        <v>2441</v>
      </c>
      <c r="B2442" s="1">
        <v>46077</v>
      </c>
      <c r="C2442" t="s">
        <v>1751</v>
      </c>
      <c r="D2442" t="s">
        <v>613</v>
      </c>
      <c r="E2442">
        <v>1</v>
      </c>
      <c r="F2442">
        <v>9029</v>
      </c>
      <c r="G2442">
        <f>TbReceitas[[#This Row],[quantidade]]*TbReceitas[[#This Row],[preco_unitario]]</f>
        <v>9029</v>
      </c>
      <c r="H2442" t="str">
        <f>TEXT(TbReceitas[[#This Row],[data_transacao]], "aaaa-mm")</f>
        <v>2026-02</v>
      </c>
    </row>
    <row r="2443" spans="1:8">
      <c r="A2443">
        <v>2442</v>
      </c>
      <c r="B2443" s="1">
        <v>46081</v>
      </c>
      <c r="C2443" t="s">
        <v>1589</v>
      </c>
      <c r="D2443" t="s">
        <v>497</v>
      </c>
      <c r="E2443">
        <v>3</v>
      </c>
      <c r="F2443">
        <v>16615</v>
      </c>
      <c r="G2443">
        <f>TbReceitas[[#This Row],[quantidade]]*TbReceitas[[#This Row],[preco_unitario]]</f>
        <v>49845</v>
      </c>
      <c r="H2443" t="str">
        <f>TEXT(TbReceitas[[#This Row],[data_transacao]], "aaaa-mm")</f>
        <v>2026-02</v>
      </c>
    </row>
    <row r="2444" spans="1:8">
      <c r="A2444">
        <v>2443</v>
      </c>
      <c r="B2444" s="1">
        <v>46141</v>
      </c>
      <c r="C2444" t="s">
        <v>1121</v>
      </c>
      <c r="D2444" t="s">
        <v>68</v>
      </c>
      <c r="E2444">
        <v>5</v>
      </c>
      <c r="F2444">
        <v>17449</v>
      </c>
      <c r="G2444">
        <f>TbReceitas[[#This Row],[quantidade]]*TbReceitas[[#This Row],[preco_unitario]]</f>
        <v>87245</v>
      </c>
      <c r="H2444" t="str">
        <f>TEXT(TbReceitas[[#This Row],[data_transacao]], "aaaa-mm")</f>
        <v>2026-04</v>
      </c>
    </row>
    <row r="2445" spans="1:8">
      <c r="A2445">
        <v>2444</v>
      </c>
      <c r="B2445" s="1">
        <v>46030</v>
      </c>
      <c r="C2445" t="s">
        <v>962</v>
      </c>
      <c r="D2445" t="s">
        <v>63</v>
      </c>
      <c r="E2445">
        <v>1</v>
      </c>
      <c r="F2445">
        <v>17325</v>
      </c>
      <c r="G2445">
        <f>TbReceitas[[#This Row],[quantidade]]*TbReceitas[[#This Row],[preco_unitario]]</f>
        <v>17325</v>
      </c>
      <c r="H2445" t="str">
        <f>TEXT(TbReceitas[[#This Row],[data_transacao]], "aaaa-mm")</f>
        <v>2026-01</v>
      </c>
    </row>
    <row r="2446" spans="1:8">
      <c r="A2446">
        <v>2445</v>
      </c>
      <c r="B2446" s="1">
        <v>45889</v>
      </c>
      <c r="C2446" t="s">
        <v>1486</v>
      </c>
      <c r="D2446" t="s">
        <v>32</v>
      </c>
      <c r="E2446">
        <v>1</v>
      </c>
      <c r="F2446">
        <v>3098</v>
      </c>
      <c r="G2446">
        <f>TbReceitas[[#This Row],[quantidade]]*TbReceitas[[#This Row],[preco_unitario]]</f>
        <v>3098</v>
      </c>
      <c r="H2446" t="str">
        <f>TEXT(TbReceitas[[#This Row],[data_transacao]], "aaaa-mm")</f>
        <v>2025-08</v>
      </c>
    </row>
    <row r="2447" spans="1:8">
      <c r="A2447">
        <v>2446</v>
      </c>
      <c r="B2447" s="1">
        <v>46221</v>
      </c>
      <c r="C2447" t="s">
        <v>1563</v>
      </c>
      <c r="D2447" t="s">
        <v>242</v>
      </c>
      <c r="E2447">
        <v>3</v>
      </c>
      <c r="F2447">
        <v>21063</v>
      </c>
      <c r="G2447">
        <f>TbReceitas[[#This Row],[quantidade]]*TbReceitas[[#This Row],[preco_unitario]]</f>
        <v>63189</v>
      </c>
      <c r="H2447" t="str">
        <f>TEXT(TbReceitas[[#This Row],[data_transacao]], "aaaa-mm")</f>
        <v>2026-07</v>
      </c>
    </row>
    <row r="2448" spans="1:8">
      <c r="A2448">
        <v>2447</v>
      </c>
      <c r="B2448" s="1">
        <v>46259</v>
      </c>
      <c r="C2448" t="s">
        <v>806</v>
      </c>
      <c r="D2448" t="s">
        <v>269</v>
      </c>
      <c r="E2448">
        <v>4</v>
      </c>
      <c r="F2448">
        <v>12528</v>
      </c>
      <c r="G2448">
        <f>TbReceitas[[#This Row],[quantidade]]*TbReceitas[[#This Row],[preco_unitario]]</f>
        <v>50112</v>
      </c>
      <c r="H2448" t="str">
        <f>TEXT(TbReceitas[[#This Row],[data_transacao]], "aaaa-mm")</f>
        <v>2026-08</v>
      </c>
    </row>
    <row r="2449" spans="1:8">
      <c r="A2449">
        <v>2448</v>
      </c>
      <c r="B2449" s="1">
        <v>45584</v>
      </c>
      <c r="C2449" t="s">
        <v>1238</v>
      </c>
      <c r="D2449" t="s">
        <v>80</v>
      </c>
      <c r="E2449">
        <v>4</v>
      </c>
      <c r="F2449">
        <v>846</v>
      </c>
      <c r="G2449">
        <f>TbReceitas[[#This Row],[quantidade]]*TbReceitas[[#This Row],[preco_unitario]]</f>
        <v>3384</v>
      </c>
      <c r="H2449" t="str">
        <f>TEXT(TbReceitas[[#This Row],[data_transacao]], "aaaa-mm")</f>
        <v>2024-10</v>
      </c>
    </row>
    <row r="2450" spans="1:8">
      <c r="A2450">
        <v>2449</v>
      </c>
      <c r="B2450" s="1">
        <v>46035</v>
      </c>
      <c r="C2450" t="s">
        <v>1410</v>
      </c>
      <c r="D2450" t="s">
        <v>559</v>
      </c>
      <c r="E2450">
        <v>1</v>
      </c>
      <c r="F2450">
        <v>482</v>
      </c>
      <c r="G2450">
        <f>TbReceitas[[#This Row],[quantidade]]*TbReceitas[[#This Row],[preco_unitario]]</f>
        <v>482</v>
      </c>
      <c r="H2450" t="str">
        <f>TEXT(TbReceitas[[#This Row],[data_transacao]], "aaaa-mm")</f>
        <v>2026-01</v>
      </c>
    </row>
    <row r="2451" spans="1:8">
      <c r="A2451">
        <v>2450</v>
      </c>
      <c r="B2451" s="1">
        <v>45795</v>
      </c>
      <c r="C2451" t="s">
        <v>1752</v>
      </c>
      <c r="D2451" t="s">
        <v>400</v>
      </c>
      <c r="E2451">
        <v>3</v>
      </c>
      <c r="F2451">
        <v>1186</v>
      </c>
      <c r="G2451">
        <f>TbReceitas[[#This Row],[quantidade]]*TbReceitas[[#This Row],[preco_unitario]]</f>
        <v>3558</v>
      </c>
      <c r="H2451" t="str">
        <f>TEXT(TbReceitas[[#This Row],[data_transacao]], "aaaa-mm")</f>
        <v>2025-05</v>
      </c>
    </row>
    <row r="2452" spans="1:8">
      <c r="A2452">
        <v>2451</v>
      </c>
      <c r="B2452" s="1">
        <v>45729</v>
      </c>
      <c r="C2452" t="s">
        <v>1196</v>
      </c>
      <c r="D2452" t="s">
        <v>563</v>
      </c>
      <c r="E2452">
        <v>4</v>
      </c>
      <c r="F2452">
        <v>3006</v>
      </c>
      <c r="G2452">
        <f>TbReceitas[[#This Row],[quantidade]]*TbReceitas[[#This Row],[preco_unitario]]</f>
        <v>12024</v>
      </c>
      <c r="H2452" t="str">
        <f>TEXT(TbReceitas[[#This Row],[data_transacao]], "aaaa-mm")</f>
        <v>2025-03</v>
      </c>
    </row>
    <row r="2453" spans="1:8">
      <c r="A2453">
        <v>2452</v>
      </c>
      <c r="B2453" s="1">
        <v>45927</v>
      </c>
      <c r="C2453" t="s">
        <v>828</v>
      </c>
      <c r="D2453" t="s">
        <v>167</v>
      </c>
      <c r="E2453">
        <v>5</v>
      </c>
      <c r="F2453">
        <v>13706</v>
      </c>
      <c r="G2453">
        <f>TbReceitas[[#This Row],[quantidade]]*TbReceitas[[#This Row],[preco_unitario]]</f>
        <v>68530</v>
      </c>
      <c r="H2453" t="str">
        <f>TEXT(TbReceitas[[#This Row],[data_transacao]], "aaaa-mm")</f>
        <v>2025-09</v>
      </c>
    </row>
    <row r="2454" spans="1:8">
      <c r="A2454">
        <v>2453</v>
      </c>
      <c r="B2454" s="1">
        <v>46060</v>
      </c>
      <c r="C2454" t="s">
        <v>1597</v>
      </c>
      <c r="D2454" t="s">
        <v>74</v>
      </c>
      <c r="E2454">
        <v>3</v>
      </c>
      <c r="F2454">
        <v>22125</v>
      </c>
      <c r="G2454">
        <f>TbReceitas[[#This Row],[quantidade]]*TbReceitas[[#This Row],[preco_unitario]]</f>
        <v>66375</v>
      </c>
      <c r="H2454" t="str">
        <f>TEXT(TbReceitas[[#This Row],[data_transacao]], "aaaa-mm")</f>
        <v>2026-02</v>
      </c>
    </row>
    <row r="2455" spans="1:8">
      <c r="A2455">
        <v>2454</v>
      </c>
      <c r="B2455" s="1">
        <v>45554</v>
      </c>
      <c r="C2455" t="s">
        <v>1201</v>
      </c>
      <c r="D2455" t="s">
        <v>163</v>
      </c>
      <c r="E2455">
        <v>5</v>
      </c>
      <c r="F2455">
        <v>562</v>
      </c>
      <c r="G2455">
        <f>TbReceitas[[#This Row],[quantidade]]*TbReceitas[[#This Row],[preco_unitario]]</f>
        <v>2810</v>
      </c>
      <c r="H2455" t="str">
        <f>TEXT(TbReceitas[[#This Row],[data_transacao]], "aaaa-mm")</f>
        <v>2024-09</v>
      </c>
    </row>
    <row r="2456" spans="1:8">
      <c r="A2456">
        <v>2455</v>
      </c>
      <c r="B2456" s="1">
        <v>45775</v>
      </c>
      <c r="C2456" t="s">
        <v>1076</v>
      </c>
      <c r="D2456" t="s">
        <v>439</v>
      </c>
      <c r="E2456">
        <v>3</v>
      </c>
      <c r="F2456">
        <v>1782</v>
      </c>
      <c r="G2456">
        <f>TbReceitas[[#This Row],[quantidade]]*TbReceitas[[#This Row],[preco_unitario]]</f>
        <v>5346</v>
      </c>
      <c r="H2456" t="str">
        <f>TEXT(TbReceitas[[#This Row],[data_transacao]], "aaaa-mm")</f>
        <v>2025-04</v>
      </c>
    </row>
    <row r="2457" spans="1:8">
      <c r="A2457">
        <v>2456</v>
      </c>
      <c r="B2457" s="1">
        <v>45924</v>
      </c>
      <c r="C2457" t="s">
        <v>1411</v>
      </c>
      <c r="D2457" t="s">
        <v>228</v>
      </c>
      <c r="E2457">
        <v>3</v>
      </c>
      <c r="F2457">
        <v>6348</v>
      </c>
      <c r="G2457">
        <f>TbReceitas[[#This Row],[quantidade]]*TbReceitas[[#This Row],[preco_unitario]]</f>
        <v>19044</v>
      </c>
      <c r="H2457" t="str">
        <f>TEXT(TbReceitas[[#This Row],[data_transacao]], "aaaa-mm")</f>
        <v>2025-09</v>
      </c>
    </row>
    <row r="2458" spans="1:8">
      <c r="A2458">
        <v>2457</v>
      </c>
      <c r="B2458" s="1">
        <v>46131</v>
      </c>
      <c r="C2458" t="s">
        <v>1250</v>
      </c>
      <c r="D2458" t="s">
        <v>43</v>
      </c>
      <c r="E2458">
        <v>2</v>
      </c>
      <c r="F2458">
        <v>24604</v>
      </c>
      <c r="G2458">
        <f>TbReceitas[[#This Row],[quantidade]]*TbReceitas[[#This Row],[preco_unitario]]</f>
        <v>49208</v>
      </c>
      <c r="H2458" t="str">
        <f>TEXT(TbReceitas[[#This Row],[data_transacao]], "aaaa-mm")</f>
        <v>2026-04</v>
      </c>
    </row>
    <row r="2459" spans="1:8">
      <c r="A2459">
        <v>2458</v>
      </c>
      <c r="B2459" s="1">
        <v>45791</v>
      </c>
      <c r="C2459" t="s">
        <v>1753</v>
      </c>
      <c r="D2459" t="s">
        <v>370</v>
      </c>
      <c r="E2459">
        <v>1</v>
      </c>
      <c r="F2459">
        <v>10127</v>
      </c>
      <c r="G2459">
        <f>TbReceitas[[#This Row],[quantidade]]*TbReceitas[[#This Row],[preco_unitario]]</f>
        <v>10127</v>
      </c>
      <c r="H2459" t="str">
        <f>TEXT(TbReceitas[[#This Row],[data_transacao]], "aaaa-mm")</f>
        <v>2025-05</v>
      </c>
    </row>
    <row r="2460" spans="1:8">
      <c r="A2460">
        <v>2459</v>
      </c>
      <c r="B2460" s="1">
        <v>45675</v>
      </c>
      <c r="C2460" t="s">
        <v>898</v>
      </c>
      <c r="D2460" t="s">
        <v>202</v>
      </c>
      <c r="E2460">
        <v>3</v>
      </c>
      <c r="F2460">
        <v>8469</v>
      </c>
      <c r="G2460">
        <f>TbReceitas[[#This Row],[quantidade]]*TbReceitas[[#This Row],[preco_unitario]]</f>
        <v>25407</v>
      </c>
      <c r="H2460" t="str">
        <f>TEXT(TbReceitas[[#This Row],[data_transacao]], "aaaa-mm")</f>
        <v>2025-01</v>
      </c>
    </row>
    <row r="2461" spans="1:8">
      <c r="A2461">
        <v>2460</v>
      </c>
      <c r="B2461" s="1">
        <v>46007</v>
      </c>
      <c r="C2461" t="s">
        <v>1150</v>
      </c>
      <c r="D2461" t="s">
        <v>378</v>
      </c>
      <c r="E2461">
        <v>1</v>
      </c>
      <c r="F2461">
        <v>3501</v>
      </c>
      <c r="G2461">
        <f>TbReceitas[[#This Row],[quantidade]]*TbReceitas[[#This Row],[preco_unitario]]</f>
        <v>3501</v>
      </c>
      <c r="H2461" t="str">
        <f>TEXT(TbReceitas[[#This Row],[data_transacao]], "aaaa-mm")</f>
        <v>2025-12</v>
      </c>
    </row>
    <row r="2462" spans="1:8">
      <c r="A2462">
        <v>2461</v>
      </c>
      <c r="B2462" s="1">
        <v>46238</v>
      </c>
      <c r="C2462" t="s">
        <v>1654</v>
      </c>
      <c r="D2462" t="s">
        <v>581</v>
      </c>
      <c r="E2462">
        <v>4</v>
      </c>
      <c r="F2462">
        <v>2067</v>
      </c>
      <c r="G2462">
        <f>TbReceitas[[#This Row],[quantidade]]*TbReceitas[[#This Row],[preco_unitario]]</f>
        <v>8268</v>
      </c>
      <c r="H2462" t="str">
        <f>TEXT(TbReceitas[[#This Row],[data_transacao]], "aaaa-mm")</f>
        <v>2026-08</v>
      </c>
    </row>
    <row r="2463" spans="1:8">
      <c r="A2463">
        <v>2462</v>
      </c>
      <c r="B2463" s="1">
        <v>45665</v>
      </c>
      <c r="C2463" t="s">
        <v>1217</v>
      </c>
      <c r="D2463" t="s">
        <v>275</v>
      </c>
      <c r="E2463">
        <v>2</v>
      </c>
      <c r="F2463">
        <v>1708</v>
      </c>
      <c r="G2463">
        <f>TbReceitas[[#This Row],[quantidade]]*TbReceitas[[#This Row],[preco_unitario]]</f>
        <v>3416</v>
      </c>
      <c r="H2463" t="str">
        <f>TEXT(TbReceitas[[#This Row],[data_transacao]], "aaaa-mm")</f>
        <v>2025-01</v>
      </c>
    </row>
    <row r="2464" spans="1:8">
      <c r="A2464">
        <v>2463</v>
      </c>
      <c r="B2464" s="1">
        <v>45796</v>
      </c>
      <c r="C2464" t="s">
        <v>1289</v>
      </c>
      <c r="D2464" t="s">
        <v>341</v>
      </c>
      <c r="E2464">
        <v>3</v>
      </c>
      <c r="F2464">
        <v>11665</v>
      </c>
      <c r="G2464">
        <f>TbReceitas[[#This Row],[quantidade]]*TbReceitas[[#This Row],[preco_unitario]]</f>
        <v>34995</v>
      </c>
      <c r="H2464" t="str">
        <f>TEXT(TbReceitas[[#This Row],[data_transacao]], "aaaa-mm")</f>
        <v>2025-05</v>
      </c>
    </row>
    <row r="2465" spans="1:8">
      <c r="A2465">
        <v>2464</v>
      </c>
      <c r="B2465" s="1">
        <v>46275</v>
      </c>
      <c r="C2465" t="s">
        <v>1754</v>
      </c>
      <c r="D2465" t="s">
        <v>610</v>
      </c>
      <c r="E2465">
        <v>1</v>
      </c>
      <c r="F2465">
        <v>2549</v>
      </c>
      <c r="G2465">
        <f>TbReceitas[[#This Row],[quantidade]]*TbReceitas[[#This Row],[preco_unitario]]</f>
        <v>2549</v>
      </c>
      <c r="H2465" t="str">
        <f>TEXT(TbReceitas[[#This Row],[data_transacao]], "aaaa-mm")</f>
        <v>2026-09</v>
      </c>
    </row>
    <row r="2466" spans="1:8">
      <c r="A2466">
        <v>2465</v>
      </c>
      <c r="B2466" s="1">
        <v>45608</v>
      </c>
      <c r="C2466" t="s">
        <v>970</v>
      </c>
      <c r="D2466" t="s">
        <v>294</v>
      </c>
      <c r="E2466">
        <v>3</v>
      </c>
      <c r="F2466">
        <v>18109</v>
      </c>
      <c r="G2466">
        <f>TbReceitas[[#This Row],[quantidade]]*TbReceitas[[#This Row],[preco_unitario]]</f>
        <v>54327</v>
      </c>
      <c r="H2466" t="str">
        <f>TEXT(TbReceitas[[#This Row],[data_transacao]], "aaaa-mm")</f>
        <v>2024-11</v>
      </c>
    </row>
    <row r="2467" spans="1:8">
      <c r="A2467">
        <v>2466</v>
      </c>
      <c r="B2467" s="1">
        <v>46017</v>
      </c>
      <c r="C2467" t="s">
        <v>1639</v>
      </c>
      <c r="D2467" t="s">
        <v>84</v>
      </c>
      <c r="E2467">
        <v>1</v>
      </c>
      <c r="F2467">
        <v>21541</v>
      </c>
      <c r="G2467">
        <f>TbReceitas[[#This Row],[quantidade]]*TbReceitas[[#This Row],[preco_unitario]]</f>
        <v>21541</v>
      </c>
      <c r="H2467" t="str">
        <f>TEXT(TbReceitas[[#This Row],[data_transacao]], "aaaa-mm")</f>
        <v>2025-12</v>
      </c>
    </row>
    <row r="2468" spans="1:8">
      <c r="A2468">
        <v>2467</v>
      </c>
      <c r="B2468" s="1">
        <v>46169</v>
      </c>
      <c r="C2468" t="s">
        <v>1084</v>
      </c>
      <c r="D2468" t="s">
        <v>1447</v>
      </c>
      <c r="E2468">
        <v>2</v>
      </c>
      <c r="F2468">
        <v>2613</v>
      </c>
      <c r="G2468">
        <f>TbReceitas[[#This Row],[quantidade]]*TbReceitas[[#This Row],[preco_unitario]]</f>
        <v>5226</v>
      </c>
      <c r="H2468" t="str">
        <f>TEXT(TbReceitas[[#This Row],[data_transacao]], "aaaa-mm")</f>
        <v>2026-05</v>
      </c>
    </row>
    <row r="2469" spans="1:8">
      <c r="A2469">
        <v>2468</v>
      </c>
      <c r="B2469" s="1">
        <v>46104</v>
      </c>
      <c r="C2469" t="s">
        <v>1514</v>
      </c>
      <c r="D2469" t="s">
        <v>100</v>
      </c>
      <c r="E2469">
        <v>5</v>
      </c>
      <c r="F2469">
        <v>12034</v>
      </c>
      <c r="G2469">
        <f>TbReceitas[[#This Row],[quantidade]]*TbReceitas[[#This Row],[preco_unitario]]</f>
        <v>60170</v>
      </c>
      <c r="H2469" t="str">
        <f>TEXT(TbReceitas[[#This Row],[data_transacao]], "aaaa-mm")</f>
        <v>2026-03</v>
      </c>
    </row>
    <row r="2470" spans="1:8">
      <c r="A2470">
        <v>2469</v>
      </c>
      <c r="B2470" s="1">
        <v>46144</v>
      </c>
      <c r="C2470" t="s">
        <v>1172</v>
      </c>
      <c r="D2470" t="s">
        <v>483</v>
      </c>
      <c r="E2470">
        <v>3</v>
      </c>
      <c r="F2470">
        <v>19339</v>
      </c>
      <c r="G2470">
        <f>TbReceitas[[#This Row],[quantidade]]*TbReceitas[[#This Row],[preco_unitario]]</f>
        <v>58017</v>
      </c>
      <c r="H2470" t="str">
        <f>TEXT(TbReceitas[[#This Row],[data_transacao]], "aaaa-mm")</f>
        <v>2026-05</v>
      </c>
    </row>
    <row r="2471" spans="1:8">
      <c r="A2471">
        <v>2470</v>
      </c>
      <c r="B2471" s="1">
        <v>45734</v>
      </c>
      <c r="C2471" t="s">
        <v>1485</v>
      </c>
      <c r="D2471" t="s">
        <v>141</v>
      </c>
      <c r="E2471">
        <v>5</v>
      </c>
      <c r="F2471">
        <v>1235</v>
      </c>
      <c r="G2471">
        <f>TbReceitas[[#This Row],[quantidade]]*TbReceitas[[#This Row],[preco_unitario]]</f>
        <v>6175</v>
      </c>
      <c r="H2471" t="str">
        <f>TEXT(TbReceitas[[#This Row],[data_transacao]], "aaaa-mm")</f>
        <v>2025-03</v>
      </c>
    </row>
    <row r="2472" spans="1:8">
      <c r="A2472">
        <v>2471</v>
      </c>
      <c r="B2472" s="1">
        <v>46237</v>
      </c>
      <c r="C2472" t="s">
        <v>1755</v>
      </c>
      <c r="D2472" t="s">
        <v>669</v>
      </c>
      <c r="E2472">
        <v>4</v>
      </c>
      <c r="F2472">
        <v>2838</v>
      </c>
      <c r="G2472">
        <f>TbReceitas[[#This Row],[quantidade]]*TbReceitas[[#This Row],[preco_unitario]]</f>
        <v>11352</v>
      </c>
      <c r="H2472" t="str">
        <f>TEXT(TbReceitas[[#This Row],[data_transacao]], "aaaa-mm")</f>
        <v>2026-08</v>
      </c>
    </row>
    <row r="2473" spans="1:8">
      <c r="A2473">
        <v>2472</v>
      </c>
      <c r="B2473" s="1">
        <v>45807</v>
      </c>
      <c r="C2473" t="s">
        <v>1266</v>
      </c>
      <c r="D2473" t="s">
        <v>60</v>
      </c>
      <c r="E2473">
        <v>2</v>
      </c>
      <c r="F2473">
        <v>11989</v>
      </c>
      <c r="G2473">
        <f>TbReceitas[[#This Row],[quantidade]]*TbReceitas[[#This Row],[preco_unitario]]</f>
        <v>23978</v>
      </c>
      <c r="H2473" t="str">
        <f>TEXT(TbReceitas[[#This Row],[data_transacao]], "aaaa-mm")</f>
        <v>2025-05</v>
      </c>
    </row>
    <row r="2474" spans="1:8">
      <c r="A2474">
        <v>2473</v>
      </c>
      <c r="B2474" s="1">
        <v>45623</v>
      </c>
      <c r="C2474" t="s">
        <v>1562</v>
      </c>
      <c r="D2474" t="s">
        <v>656</v>
      </c>
      <c r="E2474">
        <v>3</v>
      </c>
      <c r="F2474">
        <v>22049</v>
      </c>
      <c r="G2474">
        <f>TbReceitas[[#This Row],[quantidade]]*TbReceitas[[#This Row],[preco_unitario]]</f>
        <v>66147</v>
      </c>
      <c r="H2474" t="str">
        <f>TEXT(TbReceitas[[#This Row],[data_transacao]], "aaaa-mm")</f>
        <v>2024-11</v>
      </c>
    </row>
    <row r="2475" spans="1:8">
      <c r="A2475">
        <v>2474</v>
      </c>
      <c r="B2475" s="1">
        <v>45941</v>
      </c>
      <c r="C2475" t="s">
        <v>1614</v>
      </c>
      <c r="D2475" t="s">
        <v>126</v>
      </c>
      <c r="E2475">
        <v>4</v>
      </c>
      <c r="F2475">
        <v>21775</v>
      </c>
      <c r="G2475">
        <f>TbReceitas[[#This Row],[quantidade]]*TbReceitas[[#This Row],[preco_unitario]]</f>
        <v>87100</v>
      </c>
      <c r="H2475" t="str">
        <f>TEXT(TbReceitas[[#This Row],[data_transacao]], "aaaa-mm")</f>
        <v>2025-10</v>
      </c>
    </row>
    <row r="2476" spans="1:8">
      <c r="A2476">
        <v>2475</v>
      </c>
      <c r="B2476" s="1">
        <v>46134</v>
      </c>
      <c r="C2476" t="s">
        <v>1628</v>
      </c>
      <c r="D2476" t="s">
        <v>71</v>
      </c>
      <c r="E2476">
        <v>4</v>
      </c>
      <c r="F2476">
        <v>3011</v>
      </c>
      <c r="G2476">
        <f>TbReceitas[[#This Row],[quantidade]]*TbReceitas[[#This Row],[preco_unitario]]</f>
        <v>12044</v>
      </c>
      <c r="H2476" t="str">
        <f>TEXT(TbReceitas[[#This Row],[data_transacao]], "aaaa-mm")</f>
        <v>2026-04</v>
      </c>
    </row>
    <row r="2477" spans="1:8">
      <c r="A2477">
        <v>2476</v>
      </c>
      <c r="B2477" s="1">
        <v>45741</v>
      </c>
      <c r="C2477" t="s">
        <v>1298</v>
      </c>
      <c r="D2477" t="s">
        <v>128</v>
      </c>
      <c r="E2477">
        <v>1</v>
      </c>
      <c r="F2477">
        <v>16257</v>
      </c>
      <c r="G2477">
        <f>TbReceitas[[#This Row],[quantidade]]*TbReceitas[[#This Row],[preco_unitario]]</f>
        <v>16257</v>
      </c>
      <c r="H2477" t="str">
        <f>TEXT(TbReceitas[[#This Row],[data_transacao]], "aaaa-mm")</f>
        <v>2025-03</v>
      </c>
    </row>
    <row r="2478" spans="1:8">
      <c r="A2478">
        <v>2477</v>
      </c>
      <c r="B2478" s="1">
        <v>45995</v>
      </c>
      <c r="C2478" t="s">
        <v>765</v>
      </c>
      <c r="D2478" t="s">
        <v>229</v>
      </c>
      <c r="E2478">
        <v>2</v>
      </c>
      <c r="F2478">
        <v>6433</v>
      </c>
      <c r="G2478">
        <f>TbReceitas[[#This Row],[quantidade]]*TbReceitas[[#This Row],[preco_unitario]]</f>
        <v>12866</v>
      </c>
      <c r="H2478" t="str">
        <f>TEXT(TbReceitas[[#This Row],[data_transacao]], "aaaa-mm")</f>
        <v>2025-12</v>
      </c>
    </row>
    <row r="2479" spans="1:8">
      <c r="A2479">
        <v>2478</v>
      </c>
      <c r="B2479" s="1">
        <v>45905</v>
      </c>
      <c r="C2479" t="s">
        <v>795</v>
      </c>
      <c r="D2479" t="s">
        <v>196</v>
      </c>
      <c r="E2479">
        <v>3</v>
      </c>
      <c r="F2479">
        <v>8167</v>
      </c>
      <c r="G2479">
        <f>TbReceitas[[#This Row],[quantidade]]*TbReceitas[[#This Row],[preco_unitario]]</f>
        <v>24501</v>
      </c>
      <c r="H2479" t="str">
        <f>TEXT(TbReceitas[[#This Row],[data_transacao]], "aaaa-mm")</f>
        <v>2025-09</v>
      </c>
    </row>
    <row r="2480" spans="1:8">
      <c r="A2480">
        <v>2479</v>
      </c>
      <c r="B2480" s="1">
        <v>46157</v>
      </c>
      <c r="C2480" t="s">
        <v>1756</v>
      </c>
      <c r="D2480" t="s">
        <v>1454</v>
      </c>
      <c r="E2480">
        <v>5</v>
      </c>
      <c r="F2480">
        <v>10659</v>
      </c>
      <c r="G2480">
        <f>TbReceitas[[#This Row],[quantidade]]*TbReceitas[[#This Row],[preco_unitario]]</f>
        <v>53295</v>
      </c>
      <c r="H2480" t="str">
        <f>TEXT(TbReceitas[[#This Row],[data_transacao]], "aaaa-mm")</f>
        <v>2026-05</v>
      </c>
    </row>
    <row r="2481" spans="1:8">
      <c r="A2481">
        <v>2480</v>
      </c>
      <c r="B2481" s="1">
        <v>46160</v>
      </c>
      <c r="C2481" t="s">
        <v>980</v>
      </c>
      <c r="D2481" t="s">
        <v>529</v>
      </c>
      <c r="E2481">
        <v>5</v>
      </c>
      <c r="F2481">
        <v>18056</v>
      </c>
      <c r="G2481">
        <f>TbReceitas[[#This Row],[quantidade]]*TbReceitas[[#This Row],[preco_unitario]]</f>
        <v>90280</v>
      </c>
      <c r="H2481" t="str">
        <f>TEXT(TbReceitas[[#This Row],[data_transacao]], "aaaa-mm")</f>
        <v>2026-05</v>
      </c>
    </row>
    <row r="2482" spans="1:8">
      <c r="A2482">
        <v>2481</v>
      </c>
      <c r="B2482" s="1">
        <v>46231</v>
      </c>
      <c r="C2482" t="s">
        <v>1415</v>
      </c>
      <c r="D2482" t="s">
        <v>1392</v>
      </c>
      <c r="E2482">
        <v>4</v>
      </c>
      <c r="F2482">
        <v>346</v>
      </c>
      <c r="G2482">
        <f>TbReceitas[[#This Row],[quantidade]]*TbReceitas[[#This Row],[preco_unitario]]</f>
        <v>1384</v>
      </c>
      <c r="H2482" t="str">
        <f>TEXT(TbReceitas[[#This Row],[data_transacao]], "aaaa-mm")</f>
        <v>2026-07</v>
      </c>
    </row>
    <row r="2483" spans="1:8">
      <c r="A2483">
        <v>2482</v>
      </c>
      <c r="B2483" s="1">
        <v>45943</v>
      </c>
      <c r="C2483" t="s">
        <v>1270</v>
      </c>
      <c r="D2483" t="s">
        <v>692</v>
      </c>
      <c r="E2483">
        <v>1</v>
      </c>
      <c r="F2483">
        <v>14519</v>
      </c>
      <c r="G2483">
        <f>TbReceitas[[#This Row],[quantidade]]*TbReceitas[[#This Row],[preco_unitario]]</f>
        <v>14519</v>
      </c>
      <c r="H2483" t="str">
        <f>TEXT(TbReceitas[[#This Row],[data_transacao]], "aaaa-mm")</f>
        <v>2025-10</v>
      </c>
    </row>
    <row r="2484" spans="1:8">
      <c r="A2484">
        <v>2483</v>
      </c>
      <c r="B2484" s="1">
        <v>45961</v>
      </c>
      <c r="C2484" t="s">
        <v>1519</v>
      </c>
      <c r="D2484" t="s">
        <v>528</v>
      </c>
      <c r="E2484">
        <v>1</v>
      </c>
      <c r="F2484">
        <v>17709</v>
      </c>
      <c r="G2484">
        <f>TbReceitas[[#This Row],[quantidade]]*TbReceitas[[#This Row],[preco_unitario]]</f>
        <v>17709</v>
      </c>
      <c r="H2484" t="str">
        <f>TEXT(TbReceitas[[#This Row],[data_transacao]], "aaaa-mm")</f>
        <v>2025-10</v>
      </c>
    </row>
    <row r="2485" spans="1:8">
      <c r="A2485">
        <v>2484</v>
      </c>
      <c r="B2485" s="1">
        <v>46267</v>
      </c>
      <c r="C2485" t="s">
        <v>1173</v>
      </c>
      <c r="D2485" t="s">
        <v>434</v>
      </c>
      <c r="E2485">
        <v>1</v>
      </c>
      <c r="F2485">
        <v>8034</v>
      </c>
      <c r="G2485">
        <f>TbReceitas[[#This Row],[quantidade]]*TbReceitas[[#This Row],[preco_unitario]]</f>
        <v>8034</v>
      </c>
      <c r="H2485" t="str">
        <f>TEXT(TbReceitas[[#This Row],[data_transacao]], "aaaa-mm")</f>
        <v>2026-09</v>
      </c>
    </row>
    <row r="2486" spans="1:8">
      <c r="A2486">
        <v>2485</v>
      </c>
      <c r="B2486" s="1">
        <v>45806</v>
      </c>
      <c r="C2486" t="s">
        <v>990</v>
      </c>
      <c r="D2486" t="s">
        <v>42</v>
      </c>
      <c r="E2486">
        <v>3</v>
      </c>
      <c r="F2486">
        <v>23918</v>
      </c>
      <c r="G2486">
        <f>TbReceitas[[#This Row],[quantidade]]*TbReceitas[[#This Row],[preco_unitario]]</f>
        <v>71754</v>
      </c>
      <c r="H2486" t="str">
        <f>TEXT(TbReceitas[[#This Row],[data_transacao]], "aaaa-mm")</f>
        <v>2025-05</v>
      </c>
    </row>
    <row r="2487" spans="1:8">
      <c r="A2487">
        <v>2486</v>
      </c>
      <c r="B2487" s="1">
        <v>46219</v>
      </c>
      <c r="C2487" t="s">
        <v>763</v>
      </c>
      <c r="D2487" t="s">
        <v>321</v>
      </c>
      <c r="E2487">
        <v>2</v>
      </c>
      <c r="F2487">
        <v>8412</v>
      </c>
      <c r="G2487">
        <f>TbReceitas[[#This Row],[quantidade]]*TbReceitas[[#This Row],[preco_unitario]]</f>
        <v>16824</v>
      </c>
      <c r="H2487" t="str">
        <f>TEXT(TbReceitas[[#This Row],[data_transacao]], "aaaa-mm")</f>
        <v>2026-07</v>
      </c>
    </row>
    <row r="2488" spans="1:8">
      <c r="A2488">
        <v>2487</v>
      </c>
      <c r="B2488" s="1">
        <v>45595</v>
      </c>
      <c r="C2488" t="s">
        <v>885</v>
      </c>
      <c r="D2488" t="s">
        <v>335</v>
      </c>
      <c r="E2488">
        <v>1</v>
      </c>
      <c r="F2488">
        <v>20416</v>
      </c>
      <c r="G2488">
        <f>TbReceitas[[#This Row],[quantidade]]*TbReceitas[[#This Row],[preco_unitario]]</f>
        <v>20416</v>
      </c>
      <c r="H2488" t="str">
        <f>TEXT(TbReceitas[[#This Row],[data_transacao]], "aaaa-mm")</f>
        <v>2024-10</v>
      </c>
    </row>
    <row r="2489" spans="1:8">
      <c r="A2489">
        <v>2488</v>
      </c>
      <c r="B2489" s="1">
        <v>45801</v>
      </c>
      <c r="C2489" t="s">
        <v>1660</v>
      </c>
      <c r="D2489" t="s">
        <v>109</v>
      </c>
      <c r="E2489">
        <v>1</v>
      </c>
      <c r="F2489">
        <v>23302</v>
      </c>
      <c r="G2489">
        <f>TbReceitas[[#This Row],[quantidade]]*TbReceitas[[#This Row],[preco_unitario]]</f>
        <v>23302</v>
      </c>
      <c r="H2489" t="str">
        <f>TEXT(TbReceitas[[#This Row],[data_transacao]], "aaaa-mm")</f>
        <v>2025-05</v>
      </c>
    </row>
    <row r="2490" spans="1:8">
      <c r="A2490">
        <v>2489</v>
      </c>
      <c r="B2490" s="1">
        <v>45709</v>
      </c>
      <c r="C2490" t="s">
        <v>847</v>
      </c>
      <c r="D2490" t="s">
        <v>515</v>
      </c>
      <c r="E2490">
        <v>4</v>
      </c>
      <c r="F2490">
        <v>7672</v>
      </c>
      <c r="G2490">
        <f>TbReceitas[[#This Row],[quantidade]]*TbReceitas[[#This Row],[preco_unitario]]</f>
        <v>30688</v>
      </c>
      <c r="H2490" t="str">
        <f>TEXT(TbReceitas[[#This Row],[data_transacao]], "aaaa-mm")</f>
        <v>2025-02</v>
      </c>
    </row>
    <row r="2491" spans="1:8">
      <c r="A2491">
        <v>2490</v>
      </c>
      <c r="B2491" s="1">
        <v>45630</v>
      </c>
      <c r="C2491" t="s">
        <v>1428</v>
      </c>
      <c r="D2491" t="s">
        <v>510</v>
      </c>
      <c r="E2491">
        <v>2</v>
      </c>
      <c r="F2491">
        <v>16197</v>
      </c>
      <c r="G2491">
        <f>TbReceitas[[#This Row],[quantidade]]*TbReceitas[[#This Row],[preco_unitario]]</f>
        <v>32394</v>
      </c>
      <c r="H2491" t="str">
        <f>TEXT(TbReceitas[[#This Row],[data_transacao]], "aaaa-mm")</f>
        <v>2024-12</v>
      </c>
    </row>
    <row r="2492" spans="1:8">
      <c r="A2492">
        <v>2491</v>
      </c>
      <c r="B2492" s="1">
        <v>45592</v>
      </c>
      <c r="C2492" t="s">
        <v>1067</v>
      </c>
      <c r="D2492" t="s">
        <v>21</v>
      </c>
      <c r="E2492">
        <v>2</v>
      </c>
      <c r="F2492">
        <v>12746</v>
      </c>
      <c r="G2492">
        <f>TbReceitas[[#This Row],[quantidade]]*TbReceitas[[#This Row],[preco_unitario]]</f>
        <v>25492</v>
      </c>
      <c r="H2492" t="str">
        <f>TEXT(TbReceitas[[#This Row],[data_transacao]], "aaaa-mm")</f>
        <v>2024-10</v>
      </c>
    </row>
    <row r="2493" spans="1:8">
      <c r="A2493">
        <v>2492</v>
      </c>
      <c r="B2493" s="1">
        <v>45945</v>
      </c>
      <c r="C2493" t="s">
        <v>1154</v>
      </c>
      <c r="D2493" t="s">
        <v>688</v>
      </c>
      <c r="E2493">
        <v>2</v>
      </c>
      <c r="F2493">
        <v>24347</v>
      </c>
      <c r="G2493">
        <f>TbReceitas[[#This Row],[quantidade]]*TbReceitas[[#This Row],[preco_unitario]]</f>
        <v>48694</v>
      </c>
      <c r="H2493" t="str">
        <f>TEXT(TbReceitas[[#This Row],[data_transacao]], "aaaa-mm")</f>
        <v>2025-10</v>
      </c>
    </row>
    <row r="2494" spans="1:8">
      <c r="A2494">
        <v>2493</v>
      </c>
      <c r="B2494" s="1">
        <v>45562</v>
      </c>
      <c r="C2494" t="s">
        <v>835</v>
      </c>
      <c r="D2494" t="s">
        <v>436</v>
      </c>
      <c r="E2494">
        <v>3</v>
      </c>
      <c r="F2494">
        <v>24553</v>
      </c>
      <c r="G2494">
        <f>TbReceitas[[#This Row],[quantidade]]*TbReceitas[[#This Row],[preco_unitario]]</f>
        <v>73659</v>
      </c>
      <c r="H2494" t="str">
        <f>TEXT(TbReceitas[[#This Row],[data_transacao]], "aaaa-mm")</f>
        <v>2024-09</v>
      </c>
    </row>
    <row r="2495" spans="1:8">
      <c r="A2495">
        <v>2494</v>
      </c>
      <c r="B2495" s="1">
        <v>45919</v>
      </c>
      <c r="C2495" t="s">
        <v>800</v>
      </c>
      <c r="D2495" t="s">
        <v>414</v>
      </c>
      <c r="E2495">
        <v>4</v>
      </c>
      <c r="F2495">
        <v>18008</v>
      </c>
      <c r="G2495">
        <f>TbReceitas[[#This Row],[quantidade]]*TbReceitas[[#This Row],[preco_unitario]]</f>
        <v>72032</v>
      </c>
      <c r="H2495" t="str">
        <f>TEXT(TbReceitas[[#This Row],[data_transacao]], "aaaa-mm")</f>
        <v>2025-09</v>
      </c>
    </row>
    <row r="2496" spans="1:8">
      <c r="A2496">
        <v>2495</v>
      </c>
      <c r="B2496" s="1">
        <v>46076</v>
      </c>
      <c r="C2496" t="s">
        <v>1036</v>
      </c>
      <c r="D2496" t="s">
        <v>214</v>
      </c>
      <c r="E2496">
        <v>5</v>
      </c>
      <c r="F2496">
        <v>11351</v>
      </c>
      <c r="G2496">
        <f>TbReceitas[[#This Row],[quantidade]]*TbReceitas[[#This Row],[preco_unitario]]</f>
        <v>56755</v>
      </c>
      <c r="H2496" t="str">
        <f>TEXT(TbReceitas[[#This Row],[data_transacao]], "aaaa-mm")</f>
        <v>2026-02</v>
      </c>
    </row>
    <row r="2497" spans="1:8">
      <c r="A2497">
        <v>2496</v>
      </c>
      <c r="B2497" s="1">
        <v>46089</v>
      </c>
      <c r="C2497" t="s">
        <v>868</v>
      </c>
      <c r="D2497" t="s">
        <v>534</v>
      </c>
      <c r="E2497">
        <v>5</v>
      </c>
      <c r="F2497">
        <v>1886</v>
      </c>
      <c r="G2497">
        <f>TbReceitas[[#This Row],[quantidade]]*TbReceitas[[#This Row],[preco_unitario]]</f>
        <v>9430</v>
      </c>
      <c r="H2497" t="str">
        <f>TEXT(TbReceitas[[#This Row],[data_transacao]], "aaaa-mm")</f>
        <v>2026-03</v>
      </c>
    </row>
    <row r="2498" spans="1:8">
      <c r="A2498">
        <v>2497</v>
      </c>
      <c r="B2498" s="1">
        <v>45695</v>
      </c>
      <c r="C2498" t="s">
        <v>1503</v>
      </c>
      <c r="D2498" t="s">
        <v>509</v>
      </c>
      <c r="E2498">
        <v>2</v>
      </c>
      <c r="F2498">
        <v>2421</v>
      </c>
      <c r="G2498">
        <f>TbReceitas[[#This Row],[quantidade]]*TbReceitas[[#This Row],[preco_unitario]]</f>
        <v>4842</v>
      </c>
      <c r="H2498" t="str">
        <f>TEXT(TbReceitas[[#This Row],[data_transacao]], "aaaa-mm")</f>
        <v>2025-02</v>
      </c>
    </row>
    <row r="2499" spans="1:8">
      <c r="A2499">
        <v>2498</v>
      </c>
      <c r="B2499" s="1">
        <v>46139</v>
      </c>
      <c r="C2499" t="s">
        <v>1757</v>
      </c>
      <c r="D2499" t="s">
        <v>686</v>
      </c>
      <c r="E2499">
        <v>3</v>
      </c>
      <c r="F2499">
        <v>7346</v>
      </c>
      <c r="G2499">
        <f>TbReceitas[[#This Row],[quantidade]]*TbReceitas[[#This Row],[preco_unitario]]</f>
        <v>22038</v>
      </c>
      <c r="H2499" t="str">
        <f>TEXT(TbReceitas[[#This Row],[data_transacao]], "aaaa-mm")</f>
        <v>2026-04</v>
      </c>
    </row>
    <row r="2500" spans="1:8">
      <c r="A2500">
        <v>2499</v>
      </c>
      <c r="B2500" s="1">
        <v>45570</v>
      </c>
      <c r="C2500" t="s">
        <v>1681</v>
      </c>
      <c r="D2500" t="s">
        <v>12</v>
      </c>
      <c r="E2500">
        <v>3</v>
      </c>
      <c r="F2500">
        <v>11453</v>
      </c>
      <c r="G2500">
        <f>TbReceitas[[#This Row],[quantidade]]*TbReceitas[[#This Row],[preco_unitario]]</f>
        <v>34359</v>
      </c>
      <c r="H2500" t="str">
        <f>TEXT(TbReceitas[[#This Row],[data_transacao]], "aaaa-mm")</f>
        <v>2024-10</v>
      </c>
    </row>
    <row r="2501" spans="1:8">
      <c r="A2501">
        <v>2500</v>
      </c>
      <c r="B2501" s="1">
        <v>46225</v>
      </c>
      <c r="C2501" t="s">
        <v>1191</v>
      </c>
      <c r="D2501" t="s">
        <v>591</v>
      </c>
      <c r="E2501">
        <v>5</v>
      </c>
      <c r="F2501">
        <v>1718</v>
      </c>
      <c r="G2501">
        <f>TbReceitas[[#This Row],[quantidade]]*TbReceitas[[#This Row],[preco_unitario]]</f>
        <v>8590</v>
      </c>
      <c r="H2501" t="str">
        <f>TEXT(TbReceitas[[#This Row],[data_transacao]], "aaaa-mm")</f>
        <v>2026-07</v>
      </c>
    </row>
    <row r="2502" spans="1:8">
      <c r="A2502">
        <v>2501</v>
      </c>
      <c r="B2502" s="1">
        <v>45672</v>
      </c>
      <c r="C2502" t="s">
        <v>920</v>
      </c>
      <c r="D2502" t="s">
        <v>553</v>
      </c>
      <c r="E2502">
        <v>4</v>
      </c>
      <c r="F2502">
        <v>106</v>
      </c>
      <c r="G2502">
        <f>TbReceitas[[#This Row],[quantidade]]*TbReceitas[[#This Row],[preco_unitario]]</f>
        <v>424</v>
      </c>
      <c r="H2502" t="str">
        <f>TEXT(TbReceitas[[#This Row],[data_transacao]], "aaaa-mm")</f>
        <v>2025-01</v>
      </c>
    </row>
    <row r="2503" spans="1:8">
      <c r="A2503">
        <v>2502</v>
      </c>
      <c r="B2503" s="1">
        <v>46150</v>
      </c>
      <c r="C2503" t="s">
        <v>1160</v>
      </c>
      <c r="D2503" t="s">
        <v>144</v>
      </c>
      <c r="E2503">
        <v>4</v>
      </c>
      <c r="F2503">
        <v>11267</v>
      </c>
      <c r="G2503">
        <f>TbReceitas[[#This Row],[quantidade]]*TbReceitas[[#This Row],[preco_unitario]]</f>
        <v>45068</v>
      </c>
      <c r="H2503" t="str">
        <f>TEXT(TbReceitas[[#This Row],[data_transacao]], "aaaa-mm")</f>
        <v>2026-05</v>
      </c>
    </row>
    <row r="2504" spans="1:8">
      <c r="A2504">
        <v>2503</v>
      </c>
      <c r="B2504" s="1">
        <v>45746</v>
      </c>
      <c r="C2504" t="s">
        <v>1758</v>
      </c>
      <c r="D2504" t="s">
        <v>696</v>
      </c>
      <c r="E2504">
        <v>1</v>
      </c>
      <c r="F2504">
        <v>24429</v>
      </c>
      <c r="G2504">
        <f>TbReceitas[[#This Row],[quantidade]]*TbReceitas[[#This Row],[preco_unitario]]</f>
        <v>24429</v>
      </c>
      <c r="H2504" t="str">
        <f>TEXT(TbReceitas[[#This Row],[data_transacao]], "aaaa-mm")</f>
        <v>2025-03</v>
      </c>
    </row>
    <row r="2505" spans="1:8">
      <c r="A2505">
        <v>2504</v>
      </c>
      <c r="B2505" s="1">
        <v>45665</v>
      </c>
      <c r="C2505" t="s">
        <v>1759</v>
      </c>
      <c r="D2505" t="s">
        <v>505</v>
      </c>
      <c r="E2505">
        <v>2</v>
      </c>
      <c r="F2505">
        <v>9217</v>
      </c>
      <c r="G2505">
        <f>TbReceitas[[#This Row],[quantidade]]*TbReceitas[[#This Row],[preco_unitario]]</f>
        <v>18434</v>
      </c>
      <c r="H2505" t="str">
        <f>TEXT(TbReceitas[[#This Row],[data_transacao]], "aaaa-mm")</f>
        <v>2025-01</v>
      </c>
    </row>
    <row r="2506" spans="1:8">
      <c r="A2506">
        <v>2505</v>
      </c>
      <c r="B2506" s="1">
        <v>46054</v>
      </c>
      <c r="C2506" t="s">
        <v>1760</v>
      </c>
      <c r="D2506" t="s">
        <v>436</v>
      </c>
      <c r="E2506">
        <v>4</v>
      </c>
      <c r="F2506">
        <v>24553</v>
      </c>
      <c r="G2506">
        <f>TbReceitas[[#This Row],[quantidade]]*TbReceitas[[#This Row],[preco_unitario]]</f>
        <v>98212</v>
      </c>
      <c r="H2506" t="str">
        <f>TEXT(TbReceitas[[#This Row],[data_transacao]], "aaaa-mm")</f>
        <v>2026-02</v>
      </c>
    </row>
    <row r="2507" spans="1:8">
      <c r="A2507">
        <v>2506</v>
      </c>
      <c r="B2507" s="1">
        <v>46142</v>
      </c>
      <c r="C2507" t="s">
        <v>1761</v>
      </c>
      <c r="D2507" t="s">
        <v>293</v>
      </c>
      <c r="E2507">
        <v>2</v>
      </c>
      <c r="F2507">
        <v>7737</v>
      </c>
      <c r="G2507">
        <f>TbReceitas[[#This Row],[quantidade]]*TbReceitas[[#This Row],[preco_unitario]]</f>
        <v>15474</v>
      </c>
      <c r="H2507" t="str">
        <f>TEXT(TbReceitas[[#This Row],[data_transacao]], "aaaa-mm")</f>
        <v>2026-04</v>
      </c>
    </row>
    <row r="2508" spans="1:8">
      <c r="A2508">
        <v>2507</v>
      </c>
      <c r="B2508" s="1">
        <v>45778</v>
      </c>
      <c r="C2508" t="s">
        <v>769</v>
      </c>
      <c r="D2508" t="s">
        <v>99</v>
      </c>
      <c r="E2508">
        <v>4</v>
      </c>
      <c r="F2508">
        <v>19038</v>
      </c>
      <c r="G2508">
        <f>TbReceitas[[#This Row],[quantidade]]*TbReceitas[[#This Row],[preco_unitario]]</f>
        <v>76152</v>
      </c>
      <c r="H2508" t="str">
        <f>TEXT(TbReceitas[[#This Row],[data_transacao]], "aaaa-mm")</f>
        <v>2025-05</v>
      </c>
    </row>
    <row r="2509" spans="1:8">
      <c r="A2509">
        <v>2508</v>
      </c>
      <c r="B2509" s="1">
        <v>46009</v>
      </c>
      <c r="C2509" t="s">
        <v>1557</v>
      </c>
      <c r="D2509" t="s">
        <v>570</v>
      </c>
      <c r="E2509">
        <v>3</v>
      </c>
      <c r="F2509">
        <v>21533</v>
      </c>
      <c r="G2509">
        <f>TbReceitas[[#This Row],[quantidade]]*TbReceitas[[#This Row],[preco_unitario]]</f>
        <v>64599</v>
      </c>
      <c r="H2509" t="str">
        <f>TEXT(TbReceitas[[#This Row],[data_transacao]], "aaaa-mm")</f>
        <v>2025-12</v>
      </c>
    </row>
    <row r="2510" spans="1:8">
      <c r="A2510">
        <v>2509</v>
      </c>
      <c r="B2510" s="1">
        <v>45836</v>
      </c>
      <c r="C2510" t="s">
        <v>1711</v>
      </c>
      <c r="D2510" t="s">
        <v>427</v>
      </c>
      <c r="E2510">
        <v>3</v>
      </c>
      <c r="F2510">
        <v>9083</v>
      </c>
      <c r="G2510">
        <f>TbReceitas[[#This Row],[quantidade]]*TbReceitas[[#This Row],[preco_unitario]]</f>
        <v>27249</v>
      </c>
      <c r="H2510" t="str">
        <f>TEXT(TbReceitas[[#This Row],[data_transacao]], "aaaa-mm")</f>
        <v>2025-06</v>
      </c>
    </row>
    <row r="2511" spans="1:8">
      <c r="A2511">
        <v>2510</v>
      </c>
      <c r="B2511" s="1">
        <v>45887</v>
      </c>
      <c r="C2511" t="s">
        <v>1632</v>
      </c>
      <c r="D2511" t="s">
        <v>548</v>
      </c>
      <c r="E2511">
        <v>5</v>
      </c>
      <c r="F2511">
        <v>12414</v>
      </c>
      <c r="G2511">
        <f>TbReceitas[[#This Row],[quantidade]]*TbReceitas[[#This Row],[preco_unitario]]</f>
        <v>62070</v>
      </c>
      <c r="H2511" t="str">
        <f>TEXT(TbReceitas[[#This Row],[data_transacao]], "aaaa-mm")</f>
        <v>2025-08</v>
      </c>
    </row>
    <row r="2512" spans="1:8">
      <c r="A2512">
        <v>2511</v>
      </c>
      <c r="B2512" s="1">
        <v>45830</v>
      </c>
      <c r="C2512" t="s">
        <v>1082</v>
      </c>
      <c r="D2512" t="s">
        <v>16</v>
      </c>
      <c r="E2512">
        <v>4</v>
      </c>
      <c r="F2512">
        <v>19899</v>
      </c>
      <c r="G2512">
        <f>TbReceitas[[#This Row],[quantidade]]*TbReceitas[[#This Row],[preco_unitario]]</f>
        <v>79596</v>
      </c>
      <c r="H2512" t="str">
        <f>TEXT(TbReceitas[[#This Row],[data_transacao]], "aaaa-mm")</f>
        <v>2025-06</v>
      </c>
    </row>
    <row r="2513" spans="1:8">
      <c r="A2513">
        <v>2512</v>
      </c>
      <c r="B2513" s="1">
        <v>45802</v>
      </c>
      <c r="C2513" t="s">
        <v>1186</v>
      </c>
      <c r="D2513" t="s">
        <v>670</v>
      </c>
      <c r="E2513">
        <v>4</v>
      </c>
      <c r="F2513">
        <v>23664</v>
      </c>
      <c r="G2513">
        <f>TbReceitas[[#This Row],[quantidade]]*TbReceitas[[#This Row],[preco_unitario]]</f>
        <v>94656</v>
      </c>
      <c r="H2513" t="str">
        <f>TEXT(TbReceitas[[#This Row],[data_transacao]], "aaaa-mm")</f>
        <v>2025-05</v>
      </c>
    </row>
    <row r="2514" spans="1:8">
      <c r="A2514">
        <v>2513</v>
      </c>
      <c r="B2514" s="1">
        <v>46008</v>
      </c>
      <c r="C2514" t="s">
        <v>1762</v>
      </c>
      <c r="D2514" t="s">
        <v>94</v>
      </c>
      <c r="E2514">
        <v>5</v>
      </c>
      <c r="F2514">
        <v>11961</v>
      </c>
      <c r="G2514">
        <f>TbReceitas[[#This Row],[quantidade]]*TbReceitas[[#This Row],[preco_unitario]]</f>
        <v>59805</v>
      </c>
      <c r="H2514" t="str">
        <f>TEXT(TbReceitas[[#This Row],[data_transacao]], "aaaa-mm")</f>
        <v>2025-12</v>
      </c>
    </row>
    <row r="2515" spans="1:8">
      <c r="A2515">
        <v>2514</v>
      </c>
      <c r="B2515" s="1">
        <v>45720</v>
      </c>
      <c r="C2515" t="s">
        <v>971</v>
      </c>
      <c r="D2515" t="s">
        <v>626</v>
      </c>
      <c r="E2515">
        <v>1</v>
      </c>
      <c r="F2515">
        <v>17147</v>
      </c>
      <c r="G2515">
        <f>TbReceitas[[#This Row],[quantidade]]*TbReceitas[[#This Row],[preco_unitario]]</f>
        <v>17147</v>
      </c>
      <c r="H2515" t="str">
        <f>TEXT(TbReceitas[[#This Row],[data_transacao]], "aaaa-mm")</f>
        <v>2025-03</v>
      </c>
    </row>
    <row r="2516" spans="1:8">
      <c r="A2516">
        <v>2515</v>
      </c>
      <c r="B2516" s="1">
        <v>46208</v>
      </c>
      <c r="C2516" t="s">
        <v>1507</v>
      </c>
      <c r="D2516" t="s">
        <v>446</v>
      </c>
      <c r="E2516">
        <v>3</v>
      </c>
      <c r="F2516">
        <v>21448</v>
      </c>
      <c r="G2516">
        <f>TbReceitas[[#This Row],[quantidade]]*TbReceitas[[#This Row],[preco_unitario]]</f>
        <v>64344</v>
      </c>
      <c r="H2516" t="str">
        <f>TEXT(TbReceitas[[#This Row],[data_transacao]], "aaaa-mm")</f>
        <v>2026-07</v>
      </c>
    </row>
    <row r="2517" spans="1:8">
      <c r="A2517">
        <v>2516</v>
      </c>
      <c r="B2517" s="1">
        <v>45716</v>
      </c>
      <c r="C2517" t="s">
        <v>1344</v>
      </c>
      <c r="D2517" t="s">
        <v>435</v>
      </c>
      <c r="E2517">
        <v>3</v>
      </c>
      <c r="F2517">
        <v>7686</v>
      </c>
      <c r="G2517">
        <f>TbReceitas[[#This Row],[quantidade]]*TbReceitas[[#This Row],[preco_unitario]]</f>
        <v>23058</v>
      </c>
      <c r="H2517" t="str">
        <f>TEXT(TbReceitas[[#This Row],[data_transacao]], "aaaa-mm")</f>
        <v>2025-02</v>
      </c>
    </row>
    <row r="2518" spans="1:8">
      <c r="A2518">
        <v>2517</v>
      </c>
      <c r="B2518" s="1">
        <v>45978</v>
      </c>
      <c r="C2518" t="s">
        <v>873</v>
      </c>
      <c r="D2518" t="s">
        <v>463</v>
      </c>
      <c r="E2518">
        <v>5</v>
      </c>
      <c r="F2518">
        <v>4334</v>
      </c>
      <c r="G2518">
        <f>TbReceitas[[#This Row],[quantidade]]*TbReceitas[[#This Row],[preco_unitario]]</f>
        <v>21670</v>
      </c>
      <c r="H2518" t="str">
        <f>TEXT(TbReceitas[[#This Row],[data_transacao]], "aaaa-mm")</f>
        <v>2025-11</v>
      </c>
    </row>
    <row r="2519" spans="1:8">
      <c r="A2519">
        <v>2518</v>
      </c>
      <c r="B2519" s="1">
        <v>46178</v>
      </c>
      <c r="C2519" t="s">
        <v>1400</v>
      </c>
      <c r="D2519" t="s">
        <v>119</v>
      </c>
      <c r="E2519">
        <v>1</v>
      </c>
      <c r="F2519">
        <v>10291</v>
      </c>
      <c r="G2519">
        <f>TbReceitas[[#This Row],[quantidade]]*TbReceitas[[#This Row],[preco_unitario]]</f>
        <v>10291</v>
      </c>
      <c r="H2519" t="str">
        <f>TEXT(TbReceitas[[#This Row],[data_transacao]], "aaaa-mm")</f>
        <v>2026-06</v>
      </c>
    </row>
    <row r="2520" spans="1:8">
      <c r="A2520">
        <v>2519</v>
      </c>
      <c r="B2520" s="1">
        <v>46097</v>
      </c>
      <c r="C2520" t="s">
        <v>924</v>
      </c>
      <c r="D2520" t="s">
        <v>450</v>
      </c>
      <c r="E2520">
        <v>1</v>
      </c>
      <c r="F2520">
        <v>12673</v>
      </c>
      <c r="G2520">
        <f>TbReceitas[[#This Row],[quantidade]]*TbReceitas[[#This Row],[preco_unitario]]</f>
        <v>12673</v>
      </c>
      <c r="H2520" t="str">
        <f>TEXT(TbReceitas[[#This Row],[data_transacao]], "aaaa-mm")</f>
        <v>2026-03</v>
      </c>
    </row>
    <row r="2521" spans="1:8">
      <c r="A2521">
        <v>2520</v>
      </c>
      <c r="B2521" s="1">
        <v>46256</v>
      </c>
      <c r="C2521" t="s">
        <v>1763</v>
      </c>
      <c r="D2521" t="s">
        <v>542</v>
      </c>
      <c r="E2521">
        <v>5</v>
      </c>
      <c r="F2521">
        <v>1697</v>
      </c>
      <c r="G2521">
        <f>TbReceitas[[#This Row],[quantidade]]*TbReceitas[[#This Row],[preco_unitario]]</f>
        <v>8485</v>
      </c>
      <c r="H2521" t="str">
        <f>TEXT(TbReceitas[[#This Row],[data_transacao]], "aaaa-mm")</f>
        <v>2026-08</v>
      </c>
    </row>
    <row r="2522" spans="1:8">
      <c r="A2522">
        <v>2521</v>
      </c>
      <c r="B2522" s="1">
        <v>45875</v>
      </c>
      <c r="C2522" t="s">
        <v>1764</v>
      </c>
      <c r="D2522" t="s">
        <v>692</v>
      </c>
      <c r="E2522">
        <v>1</v>
      </c>
      <c r="F2522">
        <v>14519</v>
      </c>
      <c r="G2522">
        <f>TbReceitas[[#This Row],[quantidade]]*TbReceitas[[#This Row],[preco_unitario]]</f>
        <v>14519</v>
      </c>
      <c r="H2522" t="str">
        <f>TEXT(TbReceitas[[#This Row],[data_transacao]], "aaaa-mm")</f>
        <v>2025-08</v>
      </c>
    </row>
    <row r="2523" spans="1:8">
      <c r="A2523">
        <v>2522</v>
      </c>
      <c r="B2523" s="1">
        <v>45588</v>
      </c>
      <c r="C2523" t="s">
        <v>1177</v>
      </c>
      <c r="D2523" t="s">
        <v>53</v>
      </c>
      <c r="E2523">
        <v>4</v>
      </c>
      <c r="F2523">
        <v>8689</v>
      </c>
      <c r="G2523">
        <f>TbReceitas[[#This Row],[quantidade]]*TbReceitas[[#This Row],[preco_unitario]]</f>
        <v>34756</v>
      </c>
      <c r="H2523" t="str">
        <f>TEXT(TbReceitas[[#This Row],[data_transacao]], "aaaa-mm")</f>
        <v>2024-10</v>
      </c>
    </row>
    <row r="2524" spans="1:8">
      <c r="A2524">
        <v>2523</v>
      </c>
      <c r="B2524" s="1">
        <v>45795</v>
      </c>
      <c r="C2524" t="s">
        <v>1730</v>
      </c>
      <c r="D2524" t="s">
        <v>15</v>
      </c>
      <c r="E2524">
        <v>2</v>
      </c>
      <c r="F2524">
        <v>15605</v>
      </c>
      <c r="G2524">
        <f>TbReceitas[[#This Row],[quantidade]]*TbReceitas[[#This Row],[preco_unitario]]</f>
        <v>31210</v>
      </c>
      <c r="H2524" t="str">
        <f>TEXT(TbReceitas[[#This Row],[data_transacao]], "aaaa-mm")</f>
        <v>2025-05</v>
      </c>
    </row>
    <row r="2525" spans="1:8">
      <c r="A2525">
        <v>2524</v>
      </c>
      <c r="B2525" s="1">
        <v>45622</v>
      </c>
      <c r="C2525" t="s">
        <v>1595</v>
      </c>
      <c r="D2525" t="s">
        <v>1716</v>
      </c>
      <c r="E2525">
        <v>3</v>
      </c>
      <c r="F2525">
        <v>4146</v>
      </c>
      <c r="G2525">
        <f>TbReceitas[[#This Row],[quantidade]]*TbReceitas[[#This Row],[preco_unitario]]</f>
        <v>12438</v>
      </c>
      <c r="H2525" t="str">
        <f>TEXT(TbReceitas[[#This Row],[data_transacao]], "aaaa-mm")</f>
        <v>2024-11</v>
      </c>
    </row>
    <row r="2526" spans="1:8">
      <c r="A2526">
        <v>2525</v>
      </c>
      <c r="B2526" s="1">
        <v>45737</v>
      </c>
      <c r="C2526" t="s">
        <v>850</v>
      </c>
      <c r="D2526" t="s">
        <v>497</v>
      </c>
      <c r="E2526">
        <v>4</v>
      </c>
      <c r="F2526">
        <v>16615</v>
      </c>
      <c r="G2526">
        <f>TbReceitas[[#This Row],[quantidade]]*TbReceitas[[#This Row],[preco_unitario]]</f>
        <v>66460</v>
      </c>
      <c r="H2526" t="str">
        <f>TEXT(TbReceitas[[#This Row],[data_transacao]], "aaaa-mm")</f>
        <v>2025-03</v>
      </c>
    </row>
    <row r="2527" spans="1:8">
      <c r="A2527">
        <v>2526</v>
      </c>
      <c r="B2527" s="1">
        <v>46183</v>
      </c>
      <c r="C2527" t="s">
        <v>1530</v>
      </c>
      <c r="D2527" t="s">
        <v>459</v>
      </c>
      <c r="E2527">
        <v>4</v>
      </c>
      <c r="F2527">
        <v>23355</v>
      </c>
      <c r="G2527">
        <f>TbReceitas[[#This Row],[quantidade]]*TbReceitas[[#This Row],[preco_unitario]]</f>
        <v>93420</v>
      </c>
      <c r="H2527" t="str">
        <f>TEXT(TbReceitas[[#This Row],[data_transacao]], "aaaa-mm")</f>
        <v>2026-06</v>
      </c>
    </row>
    <row r="2528" spans="1:8">
      <c r="A2528">
        <v>2527</v>
      </c>
      <c r="B2528" s="1">
        <v>46219</v>
      </c>
      <c r="C2528" t="s">
        <v>1100</v>
      </c>
      <c r="D2528" t="s">
        <v>625</v>
      </c>
      <c r="E2528">
        <v>2</v>
      </c>
      <c r="F2528">
        <v>2485</v>
      </c>
      <c r="G2528">
        <f>TbReceitas[[#This Row],[quantidade]]*TbReceitas[[#This Row],[preco_unitario]]</f>
        <v>4970</v>
      </c>
      <c r="H2528" t="str">
        <f>TEXT(TbReceitas[[#This Row],[data_transacao]], "aaaa-mm")</f>
        <v>2026-07</v>
      </c>
    </row>
    <row r="2529" spans="1:8">
      <c r="A2529">
        <v>2528</v>
      </c>
      <c r="B2529" s="1">
        <v>46059</v>
      </c>
      <c r="C2529" t="s">
        <v>1765</v>
      </c>
      <c r="D2529" t="s">
        <v>456</v>
      </c>
      <c r="E2529">
        <v>2</v>
      </c>
      <c r="F2529">
        <v>4361</v>
      </c>
      <c r="G2529">
        <f>TbReceitas[[#This Row],[quantidade]]*TbReceitas[[#This Row],[preco_unitario]]</f>
        <v>8722</v>
      </c>
      <c r="H2529" t="str">
        <f>TEXT(TbReceitas[[#This Row],[data_transacao]], "aaaa-mm")</f>
        <v>2026-02</v>
      </c>
    </row>
    <row r="2530" spans="1:8">
      <c r="A2530">
        <v>2529</v>
      </c>
      <c r="B2530" s="1">
        <v>45757</v>
      </c>
      <c r="C2530" t="s">
        <v>727</v>
      </c>
      <c r="D2530" t="s">
        <v>250</v>
      </c>
      <c r="E2530">
        <v>3</v>
      </c>
      <c r="F2530">
        <v>4154</v>
      </c>
      <c r="G2530">
        <f>TbReceitas[[#This Row],[quantidade]]*TbReceitas[[#This Row],[preco_unitario]]</f>
        <v>12462</v>
      </c>
      <c r="H2530" t="str">
        <f>TEXT(TbReceitas[[#This Row],[data_transacao]], "aaaa-mm")</f>
        <v>2025-04</v>
      </c>
    </row>
    <row r="2531" spans="1:8">
      <c r="A2531">
        <v>2530</v>
      </c>
      <c r="B2531" s="1">
        <v>45661</v>
      </c>
      <c r="C2531" t="s">
        <v>1083</v>
      </c>
      <c r="D2531" t="s">
        <v>523</v>
      </c>
      <c r="E2531">
        <v>2</v>
      </c>
      <c r="F2531">
        <v>23523</v>
      </c>
      <c r="G2531">
        <f>TbReceitas[[#This Row],[quantidade]]*TbReceitas[[#This Row],[preco_unitario]]</f>
        <v>47046</v>
      </c>
      <c r="H2531" t="str">
        <f>TEXT(TbReceitas[[#This Row],[data_transacao]], "aaaa-mm")</f>
        <v>2025-01</v>
      </c>
    </row>
    <row r="2532" spans="1:8">
      <c r="A2532">
        <v>2531</v>
      </c>
      <c r="B2532" s="1">
        <v>46152</v>
      </c>
      <c r="C2532" t="s">
        <v>933</v>
      </c>
      <c r="D2532" t="s">
        <v>541</v>
      </c>
      <c r="E2532">
        <v>4</v>
      </c>
      <c r="F2532">
        <v>734</v>
      </c>
      <c r="G2532">
        <f>TbReceitas[[#This Row],[quantidade]]*TbReceitas[[#This Row],[preco_unitario]]</f>
        <v>2936</v>
      </c>
      <c r="H2532" t="str">
        <f>TEXT(TbReceitas[[#This Row],[data_transacao]], "aaaa-mm")</f>
        <v>2026-05</v>
      </c>
    </row>
    <row r="2533" spans="1:8">
      <c r="A2533">
        <v>2532</v>
      </c>
      <c r="B2533" s="1">
        <v>45698</v>
      </c>
      <c r="C2533" t="s">
        <v>1766</v>
      </c>
      <c r="D2533" t="s">
        <v>158</v>
      </c>
      <c r="E2533">
        <v>3</v>
      </c>
      <c r="F2533">
        <v>2383</v>
      </c>
      <c r="G2533">
        <f>TbReceitas[[#This Row],[quantidade]]*TbReceitas[[#This Row],[preco_unitario]]</f>
        <v>7149</v>
      </c>
      <c r="H2533" t="str">
        <f>TEXT(TbReceitas[[#This Row],[data_transacao]], "aaaa-mm")</f>
        <v>2025-02</v>
      </c>
    </row>
    <row r="2534" spans="1:8">
      <c r="A2534">
        <v>2533</v>
      </c>
      <c r="B2534" s="1">
        <v>45547</v>
      </c>
      <c r="C2534" t="s">
        <v>1767</v>
      </c>
      <c r="D2534" t="s">
        <v>686</v>
      </c>
      <c r="E2534">
        <v>5</v>
      </c>
      <c r="F2534">
        <v>7346</v>
      </c>
      <c r="G2534">
        <f>TbReceitas[[#This Row],[quantidade]]*TbReceitas[[#This Row],[preco_unitario]]</f>
        <v>36730</v>
      </c>
      <c r="H2534" t="str">
        <f>TEXT(TbReceitas[[#This Row],[data_transacao]], "aaaa-mm")</f>
        <v>2024-09</v>
      </c>
    </row>
    <row r="2535" spans="1:8">
      <c r="A2535">
        <v>2534</v>
      </c>
      <c r="B2535" s="1">
        <v>45569</v>
      </c>
      <c r="C2535" t="s">
        <v>1572</v>
      </c>
      <c r="D2535" t="s">
        <v>27</v>
      </c>
      <c r="E2535">
        <v>2</v>
      </c>
      <c r="F2535">
        <v>18944</v>
      </c>
      <c r="G2535">
        <f>TbReceitas[[#This Row],[quantidade]]*TbReceitas[[#This Row],[preco_unitario]]</f>
        <v>37888</v>
      </c>
      <c r="H2535" t="str">
        <f>TEXT(TbReceitas[[#This Row],[data_transacao]], "aaaa-mm")</f>
        <v>2024-10</v>
      </c>
    </row>
    <row r="2536" spans="1:8">
      <c r="A2536">
        <v>2535</v>
      </c>
      <c r="B2536" s="1">
        <v>45856</v>
      </c>
      <c r="C2536" t="s">
        <v>1036</v>
      </c>
      <c r="D2536" t="s">
        <v>579</v>
      </c>
      <c r="E2536">
        <v>4</v>
      </c>
      <c r="F2536">
        <v>4385</v>
      </c>
      <c r="G2536">
        <f>TbReceitas[[#This Row],[quantidade]]*TbReceitas[[#This Row],[preco_unitario]]</f>
        <v>17540</v>
      </c>
      <c r="H2536" t="str">
        <f>TEXT(TbReceitas[[#This Row],[data_transacao]], "aaaa-mm")</f>
        <v>2025-07</v>
      </c>
    </row>
    <row r="2537" spans="1:8">
      <c r="A2537">
        <v>2536</v>
      </c>
      <c r="B2537" s="1">
        <v>45675</v>
      </c>
      <c r="C2537" t="s">
        <v>1756</v>
      </c>
      <c r="D2537" t="s">
        <v>60</v>
      </c>
      <c r="E2537">
        <v>2</v>
      </c>
      <c r="F2537">
        <v>11989</v>
      </c>
      <c r="G2537">
        <f>TbReceitas[[#This Row],[quantidade]]*TbReceitas[[#This Row],[preco_unitario]]</f>
        <v>23978</v>
      </c>
      <c r="H2537" t="str">
        <f>TEXT(TbReceitas[[#This Row],[data_transacao]], "aaaa-mm")</f>
        <v>2025-01</v>
      </c>
    </row>
    <row r="2538" spans="1:8">
      <c r="A2538">
        <v>2537</v>
      </c>
      <c r="B2538" s="1">
        <v>46085</v>
      </c>
      <c r="C2538" t="s">
        <v>1449</v>
      </c>
      <c r="D2538" t="s">
        <v>461</v>
      </c>
      <c r="E2538">
        <v>2</v>
      </c>
      <c r="F2538">
        <v>1535</v>
      </c>
      <c r="G2538">
        <f>TbReceitas[[#This Row],[quantidade]]*TbReceitas[[#This Row],[preco_unitario]]</f>
        <v>3070</v>
      </c>
      <c r="H2538" t="str">
        <f>TEXT(TbReceitas[[#This Row],[data_transacao]], "aaaa-mm")</f>
        <v>2026-03</v>
      </c>
    </row>
    <row r="2539" spans="1:8">
      <c r="A2539">
        <v>2538</v>
      </c>
      <c r="B2539" s="1">
        <v>45802</v>
      </c>
      <c r="C2539" t="s">
        <v>1689</v>
      </c>
      <c r="D2539" t="s">
        <v>144</v>
      </c>
      <c r="E2539">
        <v>3</v>
      </c>
      <c r="F2539">
        <v>11267</v>
      </c>
      <c r="G2539">
        <f>TbReceitas[[#This Row],[quantidade]]*TbReceitas[[#This Row],[preco_unitario]]</f>
        <v>33801</v>
      </c>
      <c r="H2539" t="str">
        <f>TEXT(TbReceitas[[#This Row],[data_transacao]], "aaaa-mm")</f>
        <v>2025-05</v>
      </c>
    </row>
    <row r="2540" spans="1:8">
      <c r="A2540">
        <v>2539</v>
      </c>
      <c r="B2540" s="1">
        <v>45771</v>
      </c>
      <c r="C2540" t="s">
        <v>1768</v>
      </c>
      <c r="D2540" t="s">
        <v>111</v>
      </c>
      <c r="E2540">
        <v>3</v>
      </c>
      <c r="F2540">
        <v>22417</v>
      </c>
      <c r="G2540">
        <f>TbReceitas[[#This Row],[quantidade]]*TbReceitas[[#This Row],[preco_unitario]]</f>
        <v>67251</v>
      </c>
      <c r="H2540" t="str">
        <f>TEXT(TbReceitas[[#This Row],[data_transacao]], "aaaa-mm")</f>
        <v>2025-04</v>
      </c>
    </row>
    <row r="2541" spans="1:8">
      <c r="A2541">
        <v>2540</v>
      </c>
      <c r="B2541" s="1">
        <v>45721</v>
      </c>
      <c r="C2541" t="s">
        <v>936</v>
      </c>
      <c r="D2541" t="s">
        <v>599</v>
      </c>
      <c r="E2541">
        <v>3</v>
      </c>
      <c r="F2541">
        <v>45</v>
      </c>
      <c r="G2541">
        <f>TbReceitas[[#This Row],[quantidade]]*TbReceitas[[#This Row],[preco_unitario]]</f>
        <v>135</v>
      </c>
      <c r="H2541" t="str">
        <f>TEXT(TbReceitas[[#This Row],[data_transacao]], "aaaa-mm")</f>
        <v>2025-03</v>
      </c>
    </row>
    <row r="2542" spans="1:8">
      <c r="A2542">
        <v>2541</v>
      </c>
      <c r="B2542" s="1">
        <v>45673</v>
      </c>
      <c r="C2542" t="s">
        <v>971</v>
      </c>
      <c r="D2542" t="s">
        <v>235</v>
      </c>
      <c r="E2542">
        <v>2</v>
      </c>
      <c r="F2542">
        <v>3762</v>
      </c>
      <c r="G2542">
        <f>TbReceitas[[#This Row],[quantidade]]*TbReceitas[[#This Row],[preco_unitario]]</f>
        <v>7524</v>
      </c>
      <c r="H2542" t="str">
        <f>TEXT(TbReceitas[[#This Row],[data_transacao]], "aaaa-mm")</f>
        <v>2025-01</v>
      </c>
    </row>
    <row r="2543" spans="1:8">
      <c r="A2543">
        <v>2542</v>
      </c>
      <c r="B2543" s="1">
        <v>46122</v>
      </c>
      <c r="C2543" t="s">
        <v>1738</v>
      </c>
      <c r="D2543" t="s">
        <v>617</v>
      </c>
      <c r="E2543">
        <v>3</v>
      </c>
      <c r="F2543">
        <v>13357</v>
      </c>
      <c r="G2543">
        <f>TbReceitas[[#This Row],[quantidade]]*TbReceitas[[#This Row],[preco_unitario]]</f>
        <v>40071</v>
      </c>
      <c r="H2543" t="str">
        <f>TEXT(TbReceitas[[#This Row],[data_transacao]], "aaaa-mm")</f>
        <v>2026-04</v>
      </c>
    </row>
    <row r="2544" spans="1:8">
      <c r="A2544">
        <v>2543</v>
      </c>
      <c r="B2544" s="1">
        <v>45570</v>
      </c>
      <c r="C2544" t="s">
        <v>1769</v>
      </c>
      <c r="D2544" t="s">
        <v>362</v>
      </c>
      <c r="E2544">
        <v>5</v>
      </c>
      <c r="F2544">
        <v>19722</v>
      </c>
      <c r="G2544">
        <f>TbReceitas[[#This Row],[quantidade]]*TbReceitas[[#This Row],[preco_unitario]]</f>
        <v>98610</v>
      </c>
      <c r="H2544" t="str">
        <f>TEXT(TbReceitas[[#This Row],[data_transacao]], "aaaa-mm")</f>
        <v>2024-10</v>
      </c>
    </row>
    <row r="2545" spans="1:8">
      <c r="A2545">
        <v>2544</v>
      </c>
      <c r="B2545" s="1">
        <v>45792</v>
      </c>
      <c r="C2545" t="s">
        <v>940</v>
      </c>
      <c r="D2545" t="s">
        <v>594</v>
      </c>
      <c r="E2545">
        <v>2</v>
      </c>
      <c r="F2545">
        <v>9862</v>
      </c>
      <c r="G2545">
        <f>TbReceitas[[#This Row],[quantidade]]*TbReceitas[[#This Row],[preco_unitario]]</f>
        <v>19724</v>
      </c>
      <c r="H2545" t="str">
        <f>TEXT(TbReceitas[[#This Row],[data_transacao]], "aaaa-mm")</f>
        <v>2025-05</v>
      </c>
    </row>
    <row r="2546" spans="1:8">
      <c r="A2546">
        <v>2545</v>
      </c>
      <c r="B2546" s="1">
        <v>45697</v>
      </c>
      <c r="C2546" t="s">
        <v>1374</v>
      </c>
      <c r="D2546" t="s">
        <v>607</v>
      </c>
      <c r="E2546">
        <v>1</v>
      </c>
      <c r="F2546">
        <v>22971</v>
      </c>
      <c r="G2546">
        <f>TbReceitas[[#This Row],[quantidade]]*TbReceitas[[#This Row],[preco_unitario]]</f>
        <v>22971</v>
      </c>
      <c r="H2546" t="str">
        <f>TEXT(TbReceitas[[#This Row],[data_transacao]], "aaaa-mm")</f>
        <v>2025-02</v>
      </c>
    </row>
    <row r="2547" spans="1:8">
      <c r="A2547">
        <v>2546</v>
      </c>
      <c r="B2547" s="1">
        <v>46036</v>
      </c>
      <c r="C2547" t="s">
        <v>1301</v>
      </c>
      <c r="D2547" t="s">
        <v>313</v>
      </c>
      <c r="E2547">
        <v>1</v>
      </c>
      <c r="F2547">
        <v>24233</v>
      </c>
      <c r="G2547">
        <f>TbReceitas[[#This Row],[quantidade]]*TbReceitas[[#This Row],[preco_unitario]]</f>
        <v>24233</v>
      </c>
      <c r="H2547" t="str">
        <f>TEXT(TbReceitas[[#This Row],[data_transacao]], "aaaa-mm")</f>
        <v>2026-01</v>
      </c>
    </row>
    <row r="2548" spans="1:8">
      <c r="A2548">
        <v>2547</v>
      </c>
      <c r="B2548" s="1">
        <v>45619</v>
      </c>
      <c r="C2548" t="s">
        <v>1770</v>
      </c>
      <c r="D2548" t="s">
        <v>222</v>
      </c>
      <c r="E2548">
        <v>5</v>
      </c>
      <c r="F2548">
        <v>21814</v>
      </c>
      <c r="G2548">
        <f>TbReceitas[[#This Row],[quantidade]]*TbReceitas[[#This Row],[preco_unitario]]</f>
        <v>109070</v>
      </c>
      <c r="H2548" t="str">
        <f>TEXT(TbReceitas[[#This Row],[data_transacao]], "aaaa-mm")</f>
        <v>2024-11</v>
      </c>
    </row>
    <row r="2549" spans="1:8">
      <c r="A2549">
        <v>2548</v>
      </c>
      <c r="B2549" s="1">
        <v>46055</v>
      </c>
      <c r="C2549" t="s">
        <v>851</v>
      </c>
      <c r="D2549" t="s">
        <v>339</v>
      </c>
      <c r="E2549">
        <v>5</v>
      </c>
      <c r="F2549">
        <v>5463</v>
      </c>
      <c r="G2549">
        <f>TbReceitas[[#This Row],[quantidade]]*TbReceitas[[#This Row],[preco_unitario]]</f>
        <v>27315</v>
      </c>
      <c r="H2549" t="str">
        <f>TEXT(TbReceitas[[#This Row],[data_transacao]], "aaaa-mm")</f>
        <v>2026-02</v>
      </c>
    </row>
    <row r="2550" spans="1:8">
      <c r="A2550">
        <v>2549</v>
      </c>
      <c r="B2550" s="1">
        <v>45935</v>
      </c>
      <c r="C2550" t="s">
        <v>1530</v>
      </c>
      <c r="D2550" t="s">
        <v>77</v>
      </c>
      <c r="E2550">
        <v>3</v>
      </c>
      <c r="F2550">
        <v>23733</v>
      </c>
      <c r="G2550">
        <f>TbReceitas[[#This Row],[quantidade]]*TbReceitas[[#This Row],[preco_unitario]]</f>
        <v>71199</v>
      </c>
      <c r="H2550" t="str">
        <f>TEXT(TbReceitas[[#This Row],[data_transacao]], "aaaa-mm")</f>
        <v>2025-10</v>
      </c>
    </row>
    <row r="2551" spans="1:8">
      <c r="A2551">
        <v>2550</v>
      </c>
      <c r="B2551" s="1">
        <v>45611</v>
      </c>
      <c r="C2551" t="s">
        <v>1295</v>
      </c>
      <c r="D2551" t="s">
        <v>682</v>
      </c>
      <c r="E2551">
        <v>1</v>
      </c>
      <c r="F2551">
        <v>23494</v>
      </c>
      <c r="G2551">
        <f>TbReceitas[[#This Row],[quantidade]]*TbReceitas[[#This Row],[preco_unitario]]</f>
        <v>23494</v>
      </c>
      <c r="H2551" t="str">
        <f>TEXT(TbReceitas[[#This Row],[data_transacao]], "aaaa-mm")</f>
        <v>2024-11</v>
      </c>
    </row>
    <row r="2552" spans="1:8">
      <c r="A2552">
        <v>2551</v>
      </c>
      <c r="B2552" s="1">
        <v>45813</v>
      </c>
      <c r="C2552" t="s">
        <v>764</v>
      </c>
      <c r="D2552" t="s">
        <v>84</v>
      </c>
      <c r="E2552">
        <v>5</v>
      </c>
      <c r="F2552">
        <v>21541</v>
      </c>
      <c r="G2552">
        <f>TbReceitas[[#This Row],[quantidade]]*TbReceitas[[#This Row],[preco_unitario]]</f>
        <v>107705</v>
      </c>
      <c r="H2552" t="str">
        <f>TEXT(TbReceitas[[#This Row],[data_transacao]], "aaaa-mm")</f>
        <v>2025-06</v>
      </c>
    </row>
    <row r="2553" spans="1:8">
      <c r="A2553">
        <v>2552</v>
      </c>
      <c r="B2553" s="1">
        <v>45902</v>
      </c>
      <c r="C2553" t="s">
        <v>1771</v>
      </c>
      <c r="D2553" t="s">
        <v>39</v>
      </c>
      <c r="E2553">
        <v>5</v>
      </c>
      <c r="F2553">
        <v>12748</v>
      </c>
      <c r="G2553">
        <f>TbReceitas[[#This Row],[quantidade]]*TbReceitas[[#This Row],[preco_unitario]]</f>
        <v>63740</v>
      </c>
      <c r="H2553" t="str">
        <f>TEXT(TbReceitas[[#This Row],[data_transacao]], "aaaa-mm")</f>
        <v>2025-09</v>
      </c>
    </row>
    <row r="2554" spans="1:8">
      <c r="A2554">
        <v>2553</v>
      </c>
      <c r="B2554" s="1">
        <v>45694</v>
      </c>
      <c r="C2554" t="s">
        <v>1772</v>
      </c>
      <c r="D2554" t="s">
        <v>108</v>
      </c>
      <c r="E2554">
        <v>4</v>
      </c>
      <c r="F2554">
        <v>6891</v>
      </c>
      <c r="G2554">
        <f>TbReceitas[[#This Row],[quantidade]]*TbReceitas[[#This Row],[preco_unitario]]</f>
        <v>27564</v>
      </c>
      <c r="H2554" t="str">
        <f>TEXT(TbReceitas[[#This Row],[data_transacao]], "aaaa-mm")</f>
        <v>2025-02</v>
      </c>
    </row>
    <row r="2555" spans="1:8">
      <c r="A2555">
        <v>2554</v>
      </c>
      <c r="B2555" s="1">
        <v>46273</v>
      </c>
      <c r="C2555" t="s">
        <v>1654</v>
      </c>
      <c r="D2555" t="s">
        <v>649</v>
      </c>
      <c r="E2555">
        <v>1</v>
      </c>
      <c r="F2555">
        <v>22268</v>
      </c>
      <c r="G2555">
        <f>TbReceitas[[#This Row],[quantidade]]*TbReceitas[[#This Row],[preco_unitario]]</f>
        <v>22268</v>
      </c>
      <c r="H2555" t="str">
        <f>TEXT(TbReceitas[[#This Row],[data_transacao]], "aaaa-mm")</f>
        <v>2026-09</v>
      </c>
    </row>
    <row r="2556" spans="1:8">
      <c r="A2556">
        <v>2555</v>
      </c>
      <c r="B2556" s="1">
        <v>46260</v>
      </c>
      <c r="C2556" t="s">
        <v>1304</v>
      </c>
      <c r="D2556" t="s">
        <v>474</v>
      </c>
      <c r="E2556">
        <v>2</v>
      </c>
      <c r="F2556">
        <v>10801</v>
      </c>
      <c r="G2556">
        <f>TbReceitas[[#This Row],[quantidade]]*TbReceitas[[#This Row],[preco_unitario]]</f>
        <v>21602</v>
      </c>
      <c r="H2556" t="str">
        <f>TEXT(TbReceitas[[#This Row],[data_transacao]], "aaaa-mm")</f>
        <v>2026-08</v>
      </c>
    </row>
    <row r="2557" spans="1:8">
      <c r="A2557">
        <v>2556</v>
      </c>
      <c r="B2557" s="1">
        <v>45599</v>
      </c>
      <c r="C2557" t="s">
        <v>1719</v>
      </c>
      <c r="D2557" t="s">
        <v>409</v>
      </c>
      <c r="E2557">
        <v>1</v>
      </c>
      <c r="F2557">
        <v>6002</v>
      </c>
      <c r="G2557">
        <f>TbReceitas[[#This Row],[quantidade]]*TbReceitas[[#This Row],[preco_unitario]]</f>
        <v>6002</v>
      </c>
      <c r="H2557" t="str">
        <f>TEXT(TbReceitas[[#This Row],[data_transacao]], "aaaa-mm")</f>
        <v>2024-11</v>
      </c>
    </row>
    <row r="2558" spans="1:8">
      <c r="A2558">
        <v>2557</v>
      </c>
      <c r="B2558" s="1">
        <v>46047</v>
      </c>
      <c r="C2558" t="s">
        <v>1713</v>
      </c>
      <c r="D2558" t="s">
        <v>425</v>
      </c>
      <c r="E2558">
        <v>1</v>
      </c>
      <c r="F2558">
        <v>24879</v>
      </c>
      <c r="G2558">
        <f>TbReceitas[[#This Row],[quantidade]]*TbReceitas[[#This Row],[preco_unitario]]</f>
        <v>24879</v>
      </c>
      <c r="H2558" t="str">
        <f>TEXT(TbReceitas[[#This Row],[data_transacao]], "aaaa-mm")</f>
        <v>2026-01</v>
      </c>
    </row>
    <row r="2559" spans="1:8">
      <c r="A2559">
        <v>2558</v>
      </c>
      <c r="B2559" s="1">
        <v>46143</v>
      </c>
      <c r="C2559" t="s">
        <v>1709</v>
      </c>
      <c r="D2559" t="s">
        <v>242</v>
      </c>
      <c r="E2559">
        <v>2</v>
      </c>
      <c r="F2559">
        <v>21063</v>
      </c>
      <c r="G2559">
        <f>TbReceitas[[#This Row],[quantidade]]*TbReceitas[[#This Row],[preco_unitario]]</f>
        <v>42126</v>
      </c>
      <c r="H2559" t="str">
        <f>TEXT(TbReceitas[[#This Row],[data_transacao]], "aaaa-mm")</f>
        <v>2026-05</v>
      </c>
    </row>
    <row r="2560" spans="1:8">
      <c r="A2560">
        <v>2559</v>
      </c>
      <c r="B2560" s="1">
        <v>46009</v>
      </c>
      <c r="C2560" t="s">
        <v>745</v>
      </c>
      <c r="D2560" t="s">
        <v>668</v>
      </c>
      <c r="E2560">
        <v>3</v>
      </c>
      <c r="F2560">
        <v>11769</v>
      </c>
      <c r="G2560">
        <f>TbReceitas[[#This Row],[quantidade]]*TbReceitas[[#This Row],[preco_unitario]]</f>
        <v>35307</v>
      </c>
      <c r="H2560" t="str">
        <f>TEXT(TbReceitas[[#This Row],[data_transacao]], "aaaa-mm")</f>
        <v>2025-12</v>
      </c>
    </row>
    <row r="2561" spans="1:8">
      <c r="A2561">
        <v>2560</v>
      </c>
      <c r="B2561" s="1">
        <v>45902</v>
      </c>
      <c r="C2561" t="s">
        <v>760</v>
      </c>
      <c r="D2561" t="s">
        <v>478</v>
      </c>
      <c r="E2561">
        <v>5</v>
      </c>
      <c r="F2561">
        <v>18253</v>
      </c>
      <c r="G2561">
        <f>TbReceitas[[#This Row],[quantidade]]*TbReceitas[[#This Row],[preco_unitario]]</f>
        <v>91265</v>
      </c>
      <c r="H2561" t="str">
        <f>TEXT(TbReceitas[[#This Row],[data_transacao]], "aaaa-mm")</f>
        <v>2025-09</v>
      </c>
    </row>
    <row r="2562" spans="1:8">
      <c r="A2562">
        <v>2561</v>
      </c>
      <c r="B2562" s="1">
        <v>45886</v>
      </c>
      <c r="C2562" t="s">
        <v>1075</v>
      </c>
      <c r="D2562" t="s">
        <v>702</v>
      </c>
      <c r="E2562">
        <v>1</v>
      </c>
      <c r="F2562">
        <v>13503</v>
      </c>
      <c r="G2562">
        <f>TbReceitas[[#This Row],[quantidade]]*TbReceitas[[#This Row],[preco_unitario]]</f>
        <v>13503</v>
      </c>
      <c r="H2562" t="str">
        <f>TEXT(TbReceitas[[#This Row],[data_transacao]], "aaaa-mm")</f>
        <v>2025-08</v>
      </c>
    </row>
    <row r="2563" spans="1:8">
      <c r="A2563">
        <v>2562</v>
      </c>
      <c r="B2563" s="1">
        <v>45876</v>
      </c>
      <c r="C2563" t="s">
        <v>1773</v>
      </c>
      <c r="D2563" t="s">
        <v>629</v>
      </c>
      <c r="E2563">
        <v>5</v>
      </c>
      <c r="F2563">
        <v>24931</v>
      </c>
      <c r="G2563">
        <f>TbReceitas[[#This Row],[quantidade]]*TbReceitas[[#This Row],[preco_unitario]]</f>
        <v>124655</v>
      </c>
      <c r="H2563" t="str">
        <f>TEXT(TbReceitas[[#This Row],[data_transacao]], "aaaa-mm")</f>
        <v>2025-08</v>
      </c>
    </row>
    <row r="2564" spans="1:8">
      <c r="A2564">
        <v>2563</v>
      </c>
      <c r="B2564" s="1">
        <v>46008</v>
      </c>
      <c r="C2564" t="s">
        <v>1473</v>
      </c>
      <c r="D2564" t="s">
        <v>406</v>
      </c>
      <c r="E2564">
        <v>3</v>
      </c>
      <c r="F2564">
        <v>22347</v>
      </c>
      <c r="G2564">
        <f>TbReceitas[[#This Row],[quantidade]]*TbReceitas[[#This Row],[preco_unitario]]</f>
        <v>67041</v>
      </c>
      <c r="H2564" t="str">
        <f>TEXT(TbReceitas[[#This Row],[data_transacao]], "aaaa-mm")</f>
        <v>2025-12</v>
      </c>
    </row>
    <row r="2565" spans="1:8">
      <c r="A2565">
        <v>2564</v>
      </c>
      <c r="B2565" s="1">
        <v>45910</v>
      </c>
      <c r="C2565" t="s">
        <v>1643</v>
      </c>
      <c r="D2565" t="s">
        <v>301</v>
      </c>
      <c r="E2565">
        <v>1</v>
      </c>
      <c r="F2565">
        <v>13322</v>
      </c>
      <c r="G2565">
        <f>TbReceitas[[#This Row],[quantidade]]*TbReceitas[[#This Row],[preco_unitario]]</f>
        <v>13322</v>
      </c>
      <c r="H2565" t="str">
        <f>TEXT(TbReceitas[[#This Row],[data_transacao]], "aaaa-mm")</f>
        <v>2025-09</v>
      </c>
    </row>
    <row r="2566" spans="1:8">
      <c r="A2566">
        <v>2565</v>
      </c>
      <c r="B2566" s="1">
        <v>45589</v>
      </c>
      <c r="C2566" t="s">
        <v>910</v>
      </c>
      <c r="D2566" t="s">
        <v>117</v>
      </c>
      <c r="E2566">
        <v>3</v>
      </c>
      <c r="F2566">
        <v>15356</v>
      </c>
      <c r="G2566">
        <f>TbReceitas[[#This Row],[quantidade]]*TbReceitas[[#This Row],[preco_unitario]]</f>
        <v>46068</v>
      </c>
      <c r="H2566" t="str">
        <f>TEXT(TbReceitas[[#This Row],[data_transacao]], "aaaa-mm")</f>
        <v>2024-10</v>
      </c>
    </row>
    <row r="2567" spans="1:8">
      <c r="A2567">
        <v>2566</v>
      </c>
      <c r="B2567" s="1">
        <v>45825</v>
      </c>
      <c r="C2567" t="s">
        <v>1032</v>
      </c>
      <c r="D2567" t="s">
        <v>514</v>
      </c>
      <c r="E2567">
        <v>2</v>
      </c>
      <c r="F2567">
        <v>5936</v>
      </c>
      <c r="G2567">
        <f>TbReceitas[[#This Row],[quantidade]]*TbReceitas[[#This Row],[preco_unitario]]</f>
        <v>11872</v>
      </c>
      <c r="H2567" t="str">
        <f>TEXT(TbReceitas[[#This Row],[data_transacao]], "aaaa-mm")</f>
        <v>2025-06</v>
      </c>
    </row>
    <row r="2568" spans="1:8">
      <c r="A2568">
        <v>2567</v>
      </c>
      <c r="B2568" s="1">
        <v>45875</v>
      </c>
      <c r="C2568" t="s">
        <v>774</v>
      </c>
      <c r="D2568" t="s">
        <v>447</v>
      </c>
      <c r="E2568">
        <v>2</v>
      </c>
      <c r="F2568">
        <v>24885</v>
      </c>
      <c r="G2568">
        <f>TbReceitas[[#This Row],[quantidade]]*TbReceitas[[#This Row],[preco_unitario]]</f>
        <v>49770</v>
      </c>
      <c r="H2568" t="str">
        <f>TEXT(TbReceitas[[#This Row],[data_transacao]], "aaaa-mm")</f>
        <v>2025-08</v>
      </c>
    </row>
    <row r="2569" spans="1:8">
      <c r="A2569">
        <v>2568</v>
      </c>
      <c r="B2569" s="1">
        <v>46195</v>
      </c>
      <c r="C2569" t="s">
        <v>1214</v>
      </c>
      <c r="D2569" t="s">
        <v>682</v>
      </c>
      <c r="E2569">
        <v>4</v>
      </c>
      <c r="F2569">
        <v>23494</v>
      </c>
      <c r="G2569">
        <f>TbReceitas[[#This Row],[quantidade]]*TbReceitas[[#This Row],[preco_unitario]]</f>
        <v>93976</v>
      </c>
      <c r="H2569" t="str">
        <f>TEXT(TbReceitas[[#This Row],[data_transacao]], "aaaa-mm")</f>
        <v>2026-06</v>
      </c>
    </row>
    <row r="2570" spans="1:8">
      <c r="A2570">
        <v>2569</v>
      </c>
      <c r="B2570" s="1">
        <v>46266</v>
      </c>
      <c r="C2570" t="s">
        <v>1774</v>
      </c>
      <c r="D2570" t="s">
        <v>467</v>
      </c>
      <c r="E2570">
        <v>3</v>
      </c>
      <c r="F2570">
        <v>14848</v>
      </c>
      <c r="G2570">
        <f>TbReceitas[[#This Row],[quantidade]]*TbReceitas[[#This Row],[preco_unitario]]</f>
        <v>44544</v>
      </c>
      <c r="H2570" t="str">
        <f>TEXT(TbReceitas[[#This Row],[data_transacao]], "aaaa-mm")</f>
        <v>2026-09</v>
      </c>
    </row>
    <row r="2571" spans="1:8">
      <c r="A2571">
        <v>2570</v>
      </c>
      <c r="B2571" s="1">
        <v>45968</v>
      </c>
      <c r="C2571" t="s">
        <v>1775</v>
      </c>
      <c r="D2571" t="s">
        <v>113</v>
      </c>
      <c r="E2571">
        <v>4</v>
      </c>
      <c r="F2571">
        <v>814</v>
      </c>
      <c r="G2571">
        <f>TbReceitas[[#This Row],[quantidade]]*TbReceitas[[#This Row],[preco_unitario]]</f>
        <v>3256</v>
      </c>
      <c r="H2571" t="str">
        <f>TEXT(TbReceitas[[#This Row],[data_transacao]], "aaaa-mm")</f>
        <v>2025-11</v>
      </c>
    </row>
    <row r="2572" spans="1:8">
      <c r="A2572">
        <v>2571</v>
      </c>
      <c r="B2572" s="1">
        <v>46134</v>
      </c>
      <c r="C2572" t="s">
        <v>1027</v>
      </c>
      <c r="D2572" t="s">
        <v>365</v>
      </c>
      <c r="E2572">
        <v>2</v>
      </c>
      <c r="F2572">
        <v>20402</v>
      </c>
      <c r="G2572">
        <f>TbReceitas[[#This Row],[quantidade]]*TbReceitas[[#This Row],[preco_unitario]]</f>
        <v>40804</v>
      </c>
      <c r="H2572" t="str">
        <f>TEXT(TbReceitas[[#This Row],[data_transacao]], "aaaa-mm")</f>
        <v>2026-04</v>
      </c>
    </row>
    <row r="2573" spans="1:8">
      <c r="A2573">
        <v>2572</v>
      </c>
      <c r="B2573" s="1">
        <v>46261</v>
      </c>
      <c r="C2573" t="s">
        <v>711</v>
      </c>
      <c r="D2573" t="s">
        <v>523</v>
      </c>
      <c r="E2573">
        <v>4</v>
      </c>
      <c r="F2573">
        <v>23523</v>
      </c>
      <c r="G2573">
        <f>TbReceitas[[#This Row],[quantidade]]*TbReceitas[[#This Row],[preco_unitario]]</f>
        <v>94092</v>
      </c>
      <c r="H2573" t="str">
        <f>TEXT(TbReceitas[[#This Row],[data_transacao]], "aaaa-mm")</f>
        <v>2026-08</v>
      </c>
    </row>
    <row r="2574" spans="1:8">
      <c r="A2574">
        <v>2573</v>
      </c>
      <c r="B2574" s="1">
        <v>45981</v>
      </c>
      <c r="C2574" t="s">
        <v>1776</v>
      </c>
      <c r="D2574" t="s">
        <v>567</v>
      </c>
      <c r="E2574">
        <v>4</v>
      </c>
      <c r="F2574">
        <v>15916</v>
      </c>
      <c r="G2574">
        <f>TbReceitas[[#This Row],[quantidade]]*TbReceitas[[#This Row],[preco_unitario]]</f>
        <v>63664</v>
      </c>
      <c r="H2574" t="str">
        <f>TEXT(TbReceitas[[#This Row],[data_transacao]], "aaaa-mm")</f>
        <v>2025-11</v>
      </c>
    </row>
    <row r="2575" spans="1:8">
      <c r="A2575">
        <v>2574</v>
      </c>
      <c r="B2575" s="1">
        <v>46099</v>
      </c>
      <c r="C2575" t="s">
        <v>1490</v>
      </c>
      <c r="D2575" t="s">
        <v>393</v>
      </c>
      <c r="E2575">
        <v>1</v>
      </c>
      <c r="F2575">
        <v>16342</v>
      </c>
      <c r="G2575">
        <f>TbReceitas[[#This Row],[quantidade]]*TbReceitas[[#This Row],[preco_unitario]]</f>
        <v>16342</v>
      </c>
      <c r="H2575" t="str">
        <f>TEXT(TbReceitas[[#This Row],[data_transacao]], "aaaa-mm")</f>
        <v>2026-03</v>
      </c>
    </row>
    <row r="2576" spans="1:8">
      <c r="A2576">
        <v>2575</v>
      </c>
      <c r="B2576" s="1">
        <v>46264</v>
      </c>
      <c r="C2576" t="s">
        <v>1117</v>
      </c>
      <c r="D2576" t="s">
        <v>281</v>
      </c>
      <c r="E2576">
        <v>3</v>
      </c>
      <c r="F2576">
        <v>16864</v>
      </c>
      <c r="G2576">
        <f>TbReceitas[[#This Row],[quantidade]]*TbReceitas[[#This Row],[preco_unitario]]</f>
        <v>50592</v>
      </c>
      <c r="H2576" t="str">
        <f>TEXT(TbReceitas[[#This Row],[data_transacao]], "aaaa-mm")</f>
        <v>2026-08</v>
      </c>
    </row>
    <row r="2577" spans="1:8">
      <c r="A2577">
        <v>2576</v>
      </c>
      <c r="B2577" s="1">
        <v>45879</v>
      </c>
      <c r="C2577" t="s">
        <v>872</v>
      </c>
      <c r="D2577" t="s">
        <v>630</v>
      </c>
      <c r="E2577">
        <v>5</v>
      </c>
      <c r="F2577">
        <v>20654</v>
      </c>
      <c r="G2577">
        <f>TbReceitas[[#This Row],[quantidade]]*TbReceitas[[#This Row],[preco_unitario]]</f>
        <v>103270</v>
      </c>
      <c r="H2577" t="str">
        <f>TEXT(TbReceitas[[#This Row],[data_transacao]], "aaaa-mm")</f>
        <v>2025-08</v>
      </c>
    </row>
    <row r="2578" spans="1:8">
      <c r="A2578">
        <v>2577</v>
      </c>
      <c r="B2578" s="1">
        <v>45603</v>
      </c>
      <c r="C2578" t="s">
        <v>1298</v>
      </c>
      <c r="D2578" t="s">
        <v>204</v>
      </c>
      <c r="E2578">
        <v>1</v>
      </c>
      <c r="F2578">
        <v>34</v>
      </c>
      <c r="G2578">
        <f>TbReceitas[[#This Row],[quantidade]]*TbReceitas[[#This Row],[preco_unitario]]</f>
        <v>34</v>
      </c>
      <c r="H2578" t="str">
        <f>TEXT(TbReceitas[[#This Row],[data_transacao]], "aaaa-mm")</f>
        <v>2024-11</v>
      </c>
    </row>
    <row r="2579" spans="1:8">
      <c r="A2579">
        <v>2578</v>
      </c>
      <c r="B2579" s="1">
        <v>46011</v>
      </c>
      <c r="C2579" t="s">
        <v>1001</v>
      </c>
      <c r="D2579" t="s">
        <v>102</v>
      </c>
      <c r="E2579">
        <v>4</v>
      </c>
      <c r="F2579">
        <v>10748</v>
      </c>
      <c r="G2579">
        <f>TbReceitas[[#This Row],[quantidade]]*TbReceitas[[#This Row],[preco_unitario]]</f>
        <v>42992</v>
      </c>
      <c r="H2579" t="str">
        <f>TEXT(TbReceitas[[#This Row],[data_transacao]], "aaaa-mm")</f>
        <v>2025-12</v>
      </c>
    </row>
    <row r="2580" spans="1:8">
      <c r="A2580">
        <v>2579</v>
      </c>
      <c r="B2580" s="1">
        <v>45800</v>
      </c>
      <c r="C2580" t="s">
        <v>1132</v>
      </c>
      <c r="D2580" t="s">
        <v>347</v>
      </c>
      <c r="E2580">
        <v>4</v>
      </c>
      <c r="F2580">
        <v>19492</v>
      </c>
      <c r="G2580">
        <f>TbReceitas[[#This Row],[quantidade]]*TbReceitas[[#This Row],[preco_unitario]]</f>
        <v>77968</v>
      </c>
      <c r="H2580" t="str">
        <f>TEXT(TbReceitas[[#This Row],[data_transacao]], "aaaa-mm")</f>
        <v>2025-05</v>
      </c>
    </row>
    <row r="2581" spans="1:8">
      <c r="A2581">
        <v>2580</v>
      </c>
      <c r="B2581" s="1">
        <v>46140</v>
      </c>
      <c r="C2581" t="s">
        <v>1687</v>
      </c>
      <c r="D2581" t="s">
        <v>579</v>
      </c>
      <c r="E2581">
        <v>1</v>
      </c>
      <c r="F2581">
        <v>4385</v>
      </c>
      <c r="G2581">
        <f>TbReceitas[[#This Row],[quantidade]]*TbReceitas[[#This Row],[preco_unitario]]</f>
        <v>4385</v>
      </c>
      <c r="H2581" t="str">
        <f>TEXT(TbReceitas[[#This Row],[data_transacao]], "aaaa-mm")</f>
        <v>2026-04</v>
      </c>
    </row>
    <row r="2582" spans="1:8">
      <c r="A2582">
        <v>2581</v>
      </c>
      <c r="B2582" s="1">
        <v>46079</v>
      </c>
      <c r="C2582" t="s">
        <v>1567</v>
      </c>
      <c r="D2582" t="s">
        <v>414</v>
      </c>
      <c r="E2582">
        <v>3</v>
      </c>
      <c r="F2582">
        <v>18008</v>
      </c>
      <c r="G2582">
        <f>TbReceitas[[#This Row],[quantidade]]*TbReceitas[[#This Row],[preco_unitario]]</f>
        <v>54024</v>
      </c>
      <c r="H2582" t="str">
        <f>TEXT(TbReceitas[[#This Row],[data_transacao]], "aaaa-mm")</f>
        <v>2026-02</v>
      </c>
    </row>
    <row r="2583" spans="1:8">
      <c r="A2583">
        <v>2582</v>
      </c>
      <c r="B2583" s="1">
        <v>45774</v>
      </c>
      <c r="C2583" t="s">
        <v>911</v>
      </c>
      <c r="D2583" t="s">
        <v>53</v>
      </c>
      <c r="E2583">
        <v>2</v>
      </c>
      <c r="F2583">
        <v>8689</v>
      </c>
      <c r="G2583">
        <f>TbReceitas[[#This Row],[quantidade]]*TbReceitas[[#This Row],[preco_unitario]]</f>
        <v>17378</v>
      </c>
      <c r="H2583" t="str">
        <f>TEXT(TbReceitas[[#This Row],[data_transacao]], "aaaa-mm")</f>
        <v>2025-04</v>
      </c>
    </row>
    <row r="2584" spans="1:8">
      <c r="A2584">
        <v>2583</v>
      </c>
      <c r="B2584" s="1">
        <v>45742</v>
      </c>
      <c r="C2584" t="s">
        <v>1777</v>
      </c>
      <c r="D2584" t="s">
        <v>373</v>
      </c>
      <c r="E2584">
        <v>4</v>
      </c>
      <c r="F2584">
        <v>20889</v>
      </c>
      <c r="G2584">
        <f>TbReceitas[[#This Row],[quantidade]]*TbReceitas[[#This Row],[preco_unitario]]</f>
        <v>83556</v>
      </c>
      <c r="H2584" t="str">
        <f>TEXT(TbReceitas[[#This Row],[data_transacao]], "aaaa-mm")</f>
        <v>2025-03</v>
      </c>
    </row>
    <row r="2585" spans="1:8">
      <c r="A2585">
        <v>2584</v>
      </c>
      <c r="B2585" s="1">
        <v>46255</v>
      </c>
      <c r="C2585" t="s">
        <v>1631</v>
      </c>
      <c r="D2585" t="s">
        <v>426</v>
      </c>
      <c r="E2585">
        <v>5</v>
      </c>
      <c r="F2585">
        <v>155</v>
      </c>
      <c r="G2585">
        <f>TbReceitas[[#This Row],[quantidade]]*TbReceitas[[#This Row],[preco_unitario]]</f>
        <v>775</v>
      </c>
      <c r="H2585" t="str">
        <f>TEXT(TbReceitas[[#This Row],[data_transacao]], "aaaa-mm")</f>
        <v>2026-08</v>
      </c>
    </row>
    <row r="2586" spans="1:8">
      <c r="A2586">
        <v>2585</v>
      </c>
      <c r="B2586" s="1">
        <v>45662</v>
      </c>
      <c r="C2586" t="s">
        <v>1556</v>
      </c>
      <c r="D2586" t="s">
        <v>475</v>
      </c>
      <c r="E2586">
        <v>1</v>
      </c>
      <c r="F2586">
        <v>22017</v>
      </c>
      <c r="G2586">
        <f>TbReceitas[[#This Row],[quantidade]]*TbReceitas[[#This Row],[preco_unitario]]</f>
        <v>22017</v>
      </c>
      <c r="H2586" t="str">
        <f>TEXT(TbReceitas[[#This Row],[data_transacao]], "aaaa-mm")</f>
        <v>2025-01</v>
      </c>
    </row>
    <row r="2587" spans="1:8">
      <c r="A2587">
        <v>2586</v>
      </c>
      <c r="B2587" s="1">
        <v>45689</v>
      </c>
      <c r="C2587" t="s">
        <v>1073</v>
      </c>
      <c r="D2587" t="s">
        <v>256</v>
      </c>
      <c r="E2587">
        <v>5</v>
      </c>
      <c r="F2587">
        <v>9187</v>
      </c>
      <c r="G2587">
        <f>TbReceitas[[#This Row],[quantidade]]*TbReceitas[[#This Row],[preco_unitario]]</f>
        <v>45935</v>
      </c>
      <c r="H2587" t="str">
        <f>TEXT(TbReceitas[[#This Row],[data_transacao]], "aaaa-mm")</f>
        <v>2025-02</v>
      </c>
    </row>
    <row r="2588" spans="1:8">
      <c r="A2588">
        <v>2587</v>
      </c>
      <c r="B2588" s="1">
        <v>45801</v>
      </c>
      <c r="C2588" t="s">
        <v>1754</v>
      </c>
      <c r="D2588" t="s">
        <v>1716</v>
      </c>
      <c r="E2588">
        <v>4</v>
      </c>
      <c r="F2588">
        <v>4146</v>
      </c>
      <c r="G2588">
        <f>TbReceitas[[#This Row],[quantidade]]*TbReceitas[[#This Row],[preco_unitario]]</f>
        <v>16584</v>
      </c>
      <c r="H2588" t="str">
        <f>TEXT(TbReceitas[[#This Row],[data_transacao]], "aaaa-mm")</f>
        <v>2025-05</v>
      </c>
    </row>
    <row r="2589" spans="1:8">
      <c r="A2589">
        <v>2588</v>
      </c>
      <c r="B2589" s="1">
        <v>46040</v>
      </c>
      <c r="C2589" t="s">
        <v>1778</v>
      </c>
      <c r="D2589" t="s">
        <v>445</v>
      </c>
      <c r="E2589">
        <v>3</v>
      </c>
      <c r="F2589">
        <v>20681</v>
      </c>
      <c r="G2589">
        <f>TbReceitas[[#This Row],[quantidade]]*TbReceitas[[#This Row],[preco_unitario]]</f>
        <v>62043</v>
      </c>
      <c r="H2589" t="str">
        <f>TEXT(TbReceitas[[#This Row],[data_transacao]], "aaaa-mm")</f>
        <v>2026-01</v>
      </c>
    </row>
    <row r="2590" spans="1:8">
      <c r="A2590">
        <v>2589</v>
      </c>
      <c r="B2590" s="1">
        <v>46049</v>
      </c>
      <c r="C2590" t="s">
        <v>1432</v>
      </c>
      <c r="D2590" t="s">
        <v>293</v>
      </c>
      <c r="E2590">
        <v>2</v>
      </c>
      <c r="F2590">
        <v>7737</v>
      </c>
      <c r="G2590">
        <f>TbReceitas[[#This Row],[quantidade]]*TbReceitas[[#This Row],[preco_unitario]]</f>
        <v>15474</v>
      </c>
      <c r="H2590" t="str">
        <f>TEXT(TbReceitas[[#This Row],[data_transacao]], "aaaa-mm")</f>
        <v>2026-01</v>
      </c>
    </row>
    <row r="2591" spans="1:8">
      <c r="A2591">
        <v>2590</v>
      </c>
      <c r="B2591" s="1">
        <v>45744</v>
      </c>
      <c r="C2591" t="s">
        <v>1222</v>
      </c>
      <c r="D2591" t="s">
        <v>561</v>
      </c>
      <c r="E2591">
        <v>1</v>
      </c>
      <c r="F2591">
        <v>878</v>
      </c>
      <c r="G2591">
        <f>TbReceitas[[#This Row],[quantidade]]*TbReceitas[[#This Row],[preco_unitario]]</f>
        <v>878</v>
      </c>
      <c r="H2591" t="str">
        <f>TEXT(TbReceitas[[#This Row],[data_transacao]], "aaaa-mm")</f>
        <v>2025-03</v>
      </c>
    </row>
    <row r="2592" spans="1:8">
      <c r="A2592">
        <v>2591</v>
      </c>
      <c r="B2592" s="1">
        <v>45631</v>
      </c>
      <c r="C2592" t="s">
        <v>1778</v>
      </c>
      <c r="D2592" t="s">
        <v>474</v>
      </c>
      <c r="E2592">
        <v>1</v>
      </c>
      <c r="F2592">
        <v>10801</v>
      </c>
      <c r="G2592">
        <f>TbReceitas[[#This Row],[quantidade]]*TbReceitas[[#This Row],[preco_unitario]]</f>
        <v>10801</v>
      </c>
      <c r="H2592" t="str">
        <f>TEXT(TbReceitas[[#This Row],[data_transacao]], "aaaa-mm")</f>
        <v>2024-12</v>
      </c>
    </row>
    <row r="2593" spans="1:8">
      <c r="A2593">
        <v>2592</v>
      </c>
      <c r="B2593" s="1">
        <v>45611</v>
      </c>
      <c r="C2593" t="s">
        <v>798</v>
      </c>
      <c r="D2593" t="s">
        <v>1000</v>
      </c>
      <c r="E2593">
        <v>3</v>
      </c>
      <c r="F2593">
        <v>21329</v>
      </c>
      <c r="G2593">
        <f>TbReceitas[[#This Row],[quantidade]]*TbReceitas[[#This Row],[preco_unitario]]</f>
        <v>63987</v>
      </c>
      <c r="H2593" t="str">
        <f>TEXT(TbReceitas[[#This Row],[data_transacao]], "aaaa-mm")</f>
        <v>2024-11</v>
      </c>
    </row>
    <row r="2594" spans="1:8">
      <c r="A2594">
        <v>2593</v>
      </c>
      <c r="B2594" s="1">
        <v>46273</v>
      </c>
      <c r="C2594" t="s">
        <v>1779</v>
      </c>
      <c r="D2594" t="s">
        <v>544</v>
      </c>
      <c r="E2594">
        <v>5</v>
      </c>
      <c r="F2594">
        <v>13184</v>
      </c>
      <c r="G2594">
        <f>TbReceitas[[#This Row],[quantidade]]*TbReceitas[[#This Row],[preco_unitario]]</f>
        <v>65920</v>
      </c>
      <c r="H2594" t="str">
        <f>TEXT(TbReceitas[[#This Row],[data_transacao]], "aaaa-mm")</f>
        <v>2026-09</v>
      </c>
    </row>
    <row r="2595" spans="1:8">
      <c r="A2595">
        <v>2594</v>
      </c>
      <c r="B2595" s="1">
        <v>46257</v>
      </c>
      <c r="C2595" t="s">
        <v>728</v>
      </c>
      <c r="D2595" t="s">
        <v>510</v>
      </c>
      <c r="E2595">
        <v>2</v>
      </c>
      <c r="F2595">
        <v>16197</v>
      </c>
      <c r="G2595">
        <f>TbReceitas[[#This Row],[quantidade]]*TbReceitas[[#This Row],[preco_unitario]]</f>
        <v>32394</v>
      </c>
      <c r="H2595" t="str">
        <f>TEXT(TbReceitas[[#This Row],[data_transacao]], "aaaa-mm")</f>
        <v>2026-08</v>
      </c>
    </row>
    <row r="2596" spans="1:8">
      <c r="A2596">
        <v>2595</v>
      </c>
      <c r="B2596" s="1">
        <v>46086</v>
      </c>
      <c r="C2596" t="s">
        <v>1728</v>
      </c>
      <c r="D2596" t="s">
        <v>481</v>
      </c>
      <c r="E2596">
        <v>2</v>
      </c>
      <c r="F2596">
        <v>23782</v>
      </c>
      <c r="G2596">
        <f>TbReceitas[[#This Row],[quantidade]]*TbReceitas[[#This Row],[preco_unitario]]</f>
        <v>47564</v>
      </c>
      <c r="H2596" t="str">
        <f>TEXT(TbReceitas[[#This Row],[data_transacao]], "aaaa-mm")</f>
        <v>2026-03</v>
      </c>
    </row>
    <row r="2597" spans="1:8">
      <c r="A2597">
        <v>2596</v>
      </c>
      <c r="B2597" s="1">
        <v>45698</v>
      </c>
      <c r="C2597" t="s">
        <v>833</v>
      </c>
      <c r="D2597" t="s">
        <v>464</v>
      </c>
      <c r="E2597">
        <v>3</v>
      </c>
      <c r="F2597">
        <v>10835</v>
      </c>
      <c r="G2597">
        <f>TbReceitas[[#This Row],[quantidade]]*TbReceitas[[#This Row],[preco_unitario]]</f>
        <v>32505</v>
      </c>
      <c r="H2597" t="str">
        <f>TEXT(TbReceitas[[#This Row],[data_transacao]], "aaaa-mm")</f>
        <v>2025-02</v>
      </c>
    </row>
    <row r="2598" spans="1:8">
      <c r="A2598">
        <v>2597</v>
      </c>
      <c r="B2598" s="1">
        <v>45590</v>
      </c>
      <c r="C2598" t="s">
        <v>1070</v>
      </c>
      <c r="D2598" t="s">
        <v>142</v>
      </c>
      <c r="E2598">
        <v>2</v>
      </c>
      <c r="F2598">
        <v>3871</v>
      </c>
      <c r="G2598">
        <f>TbReceitas[[#This Row],[quantidade]]*TbReceitas[[#This Row],[preco_unitario]]</f>
        <v>7742</v>
      </c>
      <c r="H2598" t="str">
        <f>TEXT(TbReceitas[[#This Row],[data_transacao]], "aaaa-mm")</f>
        <v>2024-10</v>
      </c>
    </row>
    <row r="2599" spans="1:8">
      <c r="A2599">
        <v>2598</v>
      </c>
      <c r="B2599" s="1">
        <v>45970</v>
      </c>
      <c r="C2599" t="s">
        <v>763</v>
      </c>
      <c r="D2599" t="s">
        <v>1321</v>
      </c>
      <c r="E2599">
        <v>1</v>
      </c>
      <c r="F2599">
        <v>12315</v>
      </c>
      <c r="G2599">
        <f>TbReceitas[[#This Row],[quantidade]]*TbReceitas[[#This Row],[preco_unitario]]</f>
        <v>12315</v>
      </c>
      <c r="H2599" t="str">
        <f>TEXT(TbReceitas[[#This Row],[data_transacao]], "aaaa-mm")</f>
        <v>2025-11</v>
      </c>
    </row>
    <row r="2600" spans="1:8">
      <c r="A2600">
        <v>2599</v>
      </c>
      <c r="B2600" s="1">
        <v>45647</v>
      </c>
      <c r="C2600" t="s">
        <v>1536</v>
      </c>
      <c r="D2600" t="s">
        <v>404</v>
      </c>
      <c r="E2600">
        <v>4</v>
      </c>
      <c r="F2600">
        <v>23298</v>
      </c>
      <c r="G2600">
        <f>TbReceitas[[#This Row],[quantidade]]*TbReceitas[[#This Row],[preco_unitario]]</f>
        <v>93192</v>
      </c>
      <c r="H2600" t="str">
        <f>TEXT(TbReceitas[[#This Row],[data_transacao]], "aaaa-mm")</f>
        <v>2024-12</v>
      </c>
    </row>
    <row r="2601" spans="1:8">
      <c r="A2601">
        <v>2600</v>
      </c>
      <c r="B2601" s="1">
        <v>46110</v>
      </c>
      <c r="C2601" t="s">
        <v>1462</v>
      </c>
      <c r="D2601" t="s">
        <v>291</v>
      </c>
      <c r="E2601">
        <v>2</v>
      </c>
      <c r="F2601">
        <v>24715</v>
      </c>
      <c r="G2601">
        <f>TbReceitas[[#This Row],[quantidade]]*TbReceitas[[#This Row],[preco_unitario]]</f>
        <v>49430</v>
      </c>
      <c r="H2601" t="str">
        <f>TEXT(TbReceitas[[#This Row],[data_transacao]], "aaaa-mm")</f>
        <v>2026-03</v>
      </c>
    </row>
    <row r="2602" spans="1:8">
      <c r="A2602">
        <v>2601</v>
      </c>
      <c r="B2602" s="1">
        <v>45970</v>
      </c>
      <c r="C2602" t="s">
        <v>787</v>
      </c>
      <c r="D2602" t="s">
        <v>17</v>
      </c>
      <c r="E2602">
        <v>4</v>
      </c>
      <c r="F2602">
        <v>18565</v>
      </c>
      <c r="G2602">
        <f>TbReceitas[[#This Row],[quantidade]]*TbReceitas[[#This Row],[preco_unitario]]</f>
        <v>74260</v>
      </c>
      <c r="H2602" t="str">
        <f>TEXT(TbReceitas[[#This Row],[data_transacao]], "aaaa-mm")</f>
        <v>2025-11</v>
      </c>
    </row>
    <row r="2603" spans="1:8">
      <c r="A2603">
        <v>2602</v>
      </c>
      <c r="B2603" s="1">
        <v>45849</v>
      </c>
      <c r="C2603" t="s">
        <v>828</v>
      </c>
      <c r="D2603" t="s">
        <v>611</v>
      </c>
      <c r="E2603">
        <v>5</v>
      </c>
      <c r="F2603">
        <v>20719</v>
      </c>
      <c r="G2603">
        <f>TbReceitas[[#This Row],[quantidade]]*TbReceitas[[#This Row],[preco_unitario]]</f>
        <v>103595</v>
      </c>
      <c r="H2603" t="str">
        <f>TEXT(TbReceitas[[#This Row],[data_transacao]], "aaaa-mm")</f>
        <v>2025-07</v>
      </c>
    </row>
    <row r="2604" spans="1:8">
      <c r="A2604">
        <v>2603</v>
      </c>
      <c r="B2604" s="1">
        <v>45643</v>
      </c>
      <c r="C2604" t="s">
        <v>1436</v>
      </c>
      <c r="D2604" t="s">
        <v>148</v>
      </c>
      <c r="E2604">
        <v>3</v>
      </c>
      <c r="F2604">
        <v>20605</v>
      </c>
      <c r="G2604">
        <f>TbReceitas[[#This Row],[quantidade]]*TbReceitas[[#This Row],[preco_unitario]]</f>
        <v>61815</v>
      </c>
      <c r="H2604" t="str">
        <f>TEXT(TbReceitas[[#This Row],[data_transacao]], "aaaa-mm")</f>
        <v>2024-12</v>
      </c>
    </row>
    <row r="2605" spans="1:8">
      <c r="A2605">
        <v>2604</v>
      </c>
      <c r="B2605" s="1">
        <v>46081</v>
      </c>
      <c r="C2605" t="s">
        <v>1780</v>
      </c>
      <c r="D2605" t="s">
        <v>115</v>
      </c>
      <c r="E2605">
        <v>3</v>
      </c>
      <c r="F2605">
        <v>10588</v>
      </c>
      <c r="G2605">
        <f>TbReceitas[[#This Row],[quantidade]]*TbReceitas[[#This Row],[preco_unitario]]</f>
        <v>31764</v>
      </c>
      <c r="H2605" t="str">
        <f>TEXT(TbReceitas[[#This Row],[data_transacao]], "aaaa-mm")</f>
        <v>2026-02</v>
      </c>
    </row>
    <row r="2606" spans="1:8">
      <c r="A2606">
        <v>2605</v>
      </c>
      <c r="B2606" s="1">
        <v>46056</v>
      </c>
      <c r="C2606" t="s">
        <v>1781</v>
      </c>
      <c r="D2606" t="s">
        <v>386</v>
      </c>
      <c r="E2606">
        <v>5</v>
      </c>
      <c r="F2606">
        <v>14646</v>
      </c>
      <c r="G2606">
        <f>TbReceitas[[#This Row],[quantidade]]*TbReceitas[[#This Row],[preco_unitario]]</f>
        <v>73230</v>
      </c>
      <c r="H2606" t="str">
        <f>TEXT(TbReceitas[[#This Row],[data_transacao]], "aaaa-mm")</f>
        <v>2026-02</v>
      </c>
    </row>
    <row r="2607" spans="1:8">
      <c r="A2607">
        <v>2606</v>
      </c>
      <c r="B2607" s="1">
        <v>45682</v>
      </c>
      <c r="C2607" t="s">
        <v>1229</v>
      </c>
      <c r="D2607" t="s">
        <v>419</v>
      </c>
      <c r="E2607">
        <v>4</v>
      </c>
      <c r="F2607">
        <v>22234</v>
      </c>
      <c r="G2607">
        <f>TbReceitas[[#This Row],[quantidade]]*TbReceitas[[#This Row],[preco_unitario]]</f>
        <v>88936</v>
      </c>
      <c r="H2607" t="str">
        <f>TEXT(TbReceitas[[#This Row],[data_transacao]], "aaaa-mm")</f>
        <v>2025-01</v>
      </c>
    </row>
    <row r="2608" spans="1:8">
      <c r="A2608">
        <v>2607</v>
      </c>
      <c r="B2608" s="1">
        <v>46100</v>
      </c>
      <c r="C2608" t="s">
        <v>1170</v>
      </c>
      <c r="D2608" t="s">
        <v>457</v>
      </c>
      <c r="E2608">
        <v>4</v>
      </c>
      <c r="F2608">
        <v>19353</v>
      </c>
      <c r="G2608">
        <f>TbReceitas[[#This Row],[quantidade]]*TbReceitas[[#This Row],[preco_unitario]]</f>
        <v>77412</v>
      </c>
      <c r="H2608" t="str">
        <f>TEXT(TbReceitas[[#This Row],[data_transacao]], "aaaa-mm")</f>
        <v>2026-03</v>
      </c>
    </row>
    <row r="2609" spans="1:8">
      <c r="A2609">
        <v>2608</v>
      </c>
      <c r="B2609" s="1">
        <v>45996</v>
      </c>
      <c r="C2609" t="s">
        <v>1782</v>
      </c>
      <c r="D2609" t="s">
        <v>228</v>
      </c>
      <c r="E2609">
        <v>3</v>
      </c>
      <c r="F2609">
        <v>6348</v>
      </c>
      <c r="G2609">
        <f>TbReceitas[[#This Row],[quantidade]]*TbReceitas[[#This Row],[preco_unitario]]</f>
        <v>19044</v>
      </c>
      <c r="H2609" t="str">
        <f>TEXT(TbReceitas[[#This Row],[data_transacao]], "aaaa-mm")</f>
        <v>2025-12</v>
      </c>
    </row>
    <row r="2610" spans="1:8">
      <c r="A2610">
        <v>2609</v>
      </c>
      <c r="B2610" s="1">
        <v>46130</v>
      </c>
      <c r="C2610" t="s">
        <v>1584</v>
      </c>
      <c r="D2610" t="s">
        <v>324</v>
      </c>
      <c r="E2610">
        <v>4</v>
      </c>
      <c r="F2610">
        <v>16348</v>
      </c>
      <c r="G2610">
        <f>TbReceitas[[#This Row],[quantidade]]*TbReceitas[[#This Row],[preco_unitario]]</f>
        <v>65392</v>
      </c>
      <c r="H2610" t="str">
        <f>TEXT(TbReceitas[[#This Row],[data_transacao]], "aaaa-mm")</f>
        <v>2026-04</v>
      </c>
    </row>
    <row r="2611" spans="1:8">
      <c r="A2611">
        <v>2610</v>
      </c>
      <c r="B2611" s="1">
        <v>45629</v>
      </c>
      <c r="C2611" t="s">
        <v>777</v>
      </c>
      <c r="D2611" t="s">
        <v>519</v>
      </c>
      <c r="E2611">
        <v>4</v>
      </c>
      <c r="F2611">
        <v>5599</v>
      </c>
      <c r="G2611">
        <f>TbReceitas[[#This Row],[quantidade]]*TbReceitas[[#This Row],[preco_unitario]]</f>
        <v>22396</v>
      </c>
      <c r="H2611" t="str">
        <f>TEXT(TbReceitas[[#This Row],[data_transacao]], "aaaa-mm")</f>
        <v>2024-12</v>
      </c>
    </row>
    <row r="2612" spans="1:8">
      <c r="A2612">
        <v>2611</v>
      </c>
      <c r="B2612" s="1">
        <v>45562</v>
      </c>
      <c r="C2612" t="s">
        <v>1769</v>
      </c>
      <c r="D2612" t="s">
        <v>626</v>
      </c>
      <c r="E2612">
        <v>1</v>
      </c>
      <c r="F2612">
        <v>17147</v>
      </c>
      <c r="G2612">
        <f>TbReceitas[[#This Row],[quantidade]]*TbReceitas[[#This Row],[preco_unitario]]</f>
        <v>17147</v>
      </c>
      <c r="H2612" t="str">
        <f>TEXT(TbReceitas[[#This Row],[data_transacao]], "aaaa-mm")</f>
        <v>2024-09</v>
      </c>
    </row>
    <row r="2613" spans="1:8">
      <c r="A2613">
        <v>2612</v>
      </c>
      <c r="B2613" s="1">
        <v>45860</v>
      </c>
      <c r="C2613" t="s">
        <v>1669</v>
      </c>
      <c r="D2613" t="s">
        <v>57</v>
      </c>
      <c r="E2613">
        <v>3</v>
      </c>
      <c r="F2613">
        <v>17735</v>
      </c>
      <c r="G2613">
        <f>TbReceitas[[#This Row],[quantidade]]*TbReceitas[[#This Row],[preco_unitario]]</f>
        <v>53205</v>
      </c>
      <c r="H2613" t="str">
        <f>TEXT(TbReceitas[[#This Row],[data_transacao]], "aaaa-mm")</f>
        <v>2025-07</v>
      </c>
    </row>
    <row r="2614" spans="1:8">
      <c r="A2614">
        <v>2613</v>
      </c>
      <c r="B2614" s="1">
        <v>45968</v>
      </c>
      <c r="C2614" t="s">
        <v>1295</v>
      </c>
      <c r="D2614" t="s">
        <v>196</v>
      </c>
      <c r="E2614">
        <v>4</v>
      </c>
      <c r="F2614">
        <v>8167</v>
      </c>
      <c r="G2614">
        <f>TbReceitas[[#This Row],[quantidade]]*TbReceitas[[#This Row],[preco_unitario]]</f>
        <v>32668</v>
      </c>
      <c r="H2614" t="str">
        <f>TEXT(TbReceitas[[#This Row],[data_transacao]], "aaaa-mm")</f>
        <v>2025-11</v>
      </c>
    </row>
    <row r="2615" spans="1:8">
      <c r="A2615">
        <v>2614</v>
      </c>
      <c r="B2615" s="1">
        <v>45777</v>
      </c>
      <c r="C2615" t="s">
        <v>1643</v>
      </c>
      <c r="D2615" t="s">
        <v>1447</v>
      </c>
      <c r="E2615">
        <v>4</v>
      </c>
      <c r="F2615">
        <v>2613</v>
      </c>
      <c r="G2615">
        <f>TbReceitas[[#This Row],[quantidade]]*TbReceitas[[#This Row],[preco_unitario]]</f>
        <v>10452</v>
      </c>
      <c r="H2615" t="str">
        <f>TEXT(TbReceitas[[#This Row],[data_transacao]], "aaaa-mm")</f>
        <v>2025-04</v>
      </c>
    </row>
    <row r="2616" spans="1:8">
      <c r="A2616">
        <v>2615</v>
      </c>
      <c r="B2616" s="1">
        <v>45966</v>
      </c>
      <c r="C2616" t="s">
        <v>803</v>
      </c>
      <c r="D2616" t="s">
        <v>535</v>
      </c>
      <c r="E2616">
        <v>2</v>
      </c>
      <c r="F2616">
        <v>24784</v>
      </c>
      <c r="G2616">
        <f>TbReceitas[[#This Row],[quantidade]]*TbReceitas[[#This Row],[preco_unitario]]</f>
        <v>49568</v>
      </c>
      <c r="H2616" t="str">
        <f>TEXT(TbReceitas[[#This Row],[data_transacao]], "aaaa-mm")</f>
        <v>2025-11</v>
      </c>
    </row>
    <row r="2617" spans="1:8">
      <c r="A2617">
        <v>2616</v>
      </c>
      <c r="B2617" s="1">
        <v>46245</v>
      </c>
      <c r="C2617" t="s">
        <v>767</v>
      </c>
      <c r="D2617" t="s">
        <v>45</v>
      </c>
      <c r="E2617">
        <v>5</v>
      </c>
      <c r="F2617">
        <v>17287</v>
      </c>
      <c r="G2617">
        <f>TbReceitas[[#This Row],[quantidade]]*TbReceitas[[#This Row],[preco_unitario]]</f>
        <v>86435</v>
      </c>
      <c r="H2617" t="str">
        <f>TEXT(TbReceitas[[#This Row],[data_transacao]], "aaaa-mm")</f>
        <v>2026-08</v>
      </c>
    </row>
    <row r="2618" spans="1:8">
      <c r="A2618">
        <v>2617</v>
      </c>
      <c r="B2618" s="1">
        <v>45606</v>
      </c>
      <c r="C2618" t="s">
        <v>1284</v>
      </c>
      <c r="D2618" t="s">
        <v>45</v>
      </c>
      <c r="E2618">
        <v>3</v>
      </c>
      <c r="F2618">
        <v>17287</v>
      </c>
      <c r="G2618">
        <f>TbReceitas[[#This Row],[quantidade]]*TbReceitas[[#This Row],[preco_unitario]]</f>
        <v>51861</v>
      </c>
      <c r="H2618" t="str">
        <f>TEXT(TbReceitas[[#This Row],[data_transacao]], "aaaa-mm")</f>
        <v>2024-11</v>
      </c>
    </row>
    <row r="2619" spans="1:8">
      <c r="A2619">
        <v>2618</v>
      </c>
      <c r="B2619" s="1">
        <v>45793</v>
      </c>
      <c r="C2619" t="s">
        <v>1530</v>
      </c>
      <c r="D2619" t="s">
        <v>316</v>
      </c>
      <c r="E2619">
        <v>1</v>
      </c>
      <c r="F2619">
        <v>4372</v>
      </c>
      <c r="G2619">
        <f>TbReceitas[[#This Row],[quantidade]]*TbReceitas[[#This Row],[preco_unitario]]</f>
        <v>4372</v>
      </c>
      <c r="H2619" t="str">
        <f>TEXT(TbReceitas[[#This Row],[data_transacao]], "aaaa-mm")</f>
        <v>2025-05</v>
      </c>
    </row>
    <row r="2620" spans="1:8">
      <c r="A2620">
        <v>2619</v>
      </c>
      <c r="B2620" s="1">
        <v>46273</v>
      </c>
      <c r="C2620" t="s">
        <v>776</v>
      </c>
      <c r="D2620" t="s">
        <v>109</v>
      </c>
      <c r="E2620">
        <v>1</v>
      </c>
      <c r="F2620">
        <v>23302</v>
      </c>
      <c r="G2620">
        <f>TbReceitas[[#This Row],[quantidade]]*TbReceitas[[#This Row],[preco_unitario]]</f>
        <v>23302</v>
      </c>
      <c r="H2620" t="str">
        <f>TEXT(TbReceitas[[#This Row],[data_transacao]], "aaaa-mm")</f>
        <v>2026-09</v>
      </c>
    </row>
    <row r="2621" spans="1:8">
      <c r="A2621">
        <v>2620</v>
      </c>
      <c r="B2621" s="1">
        <v>45634</v>
      </c>
      <c r="C2621" t="s">
        <v>802</v>
      </c>
      <c r="D2621" t="s">
        <v>133</v>
      </c>
      <c r="E2621">
        <v>1</v>
      </c>
      <c r="F2621">
        <v>1345</v>
      </c>
      <c r="G2621">
        <f>TbReceitas[[#This Row],[quantidade]]*TbReceitas[[#This Row],[preco_unitario]]</f>
        <v>1345</v>
      </c>
      <c r="H2621" t="str">
        <f>TEXT(TbReceitas[[#This Row],[data_transacao]], "aaaa-mm")</f>
        <v>2024-12</v>
      </c>
    </row>
    <row r="2622" spans="1:8">
      <c r="A2622">
        <v>2621</v>
      </c>
      <c r="B2622" s="1">
        <v>46165</v>
      </c>
      <c r="C2622" t="s">
        <v>1423</v>
      </c>
      <c r="D2622" t="s">
        <v>601</v>
      </c>
      <c r="E2622">
        <v>1</v>
      </c>
      <c r="F2622">
        <v>24408</v>
      </c>
      <c r="G2622">
        <f>TbReceitas[[#This Row],[quantidade]]*TbReceitas[[#This Row],[preco_unitario]]</f>
        <v>24408</v>
      </c>
      <c r="H2622" t="str">
        <f>TEXT(TbReceitas[[#This Row],[data_transacao]], "aaaa-mm")</f>
        <v>2026-05</v>
      </c>
    </row>
    <row r="2623" spans="1:8">
      <c r="A2623">
        <v>2622</v>
      </c>
      <c r="B2623" s="1">
        <v>45627</v>
      </c>
      <c r="C2623" t="s">
        <v>931</v>
      </c>
      <c r="D2623" t="s">
        <v>385</v>
      </c>
      <c r="E2623">
        <v>1</v>
      </c>
      <c r="F2623">
        <v>10607</v>
      </c>
      <c r="G2623">
        <f>TbReceitas[[#This Row],[quantidade]]*TbReceitas[[#This Row],[preco_unitario]]</f>
        <v>10607</v>
      </c>
      <c r="H2623" t="str">
        <f>TEXT(TbReceitas[[#This Row],[data_transacao]], "aaaa-mm")</f>
        <v>2024-12</v>
      </c>
    </row>
    <row r="2624" spans="1:8">
      <c r="A2624">
        <v>2623</v>
      </c>
      <c r="B2624" s="1">
        <v>45960</v>
      </c>
      <c r="C2624" t="s">
        <v>1137</v>
      </c>
      <c r="D2624" t="s">
        <v>36</v>
      </c>
      <c r="E2624">
        <v>3</v>
      </c>
      <c r="F2624">
        <v>20503</v>
      </c>
      <c r="G2624">
        <f>TbReceitas[[#This Row],[quantidade]]*TbReceitas[[#This Row],[preco_unitario]]</f>
        <v>61509</v>
      </c>
      <c r="H2624" t="str">
        <f>TEXT(TbReceitas[[#This Row],[data_transacao]], "aaaa-mm")</f>
        <v>2025-10</v>
      </c>
    </row>
    <row r="2625" spans="1:8">
      <c r="A2625">
        <v>2624</v>
      </c>
      <c r="B2625" s="1">
        <v>45941</v>
      </c>
      <c r="C2625" t="s">
        <v>777</v>
      </c>
      <c r="D2625" t="s">
        <v>295</v>
      </c>
      <c r="E2625">
        <v>3</v>
      </c>
      <c r="F2625">
        <v>15397</v>
      </c>
      <c r="G2625">
        <f>TbReceitas[[#This Row],[quantidade]]*TbReceitas[[#This Row],[preco_unitario]]</f>
        <v>46191</v>
      </c>
      <c r="H2625" t="str">
        <f>TEXT(TbReceitas[[#This Row],[data_transacao]], "aaaa-mm")</f>
        <v>2025-10</v>
      </c>
    </row>
    <row r="2626" spans="1:8">
      <c r="A2626">
        <v>2625</v>
      </c>
      <c r="B2626" s="1">
        <v>46101</v>
      </c>
      <c r="C2626" t="s">
        <v>1081</v>
      </c>
      <c r="D2626" t="s">
        <v>80</v>
      </c>
      <c r="E2626">
        <v>2</v>
      </c>
      <c r="F2626">
        <v>846</v>
      </c>
      <c r="G2626">
        <f>TbReceitas[[#This Row],[quantidade]]*TbReceitas[[#This Row],[preco_unitario]]</f>
        <v>1692</v>
      </c>
      <c r="H2626" t="str">
        <f>TEXT(TbReceitas[[#This Row],[data_transacao]], "aaaa-mm")</f>
        <v>2026-03</v>
      </c>
    </row>
    <row r="2627" spans="1:8">
      <c r="A2627">
        <v>2626</v>
      </c>
      <c r="B2627" s="1">
        <v>45661</v>
      </c>
      <c r="C2627" t="s">
        <v>1783</v>
      </c>
      <c r="D2627" t="s">
        <v>525</v>
      </c>
      <c r="E2627">
        <v>4</v>
      </c>
      <c r="F2627">
        <v>5995</v>
      </c>
      <c r="G2627">
        <f>TbReceitas[[#This Row],[quantidade]]*TbReceitas[[#This Row],[preco_unitario]]</f>
        <v>23980</v>
      </c>
      <c r="H2627" t="str">
        <f>TEXT(TbReceitas[[#This Row],[data_transacao]], "aaaa-mm")</f>
        <v>2025-01</v>
      </c>
    </row>
    <row r="2628" spans="1:8">
      <c r="A2628">
        <v>2627</v>
      </c>
      <c r="B2628" s="1">
        <v>45984</v>
      </c>
      <c r="C2628" t="s">
        <v>942</v>
      </c>
      <c r="D2628" t="s">
        <v>606</v>
      </c>
      <c r="E2628">
        <v>5</v>
      </c>
      <c r="F2628">
        <v>7402</v>
      </c>
      <c r="G2628">
        <f>TbReceitas[[#This Row],[quantidade]]*TbReceitas[[#This Row],[preco_unitario]]</f>
        <v>37010</v>
      </c>
      <c r="H2628" t="str">
        <f>TEXT(TbReceitas[[#This Row],[data_transacao]], "aaaa-mm")</f>
        <v>2025-11</v>
      </c>
    </row>
    <row r="2629" spans="1:8">
      <c r="A2629">
        <v>2628</v>
      </c>
      <c r="B2629" s="1">
        <v>46037</v>
      </c>
      <c r="C2629" t="s">
        <v>1561</v>
      </c>
      <c r="D2629" t="s">
        <v>321</v>
      </c>
      <c r="E2629">
        <v>1</v>
      </c>
      <c r="F2629">
        <v>8412</v>
      </c>
      <c r="G2629">
        <f>TbReceitas[[#This Row],[quantidade]]*TbReceitas[[#This Row],[preco_unitario]]</f>
        <v>8412</v>
      </c>
      <c r="H2629" t="str">
        <f>TEXT(TbReceitas[[#This Row],[data_transacao]], "aaaa-mm")</f>
        <v>2026-01</v>
      </c>
    </row>
    <row r="2630" spans="1:8">
      <c r="A2630">
        <v>2629</v>
      </c>
      <c r="B2630" s="1">
        <v>46253</v>
      </c>
      <c r="C2630" t="s">
        <v>1072</v>
      </c>
      <c r="D2630" t="s">
        <v>1356</v>
      </c>
      <c r="E2630">
        <v>2</v>
      </c>
      <c r="F2630">
        <v>4139</v>
      </c>
      <c r="G2630">
        <f>TbReceitas[[#This Row],[quantidade]]*TbReceitas[[#This Row],[preco_unitario]]</f>
        <v>8278</v>
      </c>
      <c r="H2630" t="str">
        <f>TEXT(TbReceitas[[#This Row],[data_transacao]], "aaaa-mm")</f>
        <v>2026-08</v>
      </c>
    </row>
    <row r="2631" spans="1:8">
      <c r="A2631">
        <v>2630</v>
      </c>
      <c r="B2631" s="1">
        <v>45959</v>
      </c>
      <c r="C2631" t="s">
        <v>1416</v>
      </c>
      <c r="D2631" t="s">
        <v>591</v>
      </c>
      <c r="E2631">
        <v>3</v>
      </c>
      <c r="F2631">
        <v>1718</v>
      </c>
      <c r="G2631">
        <f>TbReceitas[[#This Row],[quantidade]]*TbReceitas[[#This Row],[preco_unitario]]</f>
        <v>5154</v>
      </c>
      <c r="H2631" t="str">
        <f>TEXT(TbReceitas[[#This Row],[data_transacao]], "aaaa-mm")</f>
        <v>2025-10</v>
      </c>
    </row>
    <row r="2632" spans="1:8">
      <c r="A2632">
        <v>2631</v>
      </c>
      <c r="B2632" s="1">
        <v>45680</v>
      </c>
      <c r="C2632" t="s">
        <v>1516</v>
      </c>
      <c r="D2632" t="s">
        <v>677</v>
      </c>
      <c r="E2632">
        <v>1</v>
      </c>
      <c r="F2632">
        <v>11596</v>
      </c>
      <c r="G2632">
        <f>TbReceitas[[#This Row],[quantidade]]*TbReceitas[[#This Row],[preco_unitario]]</f>
        <v>11596</v>
      </c>
      <c r="H2632" t="str">
        <f>TEXT(TbReceitas[[#This Row],[data_transacao]], "aaaa-mm")</f>
        <v>2025-01</v>
      </c>
    </row>
    <row r="2633" spans="1:8">
      <c r="A2633">
        <v>2632</v>
      </c>
      <c r="B2633" s="1">
        <v>46041</v>
      </c>
      <c r="C2633" t="s">
        <v>854</v>
      </c>
      <c r="D2633" t="s">
        <v>340</v>
      </c>
      <c r="E2633">
        <v>3</v>
      </c>
      <c r="F2633">
        <v>13813</v>
      </c>
      <c r="G2633">
        <f>TbReceitas[[#This Row],[quantidade]]*TbReceitas[[#This Row],[preco_unitario]]</f>
        <v>41439</v>
      </c>
      <c r="H2633" t="str">
        <f>TEXT(TbReceitas[[#This Row],[data_transacao]], "aaaa-mm")</f>
        <v>2026-01</v>
      </c>
    </row>
    <row r="2634" spans="1:8">
      <c r="A2634">
        <v>2633</v>
      </c>
      <c r="B2634" s="1">
        <v>46246</v>
      </c>
      <c r="C2634" t="s">
        <v>1443</v>
      </c>
      <c r="D2634" t="s">
        <v>186</v>
      </c>
      <c r="E2634">
        <v>3</v>
      </c>
      <c r="F2634">
        <v>5111</v>
      </c>
      <c r="G2634">
        <f>TbReceitas[[#This Row],[quantidade]]*TbReceitas[[#This Row],[preco_unitario]]</f>
        <v>15333</v>
      </c>
      <c r="H2634" t="str">
        <f>TEXT(TbReceitas[[#This Row],[data_transacao]], "aaaa-mm")</f>
        <v>2026-08</v>
      </c>
    </row>
    <row r="2635" spans="1:8">
      <c r="A2635">
        <v>2634</v>
      </c>
      <c r="B2635" s="1">
        <v>45690</v>
      </c>
      <c r="C2635" t="s">
        <v>1679</v>
      </c>
      <c r="D2635" t="s">
        <v>544</v>
      </c>
      <c r="E2635">
        <v>2</v>
      </c>
      <c r="F2635">
        <v>13184</v>
      </c>
      <c r="G2635">
        <f>TbReceitas[[#This Row],[quantidade]]*TbReceitas[[#This Row],[preco_unitario]]</f>
        <v>26368</v>
      </c>
      <c r="H2635" t="str">
        <f>TEXT(TbReceitas[[#This Row],[data_transacao]], "aaaa-mm")</f>
        <v>2025-02</v>
      </c>
    </row>
    <row r="2636" spans="1:8">
      <c r="A2636">
        <v>2635</v>
      </c>
      <c r="B2636" s="1">
        <v>46107</v>
      </c>
      <c r="C2636" t="s">
        <v>1326</v>
      </c>
      <c r="D2636" t="s">
        <v>682</v>
      </c>
      <c r="E2636">
        <v>3</v>
      </c>
      <c r="F2636">
        <v>23494</v>
      </c>
      <c r="G2636">
        <f>TbReceitas[[#This Row],[quantidade]]*TbReceitas[[#This Row],[preco_unitario]]</f>
        <v>70482</v>
      </c>
      <c r="H2636" t="str">
        <f>TEXT(TbReceitas[[#This Row],[data_transacao]], "aaaa-mm")</f>
        <v>2026-03</v>
      </c>
    </row>
    <row r="2637" spans="1:8">
      <c r="A2637">
        <v>2636</v>
      </c>
      <c r="B2637" s="1">
        <v>45802</v>
      </c>
      <c r="C2637" t="s">
        <v>766</v>
      </c>
      <c r="D2637" t="s">
        <v>682</v>
      </c>
      <c r="E2637">
        <v>3</v>
      </c>
      <c r="F2637">
        <v>23494</v>
      </c>
      <c r="G2637">
        <f>TbReceitas[[#This Row],[quantidade]]*TbReceitas[[#This Row],[preco_unitario]]</f>
        <v>70482</v>
      </c>
      <c r="H2637" t="str">
        <f>TEXT(TbReceitas[[#This Row],[data_transacao]], "aaaa-mm")</f>
        <v>2025-05</v>
      </c>
    </row>
    <row r="2638" spans="1:8">
      <c r="A2638">
        <v>2637</v>
      </c>
      <c r="B2638" s="1">
        <v>45985</v>
      </c>
      <c r="C2638" t="s">
        <v>874</v>
      </c>
      <c r="D2638" t="s">
        <v>327</v>
      </c>
      <c r="E2638">
        <v>1</v>
      </c>
      <c r="F2638">
        <v>23125</v>
      </c>
      <c r="G2638">
        <f>TbReceitas[[#This Row],[quantidade]]*TbReceitas[[#This Row],[preco_unitario]]</f>
        <v>23125</v>
      </c>
      <c r="H2638" t="str">
        <f>TEXT(TbReceitas[[#This Row],[data_transacao]], "aaaa-mm")</f>
        <v>2025-11</v>
      </c>
    </row>
    <row r="2639" spans="1:8">
      <c r="A2639">
        <v>2638</v>
      </c>
      <c r="B2639" s="1">
        <v>46189</v>
      </c>
      <c r="C2639" t="s">
        <v>1135</v>
      </c>
      <c r="D2639" t="s">
        <v>1611</v>
      </c>
      <c r="E2639">
        <v>1</v>
      </c>
      <c r="F2639">
        <v>8745</v>
      </c>
      <c r="G2639">
        <f>TbReceitas[[#This Row],[quantidade]]*TbReceitas[[#This Row],[preco_unitario]]</f>
        <v>8745</v>
      </c>
      <c r="H2639" t="str">
        <f>TEXT(TbReceitas[[#This Row],[data_transacao]], "aaaa-mm")</f>
        <v>2026-06</v>
      </c>
    </row>
    <row r="2640" spans="1:8">
      <c r="A2640">
        <v>2639</v>
      </c>
      <c r="B2640" s="1">
        <v>45702</v>
      </c>
      <c r="C2640" t="s">
        <v>1659</v>
      </c>
      <c r="D2640" t="s">
        <v>390</v>
      </c>
      <c r="E2640">
        <v>5</v>
      </c>
      <c r="F2640">
        <v>9992</v>
      </c>
      <c r="G2640">
        <f>TbReceitas[[#This Row],[quantidade]]*TbReceitas[[#This Row],[preco_unitario]]</f>
        <v>49960</v>
      </c>
      <c r="H2640" t="str">
        <f>TEXT(TbReceitas[[#This Row],[data_transacao]], "aaaa-mm")</f>
        <v>2025-02</v>
      </c>
    </row>
    <row r="2641" spans="1:8">
      <c r="A2641">
        <v>2640</v>
      </c>
      <c r="B2641" s="1">
        <v>45763</v>
      </c>
      <c r="C2641" t="s">
        <v>1659</v>
      </c>
      <c r="D2641" t="s">
        <v>624</v>
      </c>
      <c r="E2641">
        <v>3</v>
      </c>
      <c r="F2641">
        <v>4705</v>
      </c>
      <c r="G2641">
        <f>TbReceitas[[#This Row],[quantidade]]*TbReceitas[[#This Row],[preco_unitario]]</f>
        <v>14115</v>
      </c>
      <c r="H2641" t="str">
        <f>TEXT(TbReceitas[[#This Row],[data_transacao]], "aaaa-mm")</f>
        <v>2025-04</v>
      </c>
    </row>
    <row r="2642" spans="1:8">
      <c r="A2642">
        <v>2641</v>
      </c>
      <c r="B2642" s="1">
        <v>45803</v>
      </c>
      <c r="C2642" t="s">
        <v>899</v>
      </c>
      <c r="D2642" t="s">
        <v>482</v>
      </c>
      <c r="E2642">
        <v>2</v>
      </c>
      <c r="F2642">
        <v>8304</v>
      </c>
      <c r="G2642">
        <f>TbReceitas[[#This Row],[quantidade]]*TbReceitas[[#This Row],[preco_unitario]]</f>
        <v>16608</v>
      </c>
      <c r="H2642" t="str">
        <f>TEXT(TbReceitas[[#This Row],[data_transacao]], "aaaa-mm")</f>
        <v>2025-05</v>
      </c>
    </row>
    <row r="2643" spans="1:8">
      <c r="A2643">
        <v>2642</v>
      </c>
      <c r="B2643" s="1">
        <v>45652</v>
      </c>
      <c r="C2643" t="s">
        <v>1406</v>
      </c>
      <c r="D2643" t="s">
        <v>512</v>
      </c>
      <c r="E2643">
        <v>2</v>
      </c>
      <c r="F2643">
        <v>14881</v>
      </c>
      <c r="G2643">
        <f>TbReceitas[[#This Row],[quantidade]]*TbReceitas[[#This Row],[preco_unitario]]</f>
        <v>29762</v>
      </c>
      <c r="H2643" t="str">
        <f>TEXT(TbReceitas[[#This Row],[data_transacao]], "aaaa-mm")</f>
        <v>2024-12</v>
      </c>
    </row>
    <row r="2644" spans="1:8">
      <c r="A2644">
        <v>2643</v>
      </c>
      <c r="B2644" s="1">
        <v>45833</v>
      </c>
      <c r="C2644" t="s">
        <v>1390</v>
      </c>
      <c r="D2644" t="s">
        <v>178</v>
      </c>
      <c r="E2644">
        <v>5</v>
      </c>
      <c r="F2644">
        <v>24143</v>
      </c>
      <c r="G2644">
        <f>TbReceitas[[#This Row],[quantidade]]*TbReceitas[[#This Row],[preco_unitario]]</f>
        <v>120715</v>
      </c>
      <c r="H2644" t="str">
        <f>TEXT(TbReceitas[[#This Row],[data_transacao]], "aaaa-mm")</f>
        <v>2025-06</v>
      </c>
    </row>
    <row r="2645" spans="1:8">
      <c r="A2645">
        <v>2644</v>
      </c>
      <c r="B2645" s="1">
        <v>45609</v>
      </c>
      <c r="C2645" t="s">
        <v>1245</v>
      </c>
      <c r="D2645" t="s">
        <v>425</v>
      </c>
      <c r="E2645">
        <v>2</v>
      </c>
      <c r="F2645">
        <v>24879</v>
      </c>
      <c r="G2645">
        <f>TbReceitas[[#This Row],[quantidade]]*TbReceitas[[#This Row],[preco_unitario]]</f>
        <v>49758</v>
      </c>
      <c r="H2645" t="str">
        <f>TEXT(TbReceitas[[#This Row],[data_transacao]], "aaaa-mm")</f>
        <v>2024-11</v>
      </c>
    </row>
    <row r="2646" spans="1:8">
      <c r="A2646">
        <v>2645</v>
      </c>
      <c r="B2646" s="1">
        <v>46008</v>
      </c>
      <c r="C2646" t="s">
        <v>1761</v>
      </c>
      <c r="D2646" t="s">
        <v>108</v>
      </c>
      <c r="E2646">
        <v>4</v>
      </c>
      <c r="F2646">
        <v>6891</v>
      </c>
      <c r="G2646">
        <f>TbReceitas[[#This Row],[quantidade]]*TbReceitas[[#This Row],[preco_unitario]]</f>
        <v>27564</v>
      </c>
      <c r="H2646" t="str">
        <f>TEXT(TbReceitas[[#This Row],[data_transacao]], "aaaa-mm")</f>
        <v>2025-12</v>
      </c>
    </row>
    <row r="2647" spans="1:8">
      <c r="A2647">
        <v>2646</v>
      </c>
      <c r="B2647" s="1">
        <v>45967</v>
      </c>
      <c r="C2647" t="s">
        <v>966</v>
      </c>
      <c r="D2647" t="s">
        <v>165</v>
      </c>
      <c r="E2647">
        <v>5</v>
      </c>
      <c r="F2647">
        <v>16789</v>
      </c>
      <c r="G2647">
        <f>TbReceitas[[#This Row],[quantidade]]*TbReceitas[[#This Row],[preco_unitario]]</f>
        <v>83945</v>
      </c>
      <c r="H2647" t="str">
        <f>TEXT(TbReceitas[[#This Row],[data_transacao]], "aaaa-mm")</f>
        <v>2025-11</v>
      </c>
    </row>
    <row r="2648" spans="1:8">
      <c r="A2648">
        <v>2647</v>
      </c>
      <c r="B2648" s="1">
        <v>45868</v>
      </c>
      <c r="C2648" t="s">
        <v>1722</v>
      </c>
      <c r="D2648" t="s">
        <v>16</v>
      </c>
      <c r="E2648">
        <v>3</v>
      </c>
      <c r="F2648">
        <v>19899</v>
      </c>
      <c r="G2648">
        <f>TbReceitas[[#This Row],[quantidade]]*TbReceitas[[#This Row],[preco_unitario]]</f>
        <v>59697</v>
      </c>
      <c r="H2648" t="str">
        <f>TEXT(TbReceitas[[#This Row],[data_transacao]], "aaaa-mm")</f>
        <v>2025-07</v>
      </c>
    </row>
    <row r="2649" spans="1:8">
      <c r="A2649">
        <v>2648</v>
      </c>
      <c r="B2649" s="1">
        <v>45561</v>
      </c>
      <c r="C2649" t="s">
        <v>1784</v>
      </c>
      <c r="D2649" t="s">
        <v>184</v>
      </c>
      <c r="E2649">
        <v>4</v>
      </c>
      <c r="F2649">
        <v>18728</v>
      </c>
      <c r="G2649">
        <f>TbReceitas[[#This Row],[quantidade]]*TbReceitas[[#This Row],[preco_unitario]]</f>
        <v>74912</v>
      </c>
      <c r="H2649" t="str">
        <f>TEXT(TbReceitas[[#This Row],[data_transacao]], "aaaa-mm")</f>
        <v>2024-09</v>
      </c>
    </row>
    <row r="2650" spans="1:8">
      <c r="A2650">
        <v>2649</v>
      </c>
      <c r="B2650" s="1">
        <v>45617</v>
      </c>
      <c r="C2650" t="s">
        <v>1060</v>
      </c>
      <c r="D2650" t="s">
        <v>37</v>
      </c>
      <c r="E2650">
        <v>3</v>
      </c>
      <c r="F2650">
        <v>15145</v>
      </c>
      <c r="G2650">
        <f>TbReceitas[[#This Row],[quantidade]]*TbReceitas[[#This Row],[preco_unitario]]</f>
        <v>45435</v>
      </c>
      <c r="H2650" t="str">
        <f>TEXT(TbReceitas[[#This Row],[data_transacao]], "aaaa-mm")</f>
        <v>2024-11</v>
      </c>
    </row>
    <row r="2651" spans="1:8">
      <c r="A2651">
        <v>2650</v>
      </c>
      <c r="B2651" s="1">
        <v>46214</v>
      </c>
      <c r="C2651" t="s">
        <v>837</v>
      </c>
      <c r="D2651" t="s">
        <v>263</v>
      </c>
      <c r="E2651">
        <v>1</v>
      </c>
      <c r="F2651">
        <v>18249</v>
      </c>
      <c r="G2651">
        <f>TbReceitas[[#This Row],[quantidade]]*TbReceitas[[#This Row],[preco_unitario]]</f>
        <v>18249</v>
      </c>
      <c r="H2651" t="str">
        <f>TEXT(TbReceitas[[#This Row],[data_transacao]], "aaaa-mm")</f>
        <v>2026-07</v>
      </c>
    </row>
    <row r="2652" spans="1:8">
      <c r="A2652">
        <v>2651</v>
      </c>
      <c r="B2652" s="1">
        <v>45557</v>
      </c>
      <c r="C2652" t="s">
        <v>836</v>
      </c>
      <c r="D2652" t="s">
        <v>276</v>
      </c>
      <c r="E2652">
        <v>3</v>
      </c>
      <c r="F2652">
        <v>13377</v>
      </c>
      <c r="G2652">
        <f>TbReceitas[[#This Row],[quantidade]]*TbReceitas[[#This Row],[preco_unitario]]</f>
        <v>40131</v>
      </c>
      <c r="H2652" t="str">
        <f>TEXT(TbReceitas[[#This Row],[data_transacao]], "aaaa-mm")</f>
        <v>2024-09</v>
      </c>
    </row>
    <row r="2653" spans="1:8">
      <c r="A2653">
        <v>2652</v>
      </c>
      <c r="B2653" s="1">
        <v>45910</v>
      </c>
      <c r="C2653" t="s">
        <v>911</v>
      </c>
      <c r="D2653" t="s">
        <v>453</v>
      </c>
      <c r="E2653">
        <v>2</v>
      </c>
      <c r="F2653">
        <v>8033</v>
      </c>
      <c r="G2653">
        <f>TbReceitas[[#This Row],[quantidade]]*TbReceitas[[#This Row],[preco_unitario]]</f>
        <v>16066</v>
      </c>
      <c r="H2653" t="str">
        <f>TEXT(TbReceitas[[#This Row],[data_transacao]], "aaaa-mm")</f>
        <v>2025-09</v>
      </c>
    </row>
    <row r="2654" spans="1:8">
      <c r="A2654">
        <v>2653</v>
      </c>
      <c r="B2654" s="1">
        <v>45560</v>
      </c>
      <c r="C2654" t="s">
        <v>1166</v>
      </c>
      <c r="D2654" t="s">
        <v>638</v>
      </c>
      <c r="E2654">
        <v>1</v>
      </c>
      <c r="F2654">
        <v>9817</v>
      </c>
      <c r="G2654">
        <f>TbReceitas[[#This Row],[quantidade]]*TbReceitas[[#This Row],[preco_unitario]]</f>
        <v>9817</v>
      </c>
      <c r="H2654" t="str">
        <f>TEXT(TbReceitas[[#This Row],[data_transacao]], "aaaa-mm")</f>
        <v>2024-09</v>
      </c>
    </row>
    <row r="2655" spans="1:8">
      <c r="A2655">
        <v>2654</v>
      </c>
      <c r="B2655" s="1">
        <v>46223</v>
      </c>
      <c r="C2655" t="s">
        <v>1258</v>
      </c>
      <c r="D2655" t="s">
        <v>267</v>
      </c>
      <c r="E2655">
        <v>4</v>
      </c>
      <c r="F2655">
        <v>8433</v>
      </c>
      <c r="G2655">
        <f>TbReceitas[[#This Row],[quantidade]]*TbReceitas[[#This Row],[preco_unitario]]</f>
        <v>33732</v>
      </c>
      <c r="H2655" t="str">
        <f>TEXT(TbReceitas[[#This Row],[data_transacao]], "aaaa-mm")</f>
        <v>2026-07</v>
      </c>
    </row>
    <row r="2656" spans="1:8">
      <c r="A2656">
        <v>2655</v>
      </c>
      <c r="B2656" s="1">
        <v>45794</v>
      </c>
      <c r="C2656" t="s">
        <v>1297</v>
      </c>
      <c r="D2656" t="s">
        <v>635</v>
      </c>
      <c r="E2656">
        <v>5</v>
      </c>
      <c r="F2656">
        <v>821</v>
      </c>
      <c r="G2656">
        <f>TbReceitas[[#This Row],[quantidade]]*TbReceitas[[#This Row],[preco_unitario]]</f>
        <v>4105</v>
      </c>
      <c r="H2656" t="str">
        <f>TEXT(TbReceitas[[#This Row],[data_transacao]], "aaaa-mm")</f>
        <v>2025-05</v>
      </c>
    </row>
    <row r="2657" spans="1:8">
      <c r="A2657">
        <v>2656</v>
      </c>
      <c r="B2657" s="1">
        <v>45768</v>
      </c>
      <c r="C2657" t="s">
        <v>1564</v>
      </c>
      <c r="D2657" t="s">
        <v>492</v>
      </c>
      <c r="E2657">
        <v>4</v>
      </c>
      <c r="F2657">
        <v>2615</v>
      </c>
      <c r="G2657">
        <f>TbReceitas[[#This Row],[quantidade]]*TbReceitas[[#This Row],[preco_unitario]]</f>
        <v>10460</v>
      </c>
      <c r="H2657" t="str">
        <f>TEXT(TbReceitas[[#This Row],[data_transacao]], "aaaa-mm")</f>
        <v>2025-04</v>
      </c>
    </row>
    <row r="2658" spans="1:8">
      <c r="A2658">
        <v>2657</v>
      </c>
      <c r="B2658" s="1">
        <v>45903</v>
      </c>
      <c r="C2658" t="s">
        <v>1618</v>
      </c>
      <c r="D2658" t="s">
        <v>45</v>
      </c>
      <c r="E2658">
        <v>5</v>
      </c>
      <c r="F2658">
        <v>17287</v>
      </c>
      <c r="G2658">
        <f>TbReceitas[[#This Row],[quantidade]]*TbReceitas[[#This Row],[preco_unitario]]</f>
        <v>86435</v>
      </c>
      <c r="H2658" t="str">
        <f>TEXT(TbReceitas[[#This Row],[data_transacao]], "aaaa-mm")</f>
        <v>2025-09</v>
      </c>
    </row>
    <row r="2659" spans="1:8">
      <c r="A2659">
        <v>2658</v>
      </c>
      <c r="B2659" s="1">
        <v>45586</v>
      </c>
      <c r="C2659" t="s">
        <v>1785</v>
      </c>
      <c r="D2659" t="s">
        <v>399</v>
      </c>
      <c r="E2659">
        <v>4</v>
      </c>
      <c r="F2659">
        <v>2413</v>
      </c>
      <c r="G2659">
        <f>TbReceitas[[#This Row],[quantidade]]*TbReceitas[[#This Row],[preco_unitario]]</f>
        <v>9652</v>
      </c>
      <c r="H2659" t="str">
        <f>TEXT(TbReceitas[[#This Row],[data_transacao]], "aaaa-mm")</f>
        <v>2024-10</v>
      </c>
    </row>
    <row r="2660" spans="1:8">
      <c r="A2660">
        <v>2659</v>
      </c>
      <c r="B2660" s="1">
        <v>46211</v>
      </c>
      <c r="C2660" t="s">
        <v>1273</v>
      </c>
      <c r="D2660" t="s">
        <v>385</v>
      </c>
      <c r="E2660">
        <v>5</v>
      </c>
      <c r="F2660">
        <v>10607</v>
      </c>
      <c r="G2660">
        <f>TbReceitas[[#This Row],[quantidade]]*TbReceitas[[#This Row],[preco_unitario]]</f>
        <v>53035</v>
      </c>
      <c r="H2660" t="str">
        <f>TEXT(TbReceitas[[#This Row],[data_transacao]], "aaaa-mm")</f>
        <v>2026-07</v>
      </c>
    </row>
    <row r="2661" spans="1:8">
      <c r="A2661">
        <v>2660</v>
      </c>
      <c r="B2661" s="1">
        <v>45754</v>
      </c>
      <c r="C2661" t="s">
        <v>874</v>
      </c>
      <c r="D2661" t="s">
        <v>156</v>
      </c>
      <c r="E2661">
        <v>1</v>
      </c>
      <c r="F2661">
        <v>20451</v>
      </c>
      <c r="G2661">
        <f>TbReceitas[[#This Row],[quantidade]]*TbReceitas[[#This Row],[preco_unitario]]</f>
        <v>20451</v>
      </c>
      <c r="H2661" t="str">
        <f>TEXT(TbReceitas[[#This Row],[data_transacao]], "aaaa-mm")</f>
        <v>2025-04</v>
      </c>
    </row>
    <row r="2662" spans="1:8">
      <c r="A2662">
        <v>2661</v>
      </c>
      <c r="B2662" s="1">
        <v>45892</v>
      </c>
      <c r="C2662" t="s">
        <v>1224</v>
      </c>
      <c r="D2662" t="s">
        <v>465</v>
      </c>
      <c r="E2662">
        <v>3</v>
      </c>
      <c r="F2662">
        <v>6944</v>
      </c>
      <c r="G2662">
        <f>TbReceitas[[#This Row],[quantidade]]*TbReceitas[[#This Row],[preco_unitario]]</f>
        <v>20832</v>
      </c>
      <c r="H2662" t="str">
        <f>TEXT(TbReceitas[[#This Row],[data_transacao]], "aaaa-mm")</f>
        <v>2025-08</v>
      </c>
    </row>
    <row r="2663" spans="1:8">
      <c r="A2663">
        <v>2662</v>
      </c>
      <c r="B2663" s="1">
        <v>46252</v>
      </c>
      <c r="C2663" t="s">
        <v>936</v>
      </c>
      <c r="D2663" t="s">
        <v>320</v>
      </c>
      <c r="E2663">
        <v>1</v>
      </c>
      <c r="F2663">
        <v>19197</v>
      </c>
      <c r="G2663">
        <f>TbReceitas[[#This Row],[quantidade]]*TbReceitas[[#This Row],[preco_unitario]]</f>
        <v>19197</v>
      </c>
      <c r="H2663" t="str">
        <f>TEXT(TbReceitas[[#This Row],[data_transacao]], "aaaa-mm")</f>
        <v>2026-08</v>
      </c>
    </row>
    <row r="2664" spans="1:8">
      <c r="A2664">
        <v>2663</v>
      </c>
      <c r="B2664" s="1">
        <v>45649</v>
      </c>
      <c r="C2664" t="s">
        <v>1715</v>
      </c>
      <c r="D2664" t="s">
        <v>353</v>
      </c>
      <c r="E2664">
        <v>4</v>
      </c>
      <c r="F2664">
        <v>1932</v>
      </c>
      <c r="G2664">
        <f>TbReceitas[[#This Row],[quantidade]]*TbReceitas[[#This Row],[preco_unitario]]</f>
        <v>7728</v>
      </c>
      <c r="H2664" t="str">
        <f>TEXT(TbReceitas[[#This Row],[data_transacao]], "aaaa-mm")</f>
        <v>2024-12</v>
      </c>
    </row>
    <row r="2665" spans="1:8">
      <c r="A2665">
        <v>2664</v>
      </c>
      <c r="B2665" s="1">
        <v>45991</v>
      </c>
      <c r="C2665" t="s">
        <v>1654</v>
      </c>
      <c r="D2665" t="s">
        <v>291</v>
      </c>
      <c r="E2665">
        <v>5</v>
      </c>
      <c r="F2665">
        <v>24715</v>
      </c>
      <c r="G2665">
        <f>TbReceitas[[#This Row],[quantidade]]*TbReceitas[[#This Row],[preco_unitario]]</f>
        <v>123575</v>
      </c>
      <c r="H2665" t="str">
        <f>TEXT(TbReceitas[[#This Row],[data_transacao]], "aaaa-mm")</f>
        <v>2025-11</v>
      </c>
    </row>
    <row r="2666" spans="1:8">
      <c r="A2666">
        <v>2665</v>
      </c>
      <c r="B2666" s="1">
        <v>46123</v>
      </c>
      <c r="C2666" t="s">
        <v>1712</v>
      </c>
      <c r="D2666" t="s">
        <v>456</v>
      </c>
      <c r="E2666">
        <v>4</v>
      </c>
      <c r="F2666">
        <v>4361</v>
      </c>
      <c r="G2666">
        <f>TbReceitas[[#This Row],[quantidade]]*TbReceitas[[#This Row],[preco_unitario]]</f>
        <v>17444</v>
      </c>
      <c r="H2666" t="str">
        <f>TEXT(TbReceitas[[#This Row],[data_transacao]], "aaaa-mm")</f>
        <v>2026-04</v>
      </c>
    </row>
    <row r="2667" spans="1:8">
      <c r="A2667">
        <v>2666</v>
      </c>
      <c r="B2667" s="1">
        <v>45916</v>
      </c>
      <c r="C2667" t="s">
        <v>944</v>
      </c>
      <c r="D2667" t="s">
        <v>189</v>
      </c>
      <c r="E2667">
        <v>5</v>
      </c>
      <c r="F2667">
        <v>9556</v>
      </c>
      <c r="G2667">
        <f>TbReceitas[[#This Row],[quantidade]]*TbReceitas[[#This Row],[preco_unitario]]</f>
        <v>47780</v>
      </c>
      <c r="H2667" t="str">
        <f>TEXT(TbReceitas[[#This Row],[data_transacao]], "aaaa-mm")</f>
        <v>2025-09</v>
      </c>
    </row>
    <row r="2668" spans="1:8">
      <c r="A2668">
        <v>2667</v>
      </c>
      <c r="B2668" s="1">
        <v>45975</v>
      </c>
      <c r="C2668" t="s">
        <v>1165</v>
      </c>
      <c r="D2668" t="s">
        <v>262</v>
      </c>
      <c r="E2668">
        <v>1</v>
      </c>
      <c r="F2668">
        <v>10217</v>
      </c>
      <c r="G2668">
        <f>TbReceitas[[#This Row],[quantidade]]*TbReceitas[[#This Row],[preco_unitario]]</f>
        <v>10217</v>
      </c>
      <c r="H2668" t="str">
        <f>TEXT(TbReceitas[[#This Row],[data_transacao]], "aaaa-mm")</f>
        <v>2025-11</v>
      </c>
    </row>
    <row r="2669" spans="1:8">
      <c r="A2669">
        <v>2668</v>
      </c>
      <c r="B2669" s="1">
        <v>45802</v>
      </c>
      <c r="C2669" t="s">
        <v>1536</v>
      </c>
      <c r="D2669" t="s">
        <v>557</v>
      </c>
      <c r="E2669">
        <v>2</v>
      </c>
      <c r="F2669">
        <v>5746</v>
      </c>
      <c r="G2669">
        <f>TbReceitas[[#This Row],[quantidade]]*TbReceitas[[#This Row],[preco_unitario]]</f>
        <v>11492</v>
      </c>
      <c r="H2669" t="str">
        <f>TEXT(TbReceitas[[#This Row],[data_transacao]], "aaaa-mm")</f>
        <v>2025-05</v>
      </c>
    </row>
    <row r="2670" spans="1:8">
      <c r="A2670">
        <v>2669</v>
      </c>
      <c r="B2670" s="1">
        <v>45888</v>
      </c>
      <c r="C2670" t="s">
        <v>1284</v>
      </c>
      <c r="D2670" t="s">
        <v>31</v>
      </c>
      <c r="E2670">
        <v>1</v>
      </c>
      <c r="F2670">
        <v>3134</v>
      </c>
      <c r="G2670">
        <f>TbReceitas[[#This Row],[quantidade]]*TbReceitas[[#This Row],[preco_unitario]]</f>
        <v>3134</v>
      </c>
      <c r="H2670" t="str">
        <f>TEXT(TbReceitas[[#This Row],[data_transacao]], "aaaa-mm")</f>
        <v>2025-08</v>
      </c>
    </row>
    <row r="2671" spans="1:8">
      <c r="A2671">
        <v>2670</v>
      </c>
      <c r="B2671" s="1">
        <v>45779</v>
      </c>
      <c r="C2671" t="s">
        <v>720</v>
      </c>
      <c r="D2671" t="s">
        <v>703</v>
      </c>
      <c r="E2671">
        <v>5</v>
      </c>
      <c r="F2671">
        <v>5102</v>
      </c>
      <c r="G2671">
        <f>TbReceitas[[#This Row],[quantidade]]*TbReceitas[[#This Row],[preco_unitario]]</f>
        <v>25510</v>
      </c>
      <c r="H2671" t="str">
        <f>TEXT(TbReceitas[[#This Row],[data_transacao]], "aaaa-mm")</f>
        <v>2025-05</v>
      </c>
    </row>
    <row r="2672" spans="1:8">
      <c r="A2672">
        <v>2671</v>
      </c>
      <c r="B2672" s="1">
        <v>45987</v>
      </c>
      <c r="C2672" t="s">
        <v>1352</v>
      </c>
      <c r="D2672" t="s">
        <v>320</v>
      </c>
      <c r="E2672">
        <v>2</v>
      </c>
      <c r="F2672">
        <v>19197</v>
      </c>
      <c r="G2672">
        <f>TbReceitas[[#This Row],[quantidade]]*TbReceitas[[#This Row],[preco_unitario]]</f>
        <v>38394</v>
      </c>
      <c r="H2672" t="str">
        <f>TEXT(TbReceitas[[#This Row],[data_transacao]], "aaaa-mm")</f>
        <v>2025-11</v>
      </c>
    </row>
    <row r="2673" spans="1:8">
      <c r="A2673">
        <v>2672</v>
      </c>
      <c r="B2673" s="1">
        <v>45939</v>
      </c>
      <c r="C2673" t="s">
        <v>1587</v>
      </c>
      <c r="D2673" t="s">
        <v>415</v>
      </c>
      <c r="E2673">
        <v>5</v>
      </c>
      <c r="F2673">
        <v>19318</v>
      </c>
      <c r="G2673">
        <f>TbReceitas[[#This Row],[quantidade]]*TbReceitas[[#This Row],[preco_unitario]]</f>
        <v>96590</v>
      </c>
      <c r="H2673" t="str">
        <f>TEXT(TbReceitas[[#This Row],[data_transacao]], "aaaa-mm")</f>
        <v>2025-10</v>
      </c>
    </row>
    <row r="2674" spans="1:8">
      <c r="A2674">
        <v>2673</v>
      </c>
      <c r="B2674" s="1">
        <v>45904</v>
      </c>
      <c r="C2674" t="s">
        <v>1786</v>
      </c>
      <c r="D2674" t="s">
        <v>337</v>
      </c>
      <c r="E2674">
        <v>3</v>
      </c>
      <c r="F2674">
        <v>8484</v>
      </c>
      <c r="G2674">
        <f>TbReceitas[[#This Row],[quantidade]]*TbReceitas[[#This Row],[preco_unitario]]</f>
        <v>25452</v>
      </c>
      <c r="H2674" t="str">
        <f>TEXT(TbReceitas[[#This Row],[data_transacao]], "aaaa-mm")</f>
        <v>2025-09</v>
      </c>
    </row>
    <row r="2675" spans="1:8">
      <c r="A2675">
        <v>2674</v>
      </c>
      <c r="B2675" s="1">
        <v>46177</v>
      </c>
      <c r="C2675" t="s">
        <v>1691</v>
      </c>
      <c r="D2675" t="s">
        <v>318</v>
      </c>
      <c r="E2675">
        <v>4</v>
      </c>
      <c r="F2675">
        <v>17558</v>
      </c>
      <c r="G2675">
        <f>TbReceitas[[#This Row],[quantidade]]*TbReceitas[[#This Row],[preco_unitario]]</f>
        <v>70232</v>
      </c>
      <c r="H2675" t="str">
        <f>TEXT(TbReceitas[[#This Row],[data_transacao]], "aaaa-mm")</f>
        <v>2026-06</v>
      </c>
    </row>
    <row r="2676" spans="1:8">
      <c r="A2676">
        <v>2675</v>
      </c>
      <c r="B2676" s="1">
        <v>45584</v>
      </c>
      <c r="C2676" t="s">
        <v>1630</v>
      </c>
      <c r="D2676" t="s">
        <v>89</v>
      </c>
      <c r="E2676">
        <v>5</v>
      </c>
      <c r="F2676">
        <v>2978</v>
      </c>
      <c r="G2676">
        <f>TbReceitas[[#This Row],[quantidade]]*TbReceitas[[#This Row],[preco_unitario]]</f>
        <v>14890</v>
      </c>
      <c r="H2676" t="str">
        <f>TEXT(TbReceitas[[#This Row],[data_transacao]], "aaaa-mm")</f>
        <v>2024-10</v>
      </c>
    </row>
    <row r="2677" spans="1:8">
      <c r="A2677">
        <v>2676</v>
      </c>
      <c r="B2677" s="1">
        <v>45608</v>
      </c>
      <c r="C2677" t="s">
        <v>880</v>
      </c>
      <c r="D2677" t="s">
        <v>1313</v>
      </c>
      <c r="E2677">
        <v>5</v>
      </c>
      <c r="F2677">
        <v>4935</v>
      </c>
      <c r="G2677">
        <f>TbReceitas[[#This Row],[quantidade]]*TbReceitas[[#This Row],[preco_unitario]]</f>
        <v>24675</v>
      </c>
      <c r="H2677" t="str">
        <f>TEXT(TbReceitas[[#This Row],[data_transacao]], "aaaa-mm")</f>
        <v>2024-11</v>
      </c>
    </row>
    <row r="2678" spans="1:8">
      <c r="A2678">
        <v>2677</v>
      </c>
      <c r="B2678" s="1">
        <v>45886</v>
      </c>
      <c r="C2678" t="s">
        <v>1787</v>
      </c>
      <c r="D2678" t="s">
        <v>308</v>
      </c>
      <c r="E2678">
        <v>5</v>
      </c>
      <c r="F2678">
        <v>3639</v>
      </c>
      <c r="G2678">
        <f>TbReceitas[[#This Row],[quantidade]]*TbReceitas[[#This Row],[preco_unitario]]</f>
        <v>18195</v>
      </c>
      <c r="H2678" t="str">
        <f>TEXT(TbReceitas[[#This Row],[data_transacao]], "aaaa-mm")</f>
        <v>2025-08</v>
      </c>
    </row>
    <row r="2679" spans="1:8">
      <c r="A2679">
        <v>2678</v>
      </c>
      <c r="B2679" s="1">
        <v>45767</v>
      </c>
      <c r="C2679" t="s">
        <v>1702</v>
      </c>
      <c r="D2679" t="s">
        <v>25</v>
      </c>
      <c r="E2679">
        <v>2</v>
      </c>
      <c r="F2679">
        <v>15908</v>
      </c>
      <c r="G2679">
        <f>TbReceitas[[#This Row],[quantidade]]*TbReceitas[[#This Row],[preco_unitario]]</f>
        <v>31816</v>
      </c>
      <c r="H2679" t="str">
        <f>TEXT(TbReceitas[[#This Row],[data_transacao]], "aaaa-mm")</f>
        <v>2025-04</v>
      </c>
    </row>
    <row r="2680" spans="1:8">
      <c r="A2680">
        <v>2679</v>
      </c>
      <c r="B2680" s="1">
        <v>45610</v>
      </c>
      <c r="C2680" t="s">
        <v>1229</v>
      </c>
      <c r="D2680" t="s">
        <v>413</v>
      </c>
      <c r="E2680">
        <v>3</v>
      </c>
      <c r="F2680">
        <v>738</v>
      </c>
      <c r="G2680">
        <f>TbReceitas[[#This Row],[quantidade]]*TbReceitas[[#This Row],[preco_unitario]]</f>
        <v>2214</v>
      </c>
      <c r="H2680" t="str">
        <f>TEXT(TbReceitas[[#This Row],[data_transacao]], "aaaa-mm")</f>
        <v>2024-11</v>
      </c>
    </row>
    <row r="2681" spans="1:8">
      <c r="A2681">
        <v>2680</v>
      </c>
      <c r="B2681" s="1">
        <v>46014</v>
      </c>
      <c r="C2681" t="s">
        <v>866</v>
      </c>
      <c r="D2681" t="s">
        <v>354</v>
      </c>
      <c r="E2681">
        <v>3</v>
      </c>
      <c r="F2681">
        <v>19135</v>
      </c>
      <c r="G2681">
        <f>TbReceitas[[#This Row],[quantidade]]*TbReceitas[[#This Row],[preco_unitario]]</f>
        <v>57405</v>
      </c>
      <c r="H2681" t="str">
        <f>TEXT(TbReceitas[[#This Row],[data_transacao]], "aaaa-mm")</f>
        <v>2025-12</v>
      </c>
    </row>
    <row r="2682" spans="1:8">
      <c r="A2682">
        <v>2681</v>
      </c>
      <c r="B2682" s="1">
        <v>45675</v>
      </c>
      <c r="C2682" t="s">
        <v>1226</v>
      </c>
      <c r="D2682" t="s">
        <v>642</v>
      </c>
      <c r="E2682">
        <v>1</v>
      </c>
      <c r="F2682">
        <v>3555</v>
      </c>
      <c r="G2682">
        <f>TbReceitas[[#This Row],[quantidade]]*TbReceitas[[#This Row],[preco_unitario]]</f>
        <v>3555</v>
      </c>
      <c r="H2682" t="str">
        <f>TEXT(TbReceitas[[#This Row],[data_transacao]], "aaaa-mm")</f>
        <v>2025-01</v>
      </c>
    </row>
    <row r="2683" spans="1:8">
      <c r="A2683">
        <v>2682</v>
      </c>
      <c r="B2683" s="1">
        <v>46120</v>
      </c>
      <c r="C2683" t="s">
        <v>1304</v>
      </c>
      <c r="D2683" t="s">
        <v>145</v>
      </c>
      <c r="E2683">
        <v>2</v>
      </c>
      <c r="F2683">
        <v>3517</v>
      </c>
      <c r="G2683">
        <f>TbReceitas[[#This Row],[quantidade]]*TbReceitas[[#This Row],[preco_unitario]]</f>
        <v>7034</v>
      </c>
      <c r="H2683" t="str">
        <f>TEXT(TbReceitas[[#This Row],[data_transacao]], "aaaa-mm")</f>
        <v>2026-04</v>
      </c>
    </row>
    <row r="2684" spans="1:8">
      <c r="A2684">
        <v>2683</v>
      </c>
      <c r="B2684" s="1">
        <v>46132</v>
      </c>
      <c r="C2684" t="s">
        <v>1662</v>
      </c>
      <c r="D2684" t="s">
        <v>632</v>
      </c>
      <c r="E2684">
        <v>1</v>
      </c>
      <c r="F2684">
        <v>6667</v>
      </c>
      <c r="G2684">
        <f>TbReceitas[[#This Row],[quantidade]]*TbReceitas[[#This Row],[preco_unitario]]</f>
        <v>6667</v>
      </c>
      <c r="H2684" t="str">
        <f>TEXT(TbReceitas[[#This Row],[data_transacao]], "aaaa-mm")</f>
        <v>2026-04</v>
      </c>
    </row>
    <row r="2685" spans="1:8">
      <c r="A2685">
        <v>2684</v>
      </c>
      <c r="B2685" s="1">
        <v>46012</v>
      </c>
      <c r="C2685" t="s">
        <v>1788</v>
      </c>
      <c r="D2685" t="s">
        <v>177</v>
      </c>
      <c r="E2685">
        <v>4</v>
      </c>
      <c r="F2685">
        <v>13512</v>
      </c>
      <c r="G2685">
        <f>TbReceitas[[#This Row],[quantidade]]*TbReceitas[[#This Row],[preco_unitario]]</f>
        <v>54048</v>
      </c>
      <c r="H2685" t="str">
        <f>TEXT(TbReceitas[[#This Row],[data_transacao]], "aaaa-mm")</f>
        <v>2025-12</v>
      </c>
    </row>
    <row r="2686" spans="1:8">
      <c r="A2686">
        <v>2685</v>
      </c>
      <c r="B2686" s="1">
        <v>46129</v>
      </c>
      <c r="C2686" t="s">
        <v>816</v>
      </c>
      <c r="D2686" t="s">
        <v>197</v>
      </c>
      <c r="E2686">
        <v>5</v>
      </c>
      <c r="F2686">
        <v>1917</v>
      </c>
      <c r="G2686">
        <f>TbReceitas[[#This Row],[quantidade]]*TbReceitas[[#This Row],[preco_unitario]]</f>
        <v>9585</v>
      </c>
      <c r="H2686" t="str">
        <f>TEXT(TbReceitas[[#This Row],[data_transacao]], "aaaa-mm")</f>
        <v>2026-04</v>
      </c>
    </row>
    <row r="2687" spans="1:8">
      <c r="A2687">
        <v>2686</v>
      </c>
      <c r="B2687" s="1">
        <v>46277</v>
      </c>
      <c r="C2687" t="s">
        <v>871</v>
      </c>
      <c r="D2687" t="s">
        <v>117</v>
      </c>
      <c r="E2687">
        <v>5</v>
      </c>
      <c r="F2687">
        <v>15356</v>
      </c>
      <c r="G2687">
        <f>TbReceitas[[#This Row],[quantidade]]*TbReceitas[[#This Row],[preco_unitario]]</f>
        <v>76780</v>
      </c>
      <c r="H2687" t="str">
        <f>TEXT(TbReceitas[[#This Row],[data_transacao]], "aaaa-mm")</f>
        <v>2026-09</v>
      </c>
    </row>
    <row r="2688" spans="1:8">
      <c r="A2688">
        <v>2687</v>
      </c>
      <c r="B2688" s="1">
        <v>45875</v>
      </c>
      <c r="C2688" t="s">
        <v>1789</v>
      </c>
      <c r="D2688" t="s">
        <v>425</v>
      </c>
      <c r="E2688">
        <v>5</v>
      </c>
      <c r="F2688">
        <v>24879</v>
      </c>
      <c r="G2688">
        <f>TbReceitas[[#This Row],[quantidade]]*TbReceitas[[#This Row],[preco_unitario]]</f>
        <v>124395</v>
      </c>
      <c r="H2688" t="str">
        <f>TEXT(TbReceitas[[#This Row],[data_transacao]], "aaaa-mm")</f>
        <v>2025-08</v>
      </c>
    </row>
    <row r="2689" spans="1:8">
      <c r="A2689">
        <v>2688</v>
      </c>
      <c r="B2689" s="1">
        <v>45631</v>
      </c>
      <c r="C2689" t="s">
        <v>810</v>
      </c>
      <c r="D2689" t="s">
        <v>66</v>
      </c>
      <c r="E2689">
        <v>2</v>
      </c>
      <c r="F2689">
        <v>329</v>
      </c>
      <c r="G2689">
        <f>TbReceitas[[#This Row],[quantidade]]*TbReceitas[[#This Row],[preco_unitario]]</f>
        <v>658</v>
      </c>
      <c r="H2689" t="str">
        <f>TEXT(TbReceitas[[#This Row],[data_transacao]], "aaaa-mm")</f>
        <v>2024-12</v>
      </c>
    </row>
    <row r="2690" spans="1:8">
      <c r="A2690">
        <v>2689</v>
      </c>
      <c r="B2690" s="1">
        <v>46131</v>
      </c>
      <c r="C2690" t="s">
        <v>1173</v>
      </c>
      <c r="D2690" t="s">
        <v>327</v>
      </c>
      <c r="E2690">
        <v>5</v>
      </c>
      <c r="F2690">
        <v>23125</v>
      </c>
      <c r="G2690">
        <f>TbReceitas[[#This Row],[quantidade]]*TbReceitas[[#This Row],[preco_unitario]]</f>
        <v>115625</v>
      </c>
      <c r="H2690" t="str">
        <f>TEXT(TbReceitas[[#This Row],[data_transacao]], "aaaa-mm")</f>
        <v>2026-04</v>
      </c>
    </row>
    <row r="2691" spans="1:8">
      <c r="A2691">
        <v>2690</v>
      </c>
      <c r="B2691" s="1">
        <v>45629</v>
      </c>
      <c r="C2691" t="s">
        <v>1416</v>
      </c>
      <c r="D2691" t="s">
        <v>242</v>
      </c>
      <c r="E2691">
        <v>4</v>
      </c>
      <c r="F2691">
        <v>21063</v>
      </c>
      <c r="G2691">
        <f>TbReceitas[[#This Row],[quantidade]]*TbReceitas[[#This Row],[preco_unitario]]</f>
        <v>84252</v>
      </c>
      <c r="H2691" t="str">
        <f>TEXT(TbReceitas[[#This Row],[data_transacao]], "aaaa-mm")</f>
        <v>2024-12</v>
      </c>
    </row>
    <row r="2692" spans="1:8">
      <c r="A2692">
        <v>2691</v>
      </c>
      <c r="B2692" s="1">
        <v>45828</v>
      </c>
      <c r="C2692" t="s">
        <v>936</v>
      </c>
      <c r="D2692" t="s">
        <v>446</v>
      </c>
      <c r="E2692">
        <v>4</v>
      </c>
      <c r="F2692">
        <v>21448</v>
      </c>
      <c r="G2692">
        <f>TbReceitas[[#This Row],[quantidade]]*TbReceitas[[#This Row],[preco_unitario]]</f>
        <v>85792</v>
      </c>
      <c r="H2692" t="str">
        <f>TEXT(TbReceitas[[#This Row],[data_transacao]], "aaaa-mm")</f>
        <v>2025-06</v>
      </c>
    </row>
    <row r="2693" spans="1:8">
      <c r="A2693">
        <v>2692</v>
      </c>
      <c r="B2693" s="1">
        <v>45924</v>
      </c>
      <c r="C2693" t="s">
        <v>1212</v>
      </c>
      <c r="D2693" t="s">
        <v>15</v>
      </c>
      <c r="E2693">
        <v>2</v>
      </c>
      <c r="F2693">
        <v>15605</v>
      </c>
      <c r="G2693">
        <f>TbReceitas[[#This Row],[quantidade]]*TbReceitas[[#This Row],[preco_unitario]]</f>
        <v>31210</v>
      </c>
      <c r="H2693" t="str">
        <f>TEXT(TbReceitas[[#This Row],[data_transacao]], "aaaa-mm")</f>
        <v>2025-09</v>
      </c>
    </row>
    <row r="2694" spans="1:8">
      <c r="A2694">
        <v>2693</v>
      </c>
      <c r="B2694" s="1">
        <v>45925</v>
      </c>
      <c r="C2694" t="s">
        <v>1371</v>
      </c>
      <c r="D2694" t="s">
        <v>339</v>
      </c>
      <c r="E2694">
        <v>5</v>
      </c>
      <c r="F2694">
        <v>5463</v>
      </c>
      <c r="G2694">
        <f>TbReceitas[[#This Row],[quantidade]]*TbReceitas[[#This Row],[preco_unitario]]</f>
        <v>27315</v>
      </c>
      <c r="H2694" t="str">
        <f>TEXT(TbReceitas[[#This Row],[data_transacao]], "aaaa-mm")</f>
        <v>2025-09</v>
      </c>
    </row>
    <row r="2695" spans="1:8">
      <c r="A2695">
        <v>2694</v>
      </c>
      <c r="B2695" s="1">
        <v>45868</v>
      </c>
      <c r="C2695" t="s">
        <v>1064</v>
      </c>
      <c r="D2695" t="s">
        <v>39</v>
      </c>
      <c r="E2695">
        <v>3</v>
      </c>
      <c r="F2695">
        <v>12748</v>
      </c>
      <c r="G2695">
        <f>TbReceitas[[#This Row],[quantidade]]*TbReceitas[[#This Row],[preco_unitario]]</f>
        <v>38244</v>
      </c>
      <c r="H2695" t="str">
        <f>TEXT(TbReceitas[[#This Row],[data_transacao]], "aaaa-mm")</f>
        <v>2025-07</v>
      </c>
    </row>
    <row r="2696" spans="1:8">
      <c r="A2696">
        <v>2695</v>
      </c>
      <c r="B2696" s="1">
        <v>45818</v>
      </c>
      <c r="C2696" t="s">
        <v>1122</v>
      </c>
      <c r="D2696" t="s">
        <v>412</v>
      </c>
      <c r="E2696">
        <v>5</v>
      </c>
      <c r="F2696">
        <v>18704</v>
      </c>
      <c r="G2696">
        <f>TbReceitas[[#This Row],[quantidade]]*TbReceitas[[#This Row],[preco_unitario]]</f>
        <v>93520</v>
      </c>
      <c r="H2696" t="str">
        <f>TEXT(TbReceitas[[#This Row],[data_transacao]], "aaaa-mm")</f>
        <v>2025-06</v>
      </c>
    </row>
    <row r="2697" spans="1:8">
      <c r="A2697">
        <v>2696</v>
      </c>
      <c r="B2697" s="1">
        <v>45885</v>
      </c>
      <c r="C2697" t="s">
        <v>932</v>
      </c>
      <c r="D2697" t="s">
        <v>377</v>
      </c>
      <c r="E2697">
        <v>5</v>
      </c>
      <c r="F2697">
        <v>21489</v>
      </c>
      <c r="G2697">
        <f>TbReceitas[[#This Row],[quantidade]]*TbReceitas[[#This Row],[preco_unitario]]</f>
        <v>107445</v>
      </c>
      <c r="H2697" t="str">
        <f>TEXT(TbReceitas[[#This Row],[data_transacao]], "aaaa-mm")</f>
        <v>2025-08</v>
      </c>
    </row>
    <row r="2698" spans="1:8">
      <c r="A2698">
        <v>2697</v>
      </c>
      <c r="B2698" s="1">
        <v>46052</v>
      </c>
      <c r="C2698" t="s">
        <v>1642</v>
      </c>
      <c r="D2698" t="s">
        <v>39</v>
      </c>
      <c r="E2698">
        <v>1</v>
      </c>
      <c r="F2698">
        <v>12748</v>
      </c>
      <c r="G2698">
        <f>TbReceitas[[#This Row],[quantidade]]*TbReceitas[[#This Row],[preco_unitario]]</f>
        <v>12748</v>
      </c>
      <c r="H2698" t="str">
        <f>TEXT(TbReceitas[[#This Row],[data_transacao]], "aaaa-mm")</f>
        <v>2026-01</v>
      </c>
    </row>
    <row r="2699" spans="1:8">
      <c r="A2699">
        <v>2698</v>
      </c>
      <c r="B2699" s="1">
        <v>46218</v>
      </c>
      <c r="C2699" t="s">
        <v>1448</v>
      </c>
      <c r="D2699" t="s">
        <v>417</v>
      </c>
      <c r="E2699">
        <v>5</v>
      </c>
      <c r="F2699">
        <v>6345</v>
      </c>
      <c r="G2699">
        <f>TbReceitas[[#This Row],[quantidade]]*TbReceitas[[#This Row],[preco_unitario]]</f>
        <v>31725</v>
      </c>
      <c r="H2699" t="str">
        <f>TEXT(TbReceitas[[#This Row],[data_transacao]], "aaaa-mm")</f>
        <v>2026-07</v>
      </c>
    </row>
    <row r="2700" spans="1:8">
      <c r="A2700">
        <v>2699</v>
      </c>
      <c r="B2700" s="1">
        <v>46205</v>
      </c>
      <c r="C2700" t="s">
        <v>1214</v>
      </c>
      <c r="D2700" t="s">
        <v>369</v>
      </c>
      <c r="E2700">
        <v>4</v>
      </c>
      <c r="F2700">
        <v>24982</v>
      </c>
      <c r="G2700">
        <f>TbReceitas[[#This Row],[quantidade]]*TbReceitas[[#This Row],[preco_unitario]]</f>
        <v>99928</v>
      </c>
      <c r="H2700" t="str">
        <f>TEXT(TbReceitas[[#This Row],[data_transacao]], "aaaa-mm")</f>
        <v>2026-07</v>
      </c>
    </row>
    <row r="2701" spans="1:8">
      <c r="A2701">
        <v>2700</v>
      </c>
      <c r="B2701" s="1">
        <v>46161</v>
      </c>
      <c r="C2701" t="s">
        <v>1086</v>
      </c>
      <c r="D2701" t="s">
        <v>436</v>
      </c>
      <c r="E2701">
        <v>1</v>
      </c>
      <c r="F2701">
        <v>24553</v>
      </c>
      <c r="G2701">
        <f>TbReceitas[[#This Row],[quantidade]]*TbReceitas[[#This Row],[preco_unitario]]</f>
        <v>24553</v>
      </c>
      <c r="H2701" t="str">
        <f>TEXT(TbReceitas[[#This Row],[data_transacao]], "aaaa-mm")</f>
        <v>2026-05</v>
      </c>
    </row>
    <row r="2702" spans="1:8">
      <c r="A2702">
        <v>2701</v>
      </c>
      <c r="B2702" s="1">
        <v>45878</v>
      </c>
      <c r="C2702" t="s">
        <v>840</v>
      </c>
      <c r="D2702" t="s">
        <v>191</v>
      </c>
      <c r="E2702">
        <v>2</v>
      </c>
      <c r="F2702">
        <v>18422</v>
      </c>
      <c r="G2702">
        <f>TbReceitas[[#This Row],[quantidade]]*TbReceitas[[#This Row],[preco_unitario]]</f>
        <v>36844</v>
      </c>
      <c r="H2702" t="str">
        <f>TEXT(TbReceitas[[#This Row],[data_transacao]], "aaaa-mm")</f>
        <v>2025-08</v>
      </c>
    </row>
    <row r="2703" spans="1:8">
      <c r="A2703">
        <v>2702</v>
      </c>
      <c r="B2703" s="1">
        <v>45685</v>
      </c>
      <c r="C2703" t="s">
        <v>973</v>
      </c>
      <c r="D2703" t="s">
        <v>1220</v>
      </c>
      <c r="E2703">
        <v>4</v>
      </c>
      <c r="F2703">
        <v>6695</v>
      </c>
      <c r="G2703">
        <f>TbReceitas[[#This Row],[quantidade]]*TbReceitas[[#This Row],[preco_unitario]]</f>
        <v>26780</v>
      </c>
      <c r="H2703" t="str">
        <f>TEXT(TbReceitas[[#This Row],[data_transacao]], "aaaa-mm")</f>
        <v>2025-01</v>
      </c>
    </row>
    <row r="2704" spans="1:8">
      <c r="A2704">
        <v>2703</v>
      </c>
      <c r="B2704" s="1">
        <v>45748</v>
      </c>
      <c r="C2704" t="s">
        <v>895</v>
      </c>
      <c r="D2704" t="s">
        <v>263</v>
      </c>
      <c r="E2704">
        <v>4</v>
      </c>
      <c r="F2704">
        <v>18249</v>
      </c>
      <c r="G2704">
        <f>TbReceitas[[#This Row],[quantidade]]*TbReceitas[[#This Row],[preco_unitario]]</f>
        <v>72996</v>
      </c>
      <c r="H2704" t="str">
        <f>TEXT(TbReceitas[[#This Row],[data_transacao]], "aaaa-mm")</f>
        <v>2025-04</v>
      </c>
    </row>
    <row r="2705" spans="1:8">
      <c r="A2705">
        <v>2704</v>
      </c>
      <c r="B2705" s="1">
        <v>45929</v>
      </c>
      <c r="C2705" t="s">
        <v>1439</v>
      </c>
      <c r="D2705" t="s">
        <v>42</v>
      </c>
      <c r="E2705">
        <v>2</v>
      </c>
      <c r="F2705">
        <v>23918</v>
      </c>
      <c r="G2705">
        <f>TbReceitas[[#This Row],[quantidade]]*TbReceitas[[#This Row],[preco_unitario]]</f>
        <v>47836</v>
      </c>
      <c r="H2705" t="str">
        <f>TEXT(TbReceitas[[#This Row],[data_transacao]], "aaaa-mm")</f>
        <v>2025-09</v>
      </c>
    </row>
    <row r="2706" spans="1:8">
      <c r="A2706">
        <v>2705</v>
      </c>
      <c r="B2706" s="1">
        <v>45969</v>
      </c>
      <c r="C2706" t="s">
        <v>938</v>
      </c>
      <c r="D2706" t="s">
        <v>259</v>
      </c>
      <c r="E2706">
        <v>1</v>
      </c>
      <c r="F2706">
        <v>2751</v>
      </c>
      <c r="G2706">
        <f>TbReceitas[[#This Row],[quantidade]]*TbReceitas[[#This Row],[preco_unitario]]</f>
        <v>2751</v>
      </c>
      <c r="H2706" t="str">
        <f>TEXT(TbReceitas[[#This Row],[data_transacao]], "aaaa-mm")</f>
        <v>2025-11</v>
      </c>
    </row>
    <row r="2707" spans="1:8">
      <c r="A2707">
        <v>2706</v>
      </c>
      <c r="B2707" s="1">
        <v>45561</v>
      </c>
      <c r="C2707" t="s">
        <v>1790</v>
      </c>
      <c r="D2707" t="s">
        <v>397</v>
      </c>
      <c r="E2707">
        <v>5</v>
      </c>
      <c r="F2707">
        <v>10959</v>
      </c>
      <c r="G2707">
        <f>TbReceitas[[#This Row],[quantidade]]*TbReceitas[[#This Row],[preco_unitario]]</f>
        <v>54795</v>
      </c>
      <c r="H2707" t="str">
        <f>TEXT(TbReceitas[[#This Row],[data_transacao]], "aaaa-mm")</f>
        <v>2024-09</v>
      </c>
    </row>
    <row r="2708" spans="1:8">
      <c r="A2708">
        <v>2707</v>
      </c>
      <c r="B2708" s="1">
        <v>46238</v>
      </c>
      <c r="C2708" t="s">
        <v>821</v>
      </c>
      <c r="D2708" t="s">
        <v>27</v>
      </c>
      <c r="E2708">
        <v>5</v>
      </c>
      <c r="F2708">
        <v>18944</v>
      </c>
      <c r="G2708">
        <f>TbReceitas[[#This Row],[quantidade]]*TbReceitas[[#This Row],[preco_unitario]]</f>
        <v>94720</v>
      </c>
      <c r="H2708" t="str">
        <f>TEXT(TbReceitas[[#This Row],[data_transacao]], "aaaa-mm")</f>
        <v>2026-08</v>
      </c>
    </row>
    <row r="2709" spans="1:8">
      <c r="A2709">
        <v>2708</v>
      </c>
      <c r="B2709" s="1">
        <v>45654</v>
      </c>
      <c r="C2709" t="s">
        <v>1301</v>
      </c>
      <c r="D2709" t="s">
        <v>105</v>
      </c>
      <c r="E2709">
        <v>5</v>
      </c>
      <c r="F2709">
        <v>11041</v>
      </c>
      <c r="G2709">
        <f>TbReceitas[[#This Row],[quantidade]]*TbReceitas[[#This Row],[preco_unitario]]</f>
        <v>55205</v>
      </c>
      <c r="H2709" t="str">
        <f>TEXT(TbReceitas[[#This Row],[data_transacao]], "aaaa-mm")</f>
        <v>2024-12</v>
      </c>
    </row>
    <row r="2710" spans="1:8">
      <c r="A2710">
        <v>2709</v>
      </c>
      <c r="B2710" s="1">
        <v>45604</v>
      </c>
      <c r="C2710" t="s">
        <v>1772</v>
      </c>
      <c r="D2710" t="s">
        <v>170</v>
      </c>
      <c r="E2710">
        <v>1</v>
      </c>
      <c r="F2710">
        <v>22315</v>
      </c>
      <c r="G2710">
        <f>TbReceitas[[#This Row],[quantidade]]*TbReceitas[[#This Row],[preco_unitario]]</f>
        <v>22315</v>
      </c>
      <c r="H2710" t="str">
        <f>TEXT(TbReceitas[[#This Row],[data_transacao]], "aaaa-mm")</f>
        <v>2024-11</v>
      </c>
    </row>
    <row r="2711" spans="1:8">
      <c r="A2711">
        <v>2710</v>
      </c>
      <c r="B2711" s="1">
        <v>45978</v>
      </c>
      <c r="C2711" t="s">
        <v>999</v>
      </c>
      <c r="D2711" t="s">
        <v>275</v>
      </c>
      <c r="E2711">
        <v>4</v>
      </c>
      <c r="F2711">
        <v>1708</v>
      </c>
      <c r="G2711">
        <f>TbReceitas[[#This Row],[quantidade]]*TbReceitas[[#This Row],[preco_unitario]]</f>
        <v>6832</v>
      </c>
      <c r="H2711" t="str">
        <f>TEXT(TbReceitas[[#This Row],[data_transacao]], "aaaa-mm")</f>
        <v>2025-11</v>
      </c>
    </row>
    <row r="2712" spans="1:8">
      <c r="A2712">
        <v>2711</v>
      </c>
      <c r="B2712" s="1">
        <v>45888</v>
      </c>
      <c r="C2712" t="s">
        <v>1399</v>
      </c>
      <c r="D2712" t="s">
        <v>388</v>
      </c>
      <c r="E2712">
        <v>3</v>
      </c>
      <c r="F2712">
        <v>5518</v>
      </c>
      <c r="G2712">
        <f>TbReceitas[[#This Row],[quantidade]]*TbReceitas[[#This Row],[preco_unitario]]</f>
        <v>16554</v>
      </c>
      <c r="H2712" t="str">
        <f>TEXT(TbReceitas[[#This Row],[data_transacao]], "aaaa-mm")</f>
        <v>2025-08</v>
      </c>
    </row>
    <row r="2713" spans="1:8">
      <c r="A2713">
        <v>2712</v>
      </c>
      <c r="B2713" s="1">
        <v>46117</v>
      </c>
      <c r="C2713" t="s">
        <v>975</v>
      </c>
      <c r="D2713" t="s">
        <v>214</v>
      </c>
      <c r="E2713">
        <v>3</v>
      </c>
      <c r="F2713">
        <v>11351</v>
      </c>
      <c r="G2713">
        <f>TbReceitas[[#This Row],[quantidade]]*TbReceitas[[#This Row],[preco_unitario]]</f>
        <v>34053</v>
      </c>
      <c r="H2713" t="str">
        <f>TEXT(TbReceitas[[#This Row],[data_transacao]], "aaaa-mm")</f>
        <v>2026-04</v>
      </c>
    </row>
    <row r="2714" spans="1:8">
      <c r="A2714">
        <v>2713</v>
      </c>
      <c r="B2714" s="1">
        <v>45671</v>
      </c>
      <c r="C2714" t="s">
        <v>1039</v>
      </c>
      <c r="D2714" t="s">
        <v>626</v>
      </c>
      <c r="E2714">
        <v>2</v>
      </c>
      <c r="F2714">
        <v>17147</v>
      </c>
      <c r="G2714">
        <f>TbReceitas[[#This Row],[quantidade]]*TbReceitas[[#This Row],[preco_unitario]]</f>
        <v>34294</v>
      </c>
      <c r="H2714" t="str">
        <f>TEXT(TbReceitas[[#This Row],[data_transacao]], "aaaa-mm")</f>
        <v>2025-01</v>
      </c>
    </row>
    <row r="2715" spans="1:8">
      <c r="A2715">
        <v>2714</v>
      </c>
      <c r="B2715" s="1">
        <v>46238</v>
      </c>
      <c r="C2715" t="s">
        <v>1791</v>
      </c>
      <c r="D2715" t="s">
        <v>475</v>
      </c>
      <c r="E2715">
        <v>3</v>
      </c>
      <c r="F2715">
        <v>22017</v>
      </c>
      <c r="G2715">
        <f>TbReceitas[[#This Row],[quantidade]]*TbReceitas[[#This Row],[preco_unitario]]</f>
        <v>66051</v>
      </c>
      <c r="H2715" t="str">
        <f>TEXT(TbReceitas[[#This Row],[data_transacao]], "aaaa-mm")</f>
        <v>2026-08</v>
      </c>
    </row>
    <row r="2716" spans="1:8">
      <c r="A2716">
        <v>2715</v>
      </c>
      <c r="B2716" s="1">
        <v>45904</v>
      </c>
      <c r="C2716" t="s">
        <v>1014</v>
      </c>
      <c r="D2716" t="s">
        <v>281</v>
      </c>
      <c r="E2716">
        <v>1</v>
      </c>
      <c r="F2716">
        <v>16864</v>
      </c>
      <c r="G2716">
        <f>TbReceitas[[#This Row],[quantidade]]*TbReceitas[[#This Row],[preco_unitario]]</f>
        <v>16864</v>
      </c>
      <c r="H2716" t="str">
        <f>TEXT(TbReceitas[[#This Row],[data_transacao]], "aaaa-mm")</f>
        <v>2025-09</v>
      </c>
    </row>
    <row r="2717" spans="1:8">
      <c r="A2717">
        <v>2716</v>
      </c>
      <c r="B2717" s="1">
        <v>45872</v>
      </c>
      <c r="C2717" t="s">
        <v>841</v>
      </c>
      <c r="D2717" t="s">
        <v>46</v>
      </c>
      <c r="E2717">
        <v>3</v>
      </c>
      <c r="F2717">
        <v>13823</v>
      </c>
      <c r="G2717">
        <f>TbReceitas[[#This Row],[quantidade]]*TbReceitas[[#This Row],[preco_unitario]]</f>
        <v>41469</v>
      </c>
      <c r="H2717" t="str">
        <f>TEXT(TbReceitas[[#This Row],[data_transacao]], "aaaa-mm")</f>
        <v>2025-08</v>
      </c>
    </row>
    <row r="2718" spans="1:8">
      <c r="A2718">
        <v>2717</v>
      </c>
      <c r="B2718" s="1">
        <v>46157</v>
      </c>
      <c r="C2718" t="s">
        <v>1792</v>
      </c>
      <c r="D2718" t="s">
        <v>600</v>
      </c>
      <c r="E2718">
        <v>5</v>
      </c>
      <c r="F2718">
        <v>16392</v>
      </c>
      <c r="G2718">
        <f>TbReceitas[[#This Row],[quantidade]]*TbReceitas[[#This Row],[preco_unitario]]</f>
        <v>81960</v>
      </c>
      <c r="H2718" t="str">
        <f>TEXT(TbReceitas[[#This Row],[data_transacao]], "aaaa-mm")</f>
        <v>2026-05</v>
      </c>
    </row>
    <row r="2719" spans="1:8">
      <c r="A2719">
        <v>2718</v>
      </c>
      <c r="B2719" s="1">
        <v>45994</v>
      </c>
      <c r="C2719" t="s">
        <v>752</v>
      </c>
      <c r="D2719" t="s">
        <v>401</v>
      </c>
      <c r="E2719">
        <v>3</v>
      </c>
      <c r="F2719">
        <v>5058</v>
      </c>
      <c r="G2719">
        <f>TbReceitas[[#This Row],[quantidade]]*TbReceitas[[#This Row],[preco_unitario]]</f>
        <v>15174</v>
      </c>
      <c r="H2719" t="str">
        <f>TEXT(TbReceitas[[#This Row],[data_transacao]], "aaaa-mm")</f>
        <v>2025-12</v>
      </c>
    </row>
    <row r="2720" spans="1:8">
      <c r="A2720">
        <v>2719</v>
      </c>
      <c r="B2720" s="1">
        <v>45837</v>
      </c>
      <c r="C2720" t="s">
        <v>1793</v>
      </c>
      <c r="D2720" t="s">
        <v>525</v>
      </c>
      <c r="E2720">
        <v>3</v>
      </c>
      <c r="F2720">
        <v>5995</v>
      </c>
      <c r="G2720">
        <f>TbReceitas[[#This Row],[quantidade]]*TbReceitas[[#This Row],[preco_unitario]]</f>
        <v>17985</v>
      </c>
      <c r="H2720" t="str">
        <f>TEXT(TbReceitas[[#This Row],[data_transacao]], "aaaa-mm")</f>
        <v>2025-06</v>
      </c>
    </row>
    <row r="2721" spans="1:8">
      <c r="A2721">
        <v>2720</v>
      </c>
      <c r="B2721" s="1">
        <v>45689</v>
      </c>
      <c r="C2721" t="s">
        <v>1588</v>
      </c>
      <c r="D2721" t="s">
        <v>665</v>
      </c>
      <c r="E2721">
        <v>2</v>
      </c>
      <c r="F2721">
        <v>2409</v>
      </c>
      <c r="G2721">
        <f>TbReceitas[[#This Row],[quantidade]]*TbReceitas[[#This Row],[preco_unitario]]</f>
        <v>4818</v>
      </c>
      <c r="H2721" t="str">
        <f>TEXT(TbReceitas[[#This Row],[data_transacao]], "aaaa-mm")</f>
        <v>2025-02</v>
      </c>
    </row>
    <row r="2722" spans="1:8">
      <c r="A2722">
        <v>2721</v>
      </c>
      <c r="B2722" s="1">
        <v>45751</v>
      </c>
      <c r="C2722" t="s">
        <v>1467</v>
      </c>
      <c r="D2722" t="s">
        <v>359</v>
      </c>
      <c r="E2722">
        <v>5</v>
      </c>
      <c r="F2722">
        <v>18617</v>
      </c>
      <c r="G2722">
        <f>TbReceitas[[#This Row],[quantidade]]*TbReceitas[[#This Row],[preco_unitario]]</f>
        <v>93085</v>
      </c>
      <c r="H2722" t="str">
        <f>TEXT(TbReceitas[[#This Row],[data_transacao]], "aaaa-mm")</f>
        <v>2025-04</v>
      </c>
    </row>
    <row r="2723" spans="1:8">
      <c r="A2723">
        <v>2722</v>
      </c>
      <c r="B2723" s="1">
        <v>45661</v>
      </c>
      <c r="C2723" t="s">
        <v>1684</v>
      </c>
      <c r="D2723" t="s">
        <v>442</v>
      </c>
      <c r="E2723">
        <v>2</v>
      </c>
      <c r="F2723">
        <v>4426</v>
      </c>
      <c r="G2723">
        <f>TbReceitas[[#This Row],[quantidade]]*TbReceitas[[#This Row],[preco_unitario]]</f>
        <v>8852</v>
      </c>
      <c r="H2723" t="str">
        <f>TEXT(TbReceitas[[#This Row],[data_transacao]], "aaaa-mm")</f>
        <v>2025-01</v>
      </c>
    </row>
    <row r="2724" spans="1:8">
      <c r="A2724">
        <v>2723</v>
      </c>
      <c r="B2724" s="1">
        <v>45685</v>
      </c>
      <c r="C2724" t="s">
        <v>1377</v>
      </c>
      <c r="D2724" t="s">
        <v>340</v>
      </c>
      <c r="E2724">
        <v>5</v>
      </c>
      <c r="F2724">
        <v>13813</v>
      </c>
      <c r="G2724">
        <f>TbReceitas[[#This Row],[quantidade]]*TbReceitas[[#This Row],[preco_unitario]]</f>
        <v>69065</v>
      </c>
      <c r="H2724" t="str">
        <f>TEXT(TbReceitas[[#This Row],[data_transacao]], "aaaa-mm")</f>
        <v>2025-01</v>
      </c>
    </row>
    <row r="2725" spans="1:8">
      <c r="A2725">
        <v>2724</v>
      </c>
      <c r="B2725" s="1">
        <v>46179</v>
      </c>
      <c r="C2725" t="s">
        <v>1794</v>
      </c>
      <c r="D2725" t="s">
        <v>360</v>
      </c>
      <c r="E2725">
        <v>2</v>
      </c>
      <c r="F2725">
        <v>8663</v>
      </c>
      <c r="G2725">
        <f>TbReceitas[[#This Row],[quantidade]]*TbReceitas[[#This Row],[preco_unitario]]</f>
        <v>17326</v>
      </c>
      <c r="H2725" t="str">
        <f>TEXT(TbReceitas[[#This Row],[data_transacao]], "aaaa-mm")</f>
        <v>2026-06</v>
      </c>
    </row>
    <row r="2726" spans="1:8">
      <c r="A2726">
        <v>2725</v>
      </c>
      <c r="B2726" s="1">
        <v>45617</v>
      </c>
      <c r="C2726" t="s">
        <v>1343</v>
      </c>
      <c r="D2726" t="s">
        <v>18</v>
      </c>
      <c r="E2726">
        <v>1</v>
      </c>
      <c r="F2726">
        <v>7076</v>
      </c>
      <c r="G2726">
        <f>TbReceitas[[#This Row],[quantidade]]*TbReceitas[[#This Row],[preco_unitario]]</f>
        <v>7076</v>
      </c>
      <c r="H2726" t="str">
        <f>TEXT(TbReceitas[[#This Row],[data_transacao]], "aaaa-mm")</f>
        <v>2024-11</v>
      </c>
    </row>
    <row r="2727" spans="1:8">
      <c r="A2727">
        <v>2726</v>
      </c>
      <c r="B2727" s="1">
        <v>46134</v>
      </c>
      <c r="C2727" t="s">
        <v>1082</v>
      </c>
      <c r="D2727" t="s">
        <v>453</v>
      </c>
      <c r="E2727">
        <v>3</v>
      </c>
      <c r="F2727">
        <v>8033</v>
      </c>
      <c r="G2727">
        <f>TbReceitas[[#This Row],[quantidade]]*TbReceitas[[#This Row],[preco_unitario]]</f>
        <v>24099</v>
      </c>
      <c r="H2727" t="str">
        <f>TEXT(TbReceitas[[#This Row],[data_transacao]], "aaaa-mm")</f>
        <v>2026-04</v>
      </c>
    </row>
    <row r="2728" spans="1:8">
      <c r="A2728">
        <v>2727</v>
      </c>
      <c r="B2728" s="1">
        <v>45884</v>
      </c>
      <c r="C2728" t="s">
        <v>1717</v>
      </c>
      <c r="D2728" t="s">
        <v>255</v>
      </c>
      <c r="E2728">
        <v>4</v>
      </c>
      <c r="F2728">
        <v>16027</v>
      </c>
      <c r="G2728">
        <f>TbReceitas[[#This Row],[quantidade]]*TbReceitas[[#This Row],[preco_unitario]]</f>
        <v>64108</v>
      </c>
      <c r="H2728" t="str">
        <f>TEXT(TbReceitas[[#This Row],[data_transacao]], "aaaa-mm")</f>
        <v>2025-08</v>
      </c>
    </row>
    <row r="2729" spans="1:8">
      <c r="A2729">
        <v>2728</v>
      </c>
      <c r="B2729" s="1">
        <v>45613</v>
      </c>
      <c r="C2729" t="s">
        <v>1549</v>
      </c>
      <c r="D2729" t="s">
        <v>309</v>
      </c>
      <c r="E2729">
        <v>1</v>
      </c>
      <c r="F2729">
        <v>11854</v>
      </c>
      <c r="G2729">
        <f>TbReceitas[[#This Row],[quantidade]]*TbReceitas[[#This Row],[preco_unitario]]</f>
        <v>11854</v>
      </c>
      <c r="H2729" t="str">
        <f>TEXT(TbReceitas[[#This Row],[data_transacao]], "aaaa-mm")</f>
        <v>2024-11</v>
      </c>
    </row>
    <row r="2730" spans="1:8">
      <c r="A2730">
        <v>2729</v>
      </c>
      <c r="B2730" s="1">
        <v>45610</v>
      </c>
      <c r="C2730" t="s">
        <v>960</v>
      </c>
      <c r="D2730" t="s">
        <v>297</v>
      </c>
      <c r="E2730">
        <v>2</v>
      </c>
      <c r="F2730">
        <v>14665</v>
      </c>
      <c r="G2730">
        <f>TbReceitas[[#This Row],[quantidade]]*TbReceitas[[#This Row],[preco_unitario]]</f>
        <v>29330</v>
      </c>
      <c r="H2730" t="str">
        <f>TEXT(TbReceitas[[#This Row],[data_transacao]], "aaaa-mm")</f>
        <v>2024-11</v>
      </c>
    </row>
    <row r="2731" spans="1:8">
      <c r="A2731">
        <v>2730</v>
      </c>
      <c r="B2731" s="1">
        <v>46235</v>
      </c>
      <c r="C2731" t="s">
        <v>1390</v>
      </c>
      <c r="D2731" t="s">
        <v>493</v>
      </c>
      <c r="E2731">
        <v>2</v>
      </c>
      <c r="F2731">
        <v>13377</v>
      </c>
      <c r="G2731">
        <f>TbReceitas[[#This Row],[quantidade]]*TbReceitas[[#This Row],[preco_unitario]]</f>
        <v>26754</v>
      </c>
      <c r="H2731" t="str">
        <f>TEXT(TbReceitas[[#This Row],[data_transacao]], "aaaa-mm")</f>
        <v>2026-08</v>
      </c>
    </row>
    <row r="2732" spans="1:8">
      <c r="A2732">
        <v>2731</v>
      </c>
      <c r="B2732" s="1">
        <v>45969</v>
      </c>
      <c r="C2732" t="s">
        <v>1795</v>
      </c>
      <c r="D2732" t="s">
        <v>518</v>
      </c>
      <c r="E2732">
        <v>2</v>
      </c>
      <c r="F2732">
        <v>17505</v>
      </c>
      <c r="G2732">
        <f>TbReceitas[[#This Row],[quantidade]]*TbReceitas[[#This Row],[preco_unitario]]</f>
        <v>35010</v>
      </c>
      <c r="H2732" t="str">
        <f>TEXT(TbReceitas[[#This Row],[data_transacao]], "aaaa-mm")</f>
        <v>2025-11</v>
      </c>
    </row>
    <row r="2733" spans="1:8">
      <c r="A2733">
        <v>2732</v>
      </c>
      <c r="B2733" s="1">
        <v>45636</v>
      </c>
      <c r="C2733" t="s">
        <v>1553</v>
      </c>
      <c r="D2733" t="s">
        <v>546</v>
      </c>
      <c r="E2733">
        <v>1</v>
      </c>
      <c r="F2733">
        <v>21187</v>
      </c>
      <c r="G2733">
        <f>TbReceitas[[#This Row],[quantidade]]*TbReceitas[[#This Row],[preco_unitario]]</f>
        <v>21187</v>
      </c>
      <c r="H2733" t="str">
        <f>TEXT(TbReceitas[[#This Row],[data_transacao]], "aaaa-mm")</f>
        <v>2024-12</v>
      </c>
    </row>
    <row r="2734" spans="1:8">
      <c r="A2734">
        <v>2733</v>
      </c>
      <c r="B2734" s="1">
        <v>45597</v>
      </c>
      <c r="C2734" t="s">
        <v>1765</v>
      </c>
      <c r="D2734" t="s">
        <v>591</v>
      </c>
      <c r="E2734">
        <v>5</v>
      </c>
      <c r="F2734">
        <v>1718</v>
      </c>
      <c r="G2734">
        <f>TbReceitas[[#This Row],[quantidade]]*TbReceitas[[#This Row],[preco_unitario]]</f>
        <v>8590</v>
      </c>
      <c r="H2734" t="str">
        <f>TEXT(TbReceitas[[#This Row],[data_transacao]], "aaaa-mm")</f>
        <v>2024-11</v>
      </c>
    </row>
    <row r="2735" spans="1:8">
      <c r="A2735">
        <v>2734</v>
      </c>
      <c r="B2735" s="1">
        <v>45944</v>
      </c>
      <c r="C2735" t="s">
        <v>1796</v>
      </c>
      <c r="D2735" t="s">
        <v>452</v>
      </c>
      <c r="E2735">
        <v>4</v>
      </c>
      <c r="F2735">
        <v>607</v>
      </c>
      <c r="G2735">
        <f>TbReceitas[[#This Row],[quantidade]]*TbReceitas[[#This Row],[preco_unitario]]</f>
        <v>2428</v>
      </c>
      <c r="H2735" t="str">
        <f>TEXT(TbReceitas[[#This Row],[data_transacao]], "aaaa-mm")</f>
        <v>2025-10</v>
      </c>
    </row>
    <row r="2736" spans="1:8">
      <c r="A2736">
        <v>2735</v>
      </c>
      <c r="B2736" s="1">
        <v>46149</v>
      </c>
      <c r="C2736" t="s">
        <v>1626</v>
      </c>
      <c r="D2736" t="s">
        <v>410</v>
      </c>
      <c r="E2736">
        <v>1</v>
      </c>
      <c r="F2736">
        <v>11982</v>
      </c>
      <c r="G2736">
        <f>TbReceitas[[#This Row],[quantidade]]*TbReceitas[[#This Row],[preco_unitario]]</f>
        <v>11982</v>
      </c>
      <c r="H2736" t="str">
        <f>TEXT(TbReceitas[[#This Row],[data_transacao]], "aaaa-mm")</f>
        <v>2026-05</v>
      </c>
    </row>
    <row r="2737" spans="1:8">
      <c r="A2737">
        <v>2736</v>
      </c>
      <c r="B2737" s="1">
        <v>45652</v>
      </c>
      <c r="C2737" t="s">
        <v>1078</v>
      </c>
      <c r="D2737" t="s">
        <v>112</v>
      </c>
      <c r="E2737">
        <v>3</v>
      </c>
      <c r="F2737">
        <v>19319</v>
      </c>
      <c r="G2737">
        <f>TbReceitas[[#This Row],[quantidade]]*TbReceitas[[#This Row],[preco_unitario]]</f>
        <v>57957</v>
      </c>
      <c r="H2737" t="str">
        <f>TEXT(TbReceitas[[#This Row],[data_transacao]], "aaaa-mm")</f>
        <v>2024-12</v>
      </c>
    </row>
    <row r="2738" spans="1:8">
      <c r="A2738">
        <v>2737</v>
      </c>
      <c r="B2738" s="1">
        <v>45984</v>
      </c>
      <c r="C2738" t="s">
        <v>1782</v>
      </c>
      <c r="D2738" t="s">
        <v>104</v>
      </c>
      <c r="E2738">
        <v>1</v>
      </c>
      <c r="F2738">
        <v>11181</v>
      </c>
      <c r="G2738">
        <f>TbReceitas[[#This Row],[quantidade]]*TbReceitas[[#This Row],[preco_unitario]]</f>
        <v>11181</v>
      </c>
      <c r="H2738" t="str">
        <f>TEXT(TbReceitas[[#This Row],[data_transacao]], "aaaa-mm")</f>
        <v>2025-11</v>
      </c>
    </row>
    <row r="2739" spans="1:8">
      <c r="A2739">
        <v>2738</v>
      </c>
      <c r="B2739" s="1">
        <v>46154</v>
      </c>
      <c r="C2739" t="s">
        <v>995</v>
      </c>
      <c r="D2739" t="s">
        <v>688</v>
      </c>
      <c r="E2739">
        <v>3</v>
      </c>
      <c r="F2739">
        <v>24347</v>
      </c>
      <c r="G2739">
        <f>TbReceitas[[#This Row],[quantidade]]*TbReceitas[[#This Row],[preco_unitario]]</f>
        <v>73041</v>
      </c>
      <c r="H2739" t="str">
        <f>TEXT(TbReceitas[[#This Row],[data_transacao]], "aaaa-mm")</f>
        <v>2026-05</v>
      </c>
    </row>
    <row r="2740" spans="1:8">
      <c r="A2740">
        <v>2739</v>
      </c>
      <c r="B2740" s="1">
        <v>46218</v>
      </c>
      <c r="C2740" t="s">
        <v>944</v>
      </c>
      <c r="D2740" t="s">
        <v>127</v>
      </c>
      <c r="E2740">
        <v>4</v>
      </c>
      <c r="F2740">
        <v>648</v>
      </c>
      <c r="G2740">
        <f>TbReceitas[[#This Row],[quantidade]]*TbReceitas[[#This Row],[preco_unitario]]</f>
        <v>2592</v>
      </c>
      <c r="H2740" t="str">
        <f>TEXT(TbReceitas[[#This Row],[data_transacao]], "aaaa-mm")</f>
        <v>2026-07</v>
      </c>
    </row>
    <row r="2741" spans="1:8">
      <c r="A2741">
        <v>2740</v>
      </c>
      <c r="B2741" s="1">
        <v>46197</v>
      </c>
      <c r="C2741" t="s">
        <v>1226</v>
      </c>
      <c r="D2741" t="s">
        <v>581</v>
      </c>
      <c r="E2741">
        <v>2</v>
      </c>
      <c r="F2741">
        <v>2067</v>
      </c>
      <c r="G2741">
        <f>TbReceitas[[#This Row],[quantidade]]*TbReceitas[[#This Row],[preco_unitario]]</f>
        <v>4134</v>
      </c>
      <c r="H2741" t="str">
        <f>TEXT(TbReceitas[[#This Row],[data_transacao]], "aaaa-mm")</f>
        <v>2026-06</v>
      </c>
    </row>
    <row r="2742" spans="1:8">
      <c r="A2742">
        <v>2741</v>
      </c>
      <c r="B2742" s="1">
        <v>45776</v>
      </c>
      <c r="C2742" t="s">
        <v>1284</v>
      </c>
      <c r="D2742" t="s">
        <v>161</v>
      </c>
      <c r="E2742">
        <v>1</v>
      </c>
      <c r="F2742">
        <v>7317</v>
      </c>
      <c r="G2742">
        <f>TbReceitas[[#This Row],[quantidade]]*TbReceitas[[#This Row],[preco_unitario]]</f>
        <v>7317</v>
      </c>
      <c r="H2742" t="str">
        <f>TEXT(TbReceitas[[#This Row],[data_transacao]], "aaaa-mm")</f>
        <v>2025-04</v>
      </c>
    </row>
    <row r="2743" spans="1:8">
      <c r="A2743">
        <v>2742</v>
      </c>
      <c r="B2743" s="1">
        <v>45555</v>
      </c>
      <c r="C2743" t="s">
        <v>1133</v>
      </c>
      <c r="D2743" t="s">
        <v>697</v>
      </c>
      <c r="E2743">
        <v>5</v>
      </c>
      <c r="F2743">
        <v>24199</v>
      </c>
      <c r="G2743">
        <f>TbReceitas[[#This Row],[quantidade]]*TbReceitas[[#This Row],[preco_unitario]]</f>
        <v>120995</v>
      </c>
      <c r="H2743" t="str">
        <f>TEXT(TbReceitas[[#This Row],[data_transacao]], "aaaa-mm")</f>
        <v>2024-09</v>
      </c>
    </row>
    <row r="2744" spans="1:8">
      <c r="A2744">
        <v>2743</v>
      </c>
      <c r="B2744" s="1">
        <v>46025</v>
      </c>
      <c r="C2744" t="s">
        <v>1549</v>
      </c>
      <c r="D2744" t="s">
        <v>454</v>
      </c>
      <c r="E2744">
        <v>3</v>
      </c>
      <c r="F2744">
        <v>4692</v>
      </c>
      <c r="G2744">
        <f>TbReceitas[[#This Row],[quantidade]]*TbReceitas[[#This Row],[preco_unitario]]</f>
        <v>14076</v>
      </c>
      <c r="H2744" t="str">
        <f>TEXT(TbReceitas[[#This Row],[data_transacao]], "aaaa-mm")</f>
        <v>2026-01</v>
      </c>
    </row>
    <row r="2745" spans="1:8">
      <c r="A2745">
        <v>2744</v>
      </c>
      <c r="B2745" s="1">
        <v>45583</v>
      </c>
      <c r="C2745" t="s">
        <v>1797</v>
      </c>
      <c r="D2745" t="s">
        <v>358</v>
      </c>
      <c r="E2745">
        <v>5</v>
      </c>
      <c r="F2745">
        <v>11913</v>
      </c>
      <c r="G2745">
        <f>TbReceitas[[#This Row],[quantidade]]*TbReceitas[[#This Row],[preco_unitario]]</f>
        <v>59565</v>
      </c>
      <c r="H2745" t="str">
        <f>TEXT(TbReceitas[[#This Row],[data_transacao]], "aaaa-mm")</f>
        <v>2024-10</v>
      </c>
    </row>
    <row r="2746" spans="1:8">
      <c r="A2746">
        <v>2745</v>
      </c>
      <c r="B2746" s="1">
        <v>46171</v>
      </c>
      <c r="C2746" t="s">
        <v>1584</v>
      </c>
      <c r="D2746" t="s">
        <v>161</v>
      </c>
      <c r="E2746">
        <v>4</v>
      </c>
      <c r="F2746">
        <v>7317</v>
      </c>
      <c r="G2746">
        <f>TbReceitas[[#This Row],[quantidade]]*TbReceitas[[#This Row],[preco_unitario]]</f>
        <v>29268</v>
      </c>
      <c r="H2746" t="str">
        <f>TEXT(TbReceitas[[#This Row],[data_transacao]], "aaaa-mm")</f>
        <v>2026-05</v>
      </c>
    </row>
    <row r="2747" spans="1:8">
      <c r="A2747">
        <v>2746</v>
      </c>
      <c r="B2747" s="1">
        <v>45831</v>
      </c>
      <c r="C2747" t="s">
        <v>758</v>
      </c>
      <c r="D2747" t="s">
        <v>660</v>
      </c>
      <c r="E2747">
        <v>3</v>
      </c>
      <c r="F2747">
        <v>2289</v>
      </c>
      <c r="G2747">
        <f>TbReceitas[[#This Row],[quantidade]]*TbReceitas[[#This Row],[preco_unitario]]</f>
        <v>6867</v>
      </c>
      <c r="H2747" t="str">
        <f>TEXT(TbReceitas[[#This Row],[data_transacao]], "aaaa-mm")</f>
        <v>2025-06</v>
      </c>
    </row>
    <row r="2748" spans="1:8">
      <c r="A2748">
        <v>2747</v>
      </c>
      <c r="B2748" s="1">
        <v>45946</v>
      </c>
      <c r="C2748" t="s">
        <v>1296</v>
      </c>
      <c r="D2748" t="s">
        <v>697</v>
      </c>
      <c r="E2748">
        <v>5</v>
      </c>
      <c r="F2748">
        <v>24199</v>
      </c>
      <c r="G2748">
        <f>TbReceitas[[#This Row],[quantidade]]*TbReceitas[[#This Row],[preco_unitario]]</f>
        <v>120995</v>
      </c>
      <c r="H2748" t="str">
        <f>TEXT(TbReceitas[[#This Row],[data_transacao]], "aaaa-mm")</f>
        <v>2025-10</v>
      </c>
    </row>
    <row r="2749" spans="1:8">
      <c r="A2749">
        <v>2748</v>
      </c>
      <c r="B2749" s="1">
        <v>45870</v>
      </c>
      <c r="C2749" t="s">
        <v>1460</v>
      </c>
      <c r="D2749" t="s">
        <v>267</v>
      </c>
      <c r="E2749">
        <v>3</v>
      </c>
      <c r="F2749">
        <v>8433</v>
      </c>
      <c r="G2749">
        <f>TbReceitas[[#This Row],[quantidade]]*TbReceitas[[#This Row],[preco_unitario]]</f>
        <v>25299</v>
      </c>
      <c r="H2749" t="str">
        <f>TEXT(TbReceitas[[#This Row],[data_transacao]], "aaaa-mm")</f>
        <v>2025-08</v>
      </c>
    </row>
    <row r="2750" spans="1:8">
      <c r="A2750">
        <v>2749</v>
      </c>
      <c r="B2750" s="1">
        <v>46266</v>
      </c>
      <c r="C2750" t="s">
        <v>1222</v>
      </c>
      <c r="D2750" t="s">
        <v>248</v>
      </c>
      <c r="E2750">
        <v>5</v>
      </c>
      <c r="F2750">
        <v>20401</v>
      </c>
      <c r="G2750">
        <f>TbReceitas[[#This Row],[quantidade]]*TbReceitas[[#This Row],[preco_unitario]]</f>
        <v>102005</v>
      </c>
      <c r="H2750" t="str">
        <f>TEXT(TbReceitas[[#This Row],[data_transacao]], "aaaa-mm")</f>
        <v>2026-09</v>
      </c>
    </row>
    <row r="2751" spans="1:8">
      <c r="A2751">
        <v>2750</v>
      </c>
      <c r="B2751" s="1">
        <v>45576</v>
      </c>
      <c r="C2751" t="s">
        <v>1743</v>
      </c>
      <c r="D2751" t="s">
        <v>147</v>
      </c>
      <c r="E2751">
        <v>2</v>
      </c>
      <c r="F2751">
        <v>3654</v>
      </c>
      <c r="G2751">
        <f>TbReceitas[[#This Row],[quantidade]]*TbReceitas[[#This Row],[preco_unitario]]</f>
        <v>7308</v>
      </c>
      <c r="H2751" t="str">
        <f>TEXT(TbReceitas[[#This Row],[data_transacao]], "aaaa-mm")</f>
        <v>2024-10</v>
      </c>
    </row>
    <row r="2752" spans="1:8">
      <c r="A2752">
        <v>2751</v>
      </c>
      <c r="B2752" s="1">
        <v>45640</v>
      </c>
      <c r="C2752" t="s">
        <v>1278</v>
      </c>
      <c r="D2752" t="s">
        <v>616</v>
      </c>
      <c r="E2752">
        <v>5</v>
      </c>
      <c r="F2752">
        <v>23118</v>
      </c>
      <c r="G2752">
        <f>TbReceitas[[#This Row],[quantidade]]*TbReceitas[[#This Row],[preco_unitario]]</f>
        <v>115590</v>
      </c>
      <c r="H2752" t="str">
        <f>TEXT(TbReceitas[[#This Row],[data_transacao]], "aaaa-mm")</f>
        <v>2024-12</v>
      </c>
    </row>
    <row r="2753" spans="1:8">
      <c r="A2753">
        <v>2752</v>
      </c>
      <c r="B2753" s="1">
        <v>45845</v>
      </c>
      <c r="C2753" t="s">
        <v>1319</v>
      </c>
      <c r="D2753" t="s">
        <v>186</v>
      </c>
      <c r="E2753">
        <v>2</v>
      </c>
      <c r="F2753">
        <v>5111</v>
      </c>
      <c r="G2753">
        <f>TbReceitas[[#This Row],[quantidade]]*TbReceitas[[#This Row],[preco_unitario]]</f>
        <v>10222</v>
      </c>
      <c r="H2753" t="str">
        <f>TEXT(TbReceitas[[#This Row],[data_transacao]], "aaaa-mm")</f>
        <v>2025-07</v>
      </c>
    </row>
    <row r="2754" spans="1:8">
      <c r="A2754">
        <v>2753</v>
      </c>
      <c r="B2754" s="1">
        <v>45687</v>
      </c>
      <c r="C2754" t="s">
        <v>921</v>
      </c>
      <c r="D2754" t="s">
        <v>232</v>
      </c>
      <c r="E2754">
        <v>4</v>
      </c>
      <c r="F2754">
        <v>17502</v>
      </c>
      <c r="G2754">
        <f>TbReceitas[[#This Row],[quantidade]]*TbReceitas[[#This Row],[preco_unitario]]</f>
        <v>70008</v>
      </c>
      <c r="H2754" t="str">
        <f>TEXT(TbReceitas[[#This Row],[data_transacao]], "aaaa-mm")</f>
        <v>2025-01</v>
      </c>
    </row>
    <row r="2755" spans="1:8">
      <c r="A2755">
        <v>2754</v>
      </c>
      <c r="B2755" s="1">
        <v>45889</v>
      </c>
      <c r="C2755" t="s">
        <v>1458</v>
      </c>
      <c r="D2755" t="s">
        <v>557</v>
      </c>
      <c r="E2755">
        <v>5</v>
      </c>
      <c r="F2755">
        <v>5746</v>
      </c>
      <c r="G2755">
        <f>TbReceitas[[#This Row],[quantidade]]*TbReceitas[[#This Row],[preco_unitario]]</f>
        <v>28730</v>
      </c>
      <c r="H2755" t="str">
        <f>TEXT(TbReceitas[[#This Row],[data_transacao]], "aaaa-mm")</f>
        <v>2025-08</v>
      </c>
    </row>
    <row r="2756" spans="1:8">
      <c r="A2756">
        <v>2755</v>
      </c>
      <c r="B2756" s="1">
        <v>46158</v>
      </c>
      <c r="C2756" t="s">
        <v>1049</v>
      </c>
      <c r="D2756" t="s">
        <v>588</v>
      </c>
      <c r="E2756">
        <v>4</v>
      </c>
      <c r="F2756">
        <v>15168</v>
      </c>
      <c r="G2756">
        <f>TbReceitas[[#This Row],[quantidade]]*TbReceitas[[#This Row],[preco_unitario]]</f>
        <v>60672</v>
      </c>
      <c r="H2756" t="str">
        <f>TEXT(TbReceitas[[#This Row],[data_transacao]], "aaaa-mm")</f>
        <v>2026-05</v>
      </c>
    </row>
    <row r="2757" spans="1:8">
      <c r="A2757">
        <v>2756</v>
      </c>
      <c r="B2757" s="1">
        <v>45773</v>
      </c>
      <c r="C2757" t="s">
        <v>1718</v>
      </c>
      <c r="D2757" t="s">
        <v>291</v>
      </c>
      <c r="E2757">
        <v>2</v>
      </c>
      <c r="F2757">
        <v>24715</v>
      </c>
      <c r="G2757">
        <f>TbReceitas[[#This Row],[quantidade]]*TbReceitas[[#This Row],[preco_unitario]]</f>
        <v>49430</v>
      </c>
      <c r="H2757" t="str">
        <f>TEXT(TbReceitas[[#This Row],[data_transacao]], "aaaa-mm")</f>
        <v>2025-04</v>
      </c>
    </row>
    <row r="2758" spans="1:8">
      <c r="A2758">
        <v>2757</v>
      </c>
      <c r="B2758" s="1">
        <v>46260</v>
      </c>
      <c r="C2758" t="s">
        <v>1659</v>
      </c>
      <c r="D2758" t="s">
        <v>404</v>
      </c>
      <c r="E2758">
        <v>4</v>
      </c>
      <c r="F2758">
        <v>23298</v>
      </c>
      <c r="G2758">
        <f>TbReceitas[[#This Row],[quantidade]]*TbReceitas[[#This Row],[preco_unitario]]</f>
        <v>93192</v>
      </c>
      <c r="H2758" t="str">
        <f>TEXT(TbReceitas[[#This Row],[data_transacao]], "aaaa-mm")</f>
        <v>2026-08</v>
      </c>
    </row>
    <row r="2759" spans="1:8">
      <c r="A2759">
        <v>2758</v>
      </c>
      <c r="B2759" s="1">
        <v>46172</v>
      </c>
      <c r="C2759" t="s">
        <v>1116</v>
      </c>
      <c r="D2759" t="s">
        <v>196</v>
      </c>
      <c r="E2759">
        <v>4</v>
      </c>
      <c r="F2759">
        <v>8167</v>
      </c>
      <c r="G2759">
        <f>TbReceitas[[#This Row],[quantidade]]*TbReceitas[[#This Row],[preco_unitario]]</f>
        <v>32668</v>
      </c>
      <c r="H2759" t="str">
        <f>TEXT(TbReceitas[[#This Row],[data_transacao]], "aaaa-mm")</f>
        <v>2026-05</v>
      </c>
    </row>
    <row r="2760" spans="1:8">
      <c r="A2760">
        <v>2759</v>
      </c>
      <c r="B2760" s="1">
        <v>45970</v>
      </c>
      <c r="C2760" t="s">
        <v>1156</v>
      </c>
      <c r="D2760" t="s">
        <v>20</v>
      </c>
      <c r="E2760">
        <v>1</v>
      </c>
      <c r="F2760">
        <v>5319</v>
      </c>
      <c r="G2760">
        <f>TbReceitas[[#This Row],[quantidade]]*TbReceitas[[#This Row],[preco_unitario]]</f>
        <v>5319</v>
      </c>
      <c r="H2760" t="str">
        <f>TEXT(TbReceitas[[#This Row],[data_transacao]], "aaaa-mm")</f>
        <v>2025-11</v>
      </c>
    </row>
    <row r="2761" spans="1:8">
      <c r="A2761">
        <v>2760</v>
      </c>
      <c r="B2761" s="1">
        <v>45693</v>
      </c>
      <c r="C2761" t="s">
        <v>1059</v>
      </c>
      <c r="D2761" t="s">
        <v>594</v>
      </c>
      <c r="E2761">
        <v>3</v>
      </c>
      <c r="F2761">
        <v>9862</v>
      </c>
      <c r="G2761">
        <f>TbReceitas[[#This Row],[quantidade]]*TbReceitas[[#This Row],[preco_unitario]]</f>
        <v>29586</v>
      </c>
      <c r="H2761" t="str">
        <f>TEXT(TbReceitas[[#This Row],[data_transacao]], "aaaa-mm")</f>
        <v>2025-02</v>
      </c>
    </row>
    <row r="2762" spans="1:8">
      <c r="A2762">
        <v>2761</v>
      </c>
      <c r="B2762" s="1">
        <v>45795</v>
      </c>
      <c r="C2762" t="s">
        <v>1071</v>
      </c>
      <c r="D2762" t="s">
        <v>637</v>
      </c>
      <c r="E2762">
        <v>4</v>
      </c>
      <c r="F2762">
        <v>449</v>
      </c>
      <c r="G2762">
        <f>TbReceitas[[#This Row],[quantidade]]*TbReceitas[[#This Row],[preco_unitario]]</f>
        <v>1796</v>
      </c>
      <c r="H2762" t="str">
        <f>TEXT(TbReceitas[[#This Row],[data_transacao]], "aaaa-mm")</f>
        <v>2025-05</v>
      </c>
    </row>
    <row r="2763" spans="1:8">
      <c r="A2763">
        <v>2762</v>
      </c>
      <c r="B2763" s="1">
        <v>46120</v>
      </c>
      <c r="C2763" t="s">
        <v>884</v>
      </c>
      <c r="D2763" t="s">
        <v>325</v>
      </c>
      <c r="E2763">
        <v>1</v>
      </c>
      <c r="F2763">
        <v>15415</v>
      </c>
      <c r="G2763">
        <f>TbReceitas[[#This Row],[quantidade]]*TbReceitas[[#This Row],[preco_unitario]]</f>
        <v>15415</v>
      </c>
      <c r="H2763" t="str">
        <f>TEXT(TbReceitas[[#This Row],[data_transacao]], "aaaa-mm")</f>
        <v>2026-04</v>
      </c>
    </row>
    <row r="2764" spans="1:8">
      <c r="A2764">
        <v>2763</v>
      </c>
      <c r="B2764" s="1">
        <v>45629</v>
      </c>
      <c r="C2764" t="s">
        <v>1296</v>
      </c>
      <c r="D2764" t="s">
        <v>241</v>
      </c>
      <c r="E2764">
        <v>4</v>
      </c>
      <c r="F2764">
        <v>19575</v>
      </c>
      <c r="G2764">
        <f>TbReceitas[[#This Row],[quantidade]]*TbReceitas[[#This Row],[preco_unitario]]</f>
        <v>78300</v>
      </c>
      <c r="H2764" t="str">
        <f>TEXT(TbReceitas[[#This Row],[data_transacao]], "aaaa-mm")</f>
        <v>2024-12</v>
      </c>
    </row>
    <row r="2765" spans="1:8">
      <c r="A2765">
        <v>2764</v>
      </c>
      <c r="B2765" s="1">
        <v>46041</v>
      </c>
      <c r="C2765" t="s">
        <v>1684</v>
      </c>
      <c r="D2765" t="s">
        <v>32</v>
      </c>
      <c r="E2765">
        <v>3</v>
      </c>
      <c r="F2765">
        <v>3098</v>
      </c>
      <c r="G2765">
        <f>TbReceitas[[#This Row],[quantidade]]*TbReceitas[[#This Row],[preco_unitario]]</f>
        <v>9294</v>
      </c>
      <c r="H2765" t="str">
        <f>TEXT(TbReceitas[[#This Row],[data_transacao]], "aaaa-mm")</f>
        <v>2026-01</v>
      </c>
    </row>
    <row r="2766" spans="1:8">
      <c r="A2766">
        <v>2765</v>
      </c>
      <c r="B2766" s="1">
        <v>45688</v>
      </c>
      <c r="C2766" t="s">
        <v>802</v>
      </c>
      <c r="D2766" t="s">
        <v>99</v>
      </c>
      <c r="E2766">
        <v>2</v>
      </c>
      <c r="F2766">
        <v>19038</v>
      </c>
      <c r="G2766">
        <f>TbReceitas[[#This Row],[quantidade]]*TbReceitas[[#This Row],[preco_unitario]]</f>
        <v>38076</v>
      </c>
      <c r="H2766" t="str">
        <f>TEXT(TbReceitas[[#This Row],[data_transacao]], "aaaa-mm")</f>
        <v>2025-01</v>
      </c>
    </row>
    <row r="2767" spans="1:8">
      <c r="A2767">
        <v>2766</v>
      </c>
      <c r="B2767" s="1">
        <v>45967</v>
      </c>
      <c r="C2767" t="s">
        <v>1648</v>
      </c>
      <c r="D2767" t="s">
        <v>354</v>
      </c>
      <c r="E2767">
        <v>2</v>
      </c>
      <c r="F2767">
        <v>19135</v>
      </c>
      <c r="G2767">
        <f>TbReceitas[[#This Row],[quantidade]]*TbReceitas[[#This Row],[preco_unitario]]</f>
        <v>38270</v>
      </c>
      <c r="H2767" t="str">
        <f>TEXT(TbReceitas[[#This Row],[data_transacao]], "aaaa-mm")</f>
        <v>2025-11</v>
      </c>
    </row>
    <row r="2768" spans="1:8">
      <c r="A2768">
        <v>2767</v>
      </c>
      <c r="B2768" s="1">
        <v>46131</v>
      </c>
      <c r="C2768" t="s">
        <v>1639</v>
      </c>
      <c r="D2768" t="s">
        <v>180</v>
      </c>
      <c r="E2768">
        <v>1</v>
      </c>
      <c r="F2768">
        <v>2024</v>
      </c>
      <c r="G2768">
        <f>TbReceitas[[#This Row],[quantidade]]*TbReceitas[[#This Row],[preco_unitario]]</f>
        <v>2024</v>
      </c>
      <c r="H2768" t="str">
        <f>TEXT(TbReceitas[[#This Row],[data_transacao]], "aaaa-mm")</f>
        <v>2026-04</v>
      </c>
    </row>
    <row r="2769" spans="1:8">
      <c r="A2769">
        <v>2768</v>
      </c>
      <c r="B2769" s="1">
        <v>46041</v>
      </c>
      <c r="C2769" t="s">
        <v>1798</v>
      </c>
      <c r="D2769" t="s">
        <v>533</v>
      </c>
      <c r="E2769">
        <v>3</v>
      </c>
      <c r="F2769">
        <v>7628</v>
      </c>
      <c r="G2769">
        <f>TbReceitas[[#This Row],[quantidade]]*TbReceitas[[#This Row],[preco_unitario]]</f>
        <v>22884</v>
      </c>
      <c r="H2769" t="str">
        <f>TEXT(TbReceitas[[#This Row],[data_transacao]], "aaaa-mm")</f>
        <v>2026-01</v>
      </c>
    </row>
    <row r="2770" spans="1:8">
      <c r="A2770">
        <v>2769</v>
      </c>
      <c r="B2770" s="1">
        <v>46034</v>
      </c>
      <c r="C2770" t="s">
        <v>1799</v>
      </c>
      <c r="D2770" t="s">
        <v>582</v>
      </c>
      <c r="E2770">
        <v>2</v>
      </c>
      <c r="F2770">
        <v>24131</v>
      </c>
      <c r="G2770">
        <f>TbReceitas[[#This Row],[quantidade]]*TbReceitas[[#This Row],[preco_unitario]]</f>
        <v>48262</v>
      </c>
      <c r="H2770" t="str">
        <f>TEXT(TbReceitas[[#This Row],[data_transacao]], "aaaa-mm")</f>
        <v>2026-01</v>
      </c>
    </row>
    <row r="2771" spans="1:8">
      <c r="A2771">
        <v>2770</v>
      </c>
      <c r="B2771" s="1">
        <v>46050</v>
      </c>
      <c r="C2771" t="s">
        <v>1343</v>
      </c>
      <c r="D2771" t="s">
        <v>397</v>
      </c>
      <c r="E2771">
        <v>2</v>
      </c>
      <c r="F2771">
        <v>10959</v>
      </c>
      <c r="G2771">
        <f>TbReceitas[[#This Row],[quantidade]]*TbReceitas[[#This Row],[preco_unitario]]</f>
        <v>21918</v>
      </c>
      <c r="H2771" t="str">
        <f>TEXT(TbReceitas[[#This Row],[data_transacao]], "aaaa-mm")</f>
        <v>2026-01</v>
      </c>
    </row>
    <row r="2772" spans="1:8">
      <c r="A2772">
        <v>2771</v>
      </c>
      <c r="B2772" s="1">
        <v>45951</v>
      </c>
      <c r="C2772" t="s">
        <v>1054</v>
      </c>
      <c r="D2772" t="s">
        <v>561</v>
      </c>
      <c r="E2772">
        <v>2</v>
      </c>
      <c r="F2772">
        <v>878</v>
      </c>
      <c r="G2772">
        <f>TbReceitas[[#This Row],[quantidade]]*TbReceitas[[#This Row],[preco_unitario]]</f>
        <v>1756</v>
      </c>
      <c r="H2772" t="str">
        <f>TEXT(TbReceitas[[#This Row],[data_transacao]], "aaaa-mm")</f>
        <v>2025-10</v>
      </c>
    </row>
    <row r="2773" spans="1:8">
      <c r="A2773">
        <v>2772</v>
      </c>
      <c r="B2773" s="1">
        <v>45547</v>
      </c>
      <c r="C2773" t="s">
        <v>1745</v>
      </c>
      <c r="D2773" t="s">
        <v>343</v>
      </c>
      <c r="E2773">
        <v>1</v>
      </c>
      <c r="F2773">
        <v>4997</v>
      </c>
      <c r="G2773">
        <f>TbReceitas[[#This Row],[quantidade]]*TbReceitas[[#This Row],[preco_unitario]]</f>
        <v>4997</v>
      </c>
      <c r="H2773" t="str">
        <f>TEXT(TbReceitas[[#This Row],[data_transacao]], "aaaa-mm")</f>
        <v>2024-09</v>
      </c>
    </row>
    <row r="2774" spans="1:8">
      <c r="A2774">
        <v>2773</v>
      </c>
      <c r="B2774" s="1">
        <v>46150</v>
      </c>
      <c r="C2774" t="s">
        <v>1537</v>
      </c>
      <c r="D2774" t="s">
        <v>282</v>
      </c>
      <c r="E2774">
        <v>1</v>
      </c>
      <c r="F2774">
        <v>2647</v>
      </c>
      <c r="G2774">
        <f>TbReceitas[[#This Row],[quantidade]]*TbReceitas[[#This Row],[preco_unitario]]</f>
        <v>2647</v>
      </c>
      <c r="H2774" t="str">
        <f>TEXT(TbReceitas[[#This Row],[data_transacao]], "aaaa-mm")</f>
        <v>2026-05</v>
      </c>
    </row>
    <row r="2775" spans="1:8">
      <c r="A2775">
        <v>2774</v>
      </c>
      <c r="B2775" s="1">
        <v>45553</v>
      </c>
      <c r="C2775" t="s">
        <v>1149</v>
      </c>
      <c r="D2775" t="s">
        <v>563</v>
      </c>
      <c r="E2775">
        <v>1</v>
      </c>
      <c r="F2775">
        <v>3006</v>
      </c>
      <c r="G2775">
        <f>TbReceitas[[#This Row],[quantidade]]*TbReceitas[[#This Row],[preco_unitario]]</f>
        <v>3006</v>
      </c>
      <c r="H2775" t="str">
        <f>TEXT(TbReceitas[[#This Row],[data_transacao]], "aaaa-mm")</f>
        <v>2024-09</v>
      </c>
    </row>
    <row r="2776" spans="1:8">
      <c r="A2776">
        <v>2775</v>
      </c>
      <c r="B2776" s="1">
        <v>45707</v>
      </c>
      <c r="C2776" t="s">
        <v>1149</v>
      </c>
      <c r="D2776" t="s">
        <v>37</v>
      </c>
      <c r="E2776">
        <v>2</v>
      </c>
      <c r="F2776">
        <v>15145</v>
      </c>
      <c r="G2776">
        <f>TbReceitas[[#This Row],[quantidade]]*TbReceitas[[#This Row],[preco_unitario]]</f>
        <v>30290</v>
      </c>
      <c r="H2776" t="str">
        <f>TEXT(TbReceitas[[#This Row],[data_transacao]], "aaaa-mm")</f>
        <v>2025-02</v>
      </c>
    </row>
    <row r="2777" spans="1:8">
      <c r="A2777">
        <v>2776</v>
      </c>
      <c r="B2777" s="1">
        <v>45745</v>
      </c>
      <c r="C2777" t="s">
        <v>1695</v>
      </c>
      <c r="D2777" t="s">
        <v>255</v>
      </c>
      <c r="E2777">
        <v>3</v>
      </c>
      <c r="F2777">
        <v>16027</v>
      </c>
      <c r="G2777">
        <f>TbReceitas[[#This Row],[quantidade]]*TbReceitas[[#This Row],[preco_unitario]]</f>
        <v>48081</v>
      </c>
      <c r="H2777" t="str">
        <f>TEXT(TbReceitas[[#This Row],[data_transacao]], "aaaa-mm")</f>
        <v>2025-03</v>
      </c>
    </row>
    <row r="2778" spans="1:8">
      <c r="A2778">
        <v>2777</v>
      </c>
      <c r="B2778" s="1">
        <v>45910</v>
      </c>
      <c r="C2778" t="s">
        <v>862</v>
      </c>
      <c r="D2778" t="s">
        <v>609</v>
      </c>
      <c r="E2778">
        <v>1</v>
      </c>
      <c r="F2778">
        <v>6953</v>
      </c>
      <c r="G2778">
        <f>TbReceitas[[#This Row],[quantidade]]*TbReceitas[[#This Row],[preco_unitario]]</f>
        <v>6953</v>
      </c>
      <c r="H2778" t="str">
        <f>TEXT(TbReceitas[[#This Row],[data_transacao]], "aaaa-mm")</f>
        <v>2025-09</v>
      </c>
    </row>
    <row r="2779" spans="1:8">
      <c r="A2779">
        <v>2778</v>
      </c>
      <c r="B2779" s="1">
        <v>45704</v>
      </c>
      <c r="C2779" t="s">
        <v>1111</v>
      </c>
      <c r="D2779" t="s">
        <v>238</v>
      </c>
      <c r="E2779">
        <v>1</v>
      </c>
      <c r="F2779">
        <v>17869</v>
      </c>
      <c r="G2779">
        <f>TbReceitas[[#This Row],[quantidade]]*TbReceitas[[#This Row],[preco_unitario]]</f>
        <v>17869</v>
      </c>
      <c r="H2779" t="str">
        <f>TEXT(TbReceitas[[#This Row],[data_transacao]], "aaaa-mm")</f>
        <v>2025-02</v>
      </c>
    </row>
    <row r="2780" spans="1:8">
      <c r="A2780">
        <v>2779</v>
      </c>
      <c r="B2780" s="1">
        <v>45749</v>
      </c>
      <c r="C2780" t="s">
        <v>1411</v>
      </c>
      <c r="D2780" t="s">
        <v>635</v>
      </c>
      <c r="E2780">
        <v>3</v>
      </c>
      <c r="F2780">
        <v>821</v>
      </c>
      <c r="G2780">
        <f>TbReceitas[[#This Row],[quantidade]]*TbReceitas[[#This Row],[preco_unitario]]</f>
        <v>2463</v>
      </c>
      <c r="H2780" t="str">
        <f>TEXT(TbReceitas[[#This Row],[data_transacao]], "aaaa-mm")</f>
        <v>2025-04</v>
      </c>
    </row>
    <row r="2781" spans="1:8">
      <c r="A2781">
        <v>2780</v>
      </c>
      <c r="B2781" s="1">
        <v>46109</v>
      </c>
      <c r="C2781" t="s">
        <v>912</v>
      </c>
      <c r="D2781" t="s">
        <v>100</v>
      </c>
      <c r="E2781">
        <v>4</v>
      </c>
      <c r="F2781">
        <v>12034</v>
      </c>
      <c r="G2781">
        <f>TbReceitas[[#This Row],[quantidade]]*TbReceitas[[#This Row],[preco_unitario]]</f>
        <v>48136</v>
      </c>
      <c r="H2781" t="str">
        <f>TEXT(TbReceitas[[#This Row],[data_transacao]], "aaaa-mm")</f>
        <v>2026-03</v>
      </c>
    </row>
    <row r="2782" spans="1:8">
      <c r="A2782">
        <v>2781</v>
      </c>
      <c r="B2782" s="1">
        <v>45943</v>
      </c>
      <c r="C2782" t="s">
        <v>908</v>
      </c>
      <c r="D2782" t="s">
        <v>280</v>
      </c>
      <c r="E2782">
        <v>1</v>
      </c>
      <c r="F2782">
        <v>16759</v>
      </c>
      <c r="G2782">
        <f>TbReceitas[[#This Row],[quantidade]]*TbReceitas[[#This Row],[preco_unitario]]</f>
        <v>16759</v>
      </c>
      <c r="H2782" t="str">
        <f>TEXT(TbReceitas[[#This Row],[data_transacao]], "aaaa-mm")</f>
        <v>2025-10</v>
      </c>
    </row>
    <row r="2783" spans="1:8">
      <c r="A2783">
        <v>2782</v>
      </c>
      <c r="B2783" s="1">
        <v>45645</v>
      </c>
      <c r="C2783" t="s">
        <v>1646</v>
      </c>
      <c r="D2783" t="s">
        <v>261</v>
      </c>
      <c r="E2783">
        <v>1</v>
      </c>
      <c r="F2783">
        <v>17079</v>
      </c>
      <c r="G2783">
        <f>TbReceitas[[#This Row],[quantidade]]*TbReceitas[[#This Row],[preco_unitario]]</f>
        <v>17079</v>
      </c>
      <c r="H2783" t="str">
        <f>TEXT(TbReceitas[[#This Row],[data_transacao]], "aaaa-mm")</f>
        <v>2024-12</v>
      </c>
    </row>
    <row r="2784" spans="1:8">
      <c r="A2784">
        <v>2783</v>
      </c>
      <c r="B2784" s="1">
        <v>45856</v>
      </c>
      <c r="C2784" t="s">
        <v>1725</v>
      </c>
      <c r="D2784" t="s">
        <v>359</v>
      </c>
      <c r="E2784">
        <v>2</v>
      </c>
      <c r="F2784">
        <v>18617</v>
      </c>
      <c r="G2784">
        <f>TbReceitas[[#This Row],[quantidade]]*TbReceitas[[#This Row],[preco_unitario]]</f>
        <v>37234</v>
      </c>
      <c r="H2784" t="str">
        <f>TEXT(TbReceitas[[#This Row],[data_transacao]], "aaaa-mm")</f>
        <v>2025-07</v>
      </c>
    </row>
    <row r="2785" spans="1:8">
      <c r="A2785">
        <v>2784</v>
      </c>
      <c r="B2785" s="1">
        <v>45979</v>
      </c>
      <c r="C2785" t="s">
        <v>1381</v>
      </c>
      <c r="D2785" t="s">
        <v>151</v>
      </c>
      <c r="E2785">
        <v>3</v>
      </c>
      <c r="F2785">
        <v>19706</v>
      </c>
      <c r="G2785">
        <f>TbReceitas[[#This Row],[quantidade]]*TbReceitas[[#This Row],[preco_unitario]]</f>
        <v>59118</v>
      </c>
      <c r="H2785" t="str">
        <f>TEXT(TbReceitas[[#This Row],[data_transacao]], "aaaa-mm")</f>
        <v>2025-11</v>
      </c>
    </row>
    <row r="2786" spans="1:8">
      <c r="A2786">
        <v>2785</v>
      </c>
      <c r="B2786" s="1">
        <v>45608</v>
      </c>
      <c r="C2786" t="s">
        <v>858</v>
      </c>
      <c r="D2786" t="s">
        <v>166</v>
      </c>
      <c r="E2786">
        <v>5</v>
      </c>
      <c r="F2786">
        <v>323</v>
      </c>
      <c r="G2786">
        <f>TbReceitas[[#This Row],[quantidade]]*TbReceitas[[#This Row],[preco_unitario]]</f>
        <v>1615</v>
      </c>
      <c r="H2786" t="str">
        <f>TEXT(TbReceitas[[#This Row],[data_transacao]], "aaaa-mm")</f>
        <v>2024-11</v>
      </c>
    </row>
    <row r="2787" spans="1:8">
      <c r="A2787">
        <v>2786</v>
      </c>
      <c r="B2787" s="1">
        <v>45743</v>
      </c>
      <c r="C2787" t="s">
        <v>1192</v>
      </c>
      <c r="D2787" t="s">
        <v>334</v>
      </c>
      <c r="E2787">
        <v>4</v>
      </c>
      <c r="F2787">
        <v>20877</v>
      </c>
      <c r="G2787">
        <f>TbReceitas[[#This Row],[quantidade]]*TbReceitas[[#This Row],[preco_unitario]]</f>
        <v>83508</v>
      </c>
      <c r="H2787" t="str">
        <f>TEXT(TbReceitas[[#This Row],[data_transacao]], "aaaa-mm")</f>
        <v>2025-03</v>
      </c>
    </row>
    <row r="2788" spans="1:8">
      <c r="A2788">
        <v>2787</v>
      </c>
      <c r="B2788" s="1">
        <v>46054</v>
      </c>
      <c r="C2788" t="s">
        <v>1744</v>
      </c>
      <c r="D2788" t="s">
        <v>427</v>
      </c>
      <c r="E2788">
        <v>3</v>
      </c>
      <c r="F2788">
        <v>9083</v>
      </c>
      <c r="G2788">
        <f>TbReceitas[[#This Row],[quantidade]]*TbReceitas[[#This Row],[preco_unitario]]</f>
        <v>27249</v>
      </c>
      <c r="H2788" t="str">
        <f>TEXT(TbReceitas[[#This Row],[data_transacao]], "aaaa-mm")</f>
        <v>2026-02</v>
      </c>
    </row>
    <row r="2789" spans="1:8">
      <c r="A2789">
        <v>2788</v>
      </c>
      <c r="B2789" s="1">
        <v>46022</v>
      </c>
      <c r="C2789" t="s">
        <v>1482</v>
      </c>
      <c r="D2789" t="s">
        <v>40</v>
      </c>
      <c r="E2789">
        <v>3</v>
      </c>
      <c r="F2789">
        <v>736</v>
      </c>
      <c r="G2789">
        <f>TbReceitas[[#This Row],[quantidade]]*TbReceitas[[#This Row],[preco_unitario]]</f>
        <v>2208</v>
      </c>
      <c r="H2789" t="str">
        <f>TEXT(TbReceitas[[#This Row],[data_transacao]], "aaaa-mm")</f>
        <v>2025-12</v>
      </c>
    </row>
    <row r="2790" spans="1:8">
      <c r="A2790">
        <v>2789</v>
      </c>
      <c r="B2790" s="1">
        <v>45932</v>
      </c>
      <c r="C2790" t="s">
        <v>1800</v>
      </c>
      <c r="D2790" t="s">
        <v>334</v>
      </c>
      <c r="E2790">
        <v>5</v>
      </c>
      <c r="F2790">
        <v>20877</v>
      </c>
      <c r="G2790">
        <f>TbReceitas[[#This Row],[quantidade]]*TbReceitas[[#This Row],[preco_unitario]]</f>
        <v>104385</v>
      </c>
      <c r="H2790" t="str">
        <f>TEXT(TbReceitas[[#This Row],[data_transacao]], "aaaa-mm")</f>
        <v>2025-10</v>
      </c>
    </row>
    <row r="2791" spans="1:8">
      <c r="A2791">
        <v>2790</v>
      </c>
      <c r="B2791" s="1">
        <v>45745</v>
      </c>
      <c r="C2791" t="s">
        <v>1632</v>
      </c>
      <c r="D2791" t="s">
        <v>436</v>
      </c>
      <c r="E2791">
        <v>4</v>
      </c>
      <c r="F2791">
        <v>24553</v>
      </c>
      <c r="G2791">
        <f>TbReceitas[[#This Row],[quantidade]]*TbReceitas[[#This Row],[preco_unitario]]</f>
        <v>98212</v>
      </c>
      <c r="H2791" t="str">
        <f>TEXT(TbReceitas[[#This Row],[data_transacao]], "aaaa-mm")</f>
        <v>2025-03</v>
      </c>
    </row>
    <row r="2792" spans="1:8">
      <c r="A2792">
        <v>2791</v>
      </c>
      <c r="B2792" s="1">
        <v>46011</v>
      </c>
      <c r="C2792" t="s">
        <v>1633</v>
      </c>
      <c r="D2792" t="s">
        <v>529</v>
      </c>
      <c r="E2792">
        <v>2</v>
      </c>
      <c r="F2792">
        <v>18056</v>
      </c>
      <c r="G2792">
        <f>TbReceitas[[#This Row],[quantidade]]*TbReceitas[[#This Row],[preco_unitario]]</f>
        <v>36112</v>
      </c>
      <c r="H2792" t="str">
        <f>TEXT(TbReceitas[[#This Row],[data_transacao]], "aaaa-mm")</f>
        <v>2025-12</v>
      </c>
    </row>
    <row r="2793" spans="1:8">
      <c r="A2793">
        <v>2792</v>
      </c>
      <c r="B2793" s="1">
        <v>45836</v>
      </c>
      <c r="C2793" t="s">
        <v>1413</v>
      </c>
      <c r="D2793" t="s">
        <v>667</v>
      </c>
      <c r="E2793">
        <v>1</v>
      </c>
      <c r="F2793">
        <v>11609</v>
      </c>
      <c r="G2793">
        <f>TbReceitas[[#This Row],[quantidade]]*TbReceitas[[#This Row],[preco_unitario]]</f>
        <v>11609</v>
      </c>
      <c r="H2793" t="str">
        <f>TEXT(TbReceitas[[#This Row],[data_transacao]], "aaaa-mm")</f>
        <v>2025-06</v>
      </c>
    </row>
    <row r="2794" spans="1:8">
      <c r="A2794">
        <v>2793</v>
      </c>
      <c r="B2794" s="1">
        <v>45648</v>
      </c>
      <c r="C2794" t="s">
        <v>1801</v>
      </c>
      <c r="D2794" t="s">
        <v>488</v>
      </c>
      <c r="E2794">
        <v>2</v>
      </c>
      <c r="F2794">
        <v>7594</v>
      </c>
      <c r="G2794">
        <f>TbReceitas[[#This Row],[quantidade]]*TbReceitas[[#This Row],[preco_unitario]]</f>
        <v>15188</v>
      </c>
      <c r="H2794" t="str">
        <f>TEXT(TbReceitas[[#This Row],[data_transacao]], "aaaa-mm")</f>
        <v>2024-12</v>
      </c>
    </row>
    <row r="2795" spans="1:8">
      <c r="A2795">
        <v>2794</v>
      </c>
      <c r="B2795" s="1">
        <v>45814</v>
      </c>
      <c r="C2795" t="s">
        <v>1002</v>
      </c>
      <c r="D2795" t="s">
        <v>258</v>
      </c>
      <c r="E2795">
        <v>3</v>
      </c>
      <c r="F2795">
        <v>19424</v>
      </c>
      <c r="G2795">
        <f>TbReceitas[[#This Row],[quantidade]]*TbReceitas[[#This Row],[preco_unitario]]</f>
        <v>58272</v>
      </c>
      <c r="H2795" t="str">
        <f>TEXT(TbReceitas[[#This Row],[data_transacao]], "aaaa-mm")</f>
        <v>2025-06</v>
      </c>
    </row>
    <row r="2796" spans="1:8">
      <c r="A2796">
        <v>2795</v>
      </c>
      <c r="B2796" s="1">
        <v>45706</v>
      </c>
      <c r="C2796" t="s">
        <v>917</v>
      </c>
      <c r="D2796" t="s">
        <v>494</v>
      </c>
      <c r="E2796">
        <v>1</v>
      </c>
      <c r="F2796">
        <v>2542</v>
      </c>
      <c r="G2796">
        <f>TbReceitas[[#This Row],[quantidade]]*TbReceitas[[#This Row],[preco_unitario]]</f>
        <v>2542</v>
      </c>
      <c r="H2796" t="str">
        <f>TEXT(TbReceitas[[#This Row],[data_transacao]], "aaaa-mm")</f>
        <v>2025-02</v>
      </c>
    </row>
    <row r="2797" spans="1:8">
      <c r="A2797">
        <v>2796</v>
      </c>
      <c r="B2797" s="1">
        <v>46031</v>
      </c>
      <c r="C2797" t="s">
        <v>1802</v>
      </c>
      <c r="D2797" t="s">
        <v>252</v>
      </c>
      <c r="E2797">
        <v>2</v>
      </c>
      <c r="F2797">
        <v>12058</v>
      </c>
      <c r="G2797">
        <f>TbReceitas[[#This Row],[quantidade]]*TbReceitas[[#This Row],[preco_unitario]]</f>
        <v>24116</v>
      </c>
      <c r="H2797" t="str">
        <f>TEXT(TbReceitas[[#This Row],[data_transacao]], "aaaa-mm")</f>
        <v>2026-01</v>
      </c>
    </row>
    <row r="2798" spans="1:8">
      <c r="A2798">
        <v>2797</v>
      </c>
      <c r="B2798" s="1">
        <v>46081</v>
      </c>
      <c r="C2798" t="s">
        <v>1186</v>
      </c>
      <c r="D2798" t="s">
        <v>362</v>
      </c>
      <c r="E2798">
        <v>3</v>
      </c>
      <c r="F2798">
        <v>19722</v>
      </c>
      <c r="G2798">
        <f>TbReceitas[[#This Row],[quantidade]]*TbReceitas[[#This Row],[preco_unitario]]</f>
        <v>59166</v>
      </c>
      <c r="H2798" t="str">
        <f>TEXT(TbReceitas[[#This Row],[data_transacao]], "aaaa-mm")</f>
        <v>2026-02</v>
      </c>
    </row>
    <row r="2799" spans="1:8">
      <c r="A2799">
        <v>2798</v>
      </c>
      <c r="B2799" s="1">
        <v>45887</v>
      </c>
      <c r="C2799" t="s">
        <v>1803</v>
      </c>
      <c r="D2799" t="s">
        <v>510</v>
      </c>
      <c r="E2799">
        <v>5</v>
      </c>
      <c r="F2799">
        <v>16197</v>
      </c>
      <c r="G2799">
        <f>TbReceitas[[#This Row],[quantidade]]*TbReceitas[[#This Row],[preco_unitario]]</f>
        <v>80985</v>
      </c>
      <c r="H2799" t="str">
        <f>TEXT(TbReceitas[[#This Row],[data_transacao]], "aaaa-mm")</f>
        <v>2025-08</v>
      </c>
    </row>
    <row r="2800" spans="1:8">
      <c r="A2800">
        <v>2799</v>
      </c>
      <c r="B2800" s="1">
        <v>46033</v>
      </c>
      <c r="C2800" t="s">
        <v>871</v>
      </c>
      <c r="D2800" t="s">
        <v>514</v>
      </c>
      <c r="E2800">
        <v>2</v>
      </c>
      <c r="F2800">
        <v>5936</v>
      </c>
      <c r="G2800">
        <f>TbReceitas[[#This Row],[quantidade]]*TbReceitas[[#This Row],[preco_unitario]]</f>
        <v>11872</v>
      </c>
      <c r="H2800" t="str">
        <f>TEXT(TbReceitas[[#This Row],[data_transacao]], "aaaa-mm")</f>
        <v>2026-01</v>
      </c>
    </row>
    <row r="2801" spans="1:8">
      <c r="A2801">
        <v>2800</v>
      </c>
      <c r="B2801" s="1">
        <v>45576</v>
      </c>
      <c r="C2801" t="s">
        <v>1804</v>
      </c>
      <c r="D2801" t="s">
        <v>220</v>
      </c>
      <c r="E2801">
        <v>3</v>
      </c>
      <c r="F2801">
        <v>22363</v>
      </c>
      <c r="G2801">
        <f>TbReceitas[[#This Row],[quantidade]]*TbReceitas[[#This Row],[preco_unitario]]</f>
        <v>67089</v>
      </c>
      <c r="H2801" t="str">
        <f>TEXT(TbReceitas[[#This Row],[data_transacao]], "aaaa-mm")</f>
        <v>2024-10</v>
      </c>
    </row>
    <row r="2802" spans="1:8">
      <c r="A2802">
        <v>2801</v>
      </c>
      <c r="B2802" s="1">
        <v>46124</v>
      </c>
      <c r="C2802" t="s">
        <v>1053</v>
      </c>
      <c r="D2802" t="s">
        <v>261</v>
      </c>
      <c r="E2802">
        <v>3</v>
      </c>
      <c r="F2802">
        <v>17079</v>
      </c>
      <c r="G2802">
        <f>TbReceitas[[#This Row],[quantidade]]*TbReceitas[[#This Row],[preco_unitario]]</f>
        <v>51237</v>
      </c>
      <c r="H2802" t="str">
        <f>TEXT(TbReceitas[[#This Row],[data_transacao]], "aaaa-mm")</f>
        <v>2026-04</v>
      </c>
    </row>
    <row r="2803" spans="1:8">
      <c r="A2803">
        <v>2802</v>
      </c>
      <c r="B2803" s="1">
        <v>46025</v>
      </c>
      <c r="C2803" t="s">
        <v>1072</v>
      </c>
      <c r="D2803" t="s">
        <v>570</v>
      </c>
      <c r="E2803">
        <v>2</v>
      </c>
      <c r="F2803">
        <v>21533</v>
      </c>
      <c r="G2803">
        <f>TbReceitas[[#This Row],[quantidade]]*TbReceitas[[#This Row],[preco_unitario]]</f>
        <v>43066</v>
      </c>
      <c r="H2803" t="str">
        <f>TEXT(TbReceitas[[#This Row],[data_transacao]], "aaaa-mm")</f>
        <v>2026-01</v>
      </c>
    </row>
    <row r="2804" spans="1:8">
      <c r="A2804">
        <v>2803</v>
      </c>
      <c r="B2804" s="1">
        <v>45621</v>
      </c>
      <c r="C2804" t="s">
        <v>1436</v>
      </c>
      <c r="D2804" t="s">
        <v>374</v>
      </c>
      <c r="E2804">
        <v>1</v>
      </c>
      <c r="F2804">
        <v>24867</v>
      </c>
      <c r="G2804">
        <f>TbReceitas[[#This Row],[quantidade]]*TbReceitas[[#This Row],[preco_unitario]]</f>
        <v>24867</v>
      </c>
      <c r="H2804" t="str">
        <f>TEXT(TbReceitas[[#This Row],[data_transacao]], "aaaa-mm")</f>
        <v>2024-11</v>
      </c>
    </row>
    <row r="2805" spans="1:8">
      <c r="A2805">
        <v>2804</v>
      </c>
      <c r="B2805" s="1">
        <v>45716</v>
      </c>
      <c r="C2805" t="s">
        <v>1805</v>
      </c>
      <c r="D2805" t="s">
        <v>12</v>
      </c>
      <c r="E2805">
        <v>4</v>
      </c>
      <c r="F2805">
        <v>11453</v>
      </c>
      <c r="G2805">
        <f>TbReceitas[[#This Row],[quantidade]]*TbReceitas[[#This Row],[preco_unitario]]</f>
        <v>45812</v>
      </c>
      <c r="H2805" t="str">
        <f>TEXT(TbReceitas[[#This Row],[data_transacao]], "aaaa-mm")</f>
        <v>2025-02</v>
      </c>
    </row>
    <row r="2806" spans="1:8">
      <c r="A2806">
        <v>2805</v>
      </c>
      <c r="B2806" s="1">
        <v>45809</v>
      </c>
      <c r="C2806" t="s">
        <v>860</v>
      </c>
      <c r="D2806" t="s">
        <v>507</v>
      </c>
      <c r="E2806">
        <v>2</v>
      </c>
      <c r="F2806">
        <v>7085</v>
      </c>
      <c r="G2806">
        <f>TbReceitas[[#This Row],[quantidade]]*TbReceitas[[#This Row],[preco_unitario]]</f>
        <v>14170</v>
      </c>
      <c r="H2806" t="str">
        <f>TEXT(TbReceitas[[#This Row],[data_transacao]], "aaaa-mm")</f>
        <v>2025-06</v>
      </c>
    </row>
    <row r="2807" spans="1:8">
      <c r="A2807">
        <v>2806</v>
      </c>
      <c r="B2807" s="1">
        <v>45824</v>
      </c>
      <c r="C2807" t="s">
        <v>1792</v>
      </c>
      <c r="D2807" t="s">
        <v>284</v>
      </c>
      <c r="E2807">
        <v>1</v>
      </c>
      <c r="F2807">
        <v>16365</v>
      </c>
      <c r="G2807">
        <f>TbReceitas[[#This Row],[quantidade]]*TbReceitas[[#This Row],[preco_unitario]]</f>
        <v>16365</v>
      </c>
      <c r="H2807" t="str">
        <f>TEXT(TbReceitas[[#This Row],[data_transacao]], "aaaa-mm")</f>
        <v>2025-06</v>
      </c>
    </row>
    <row r="2808" spans="1:8">
      <c r="A2808">
        <v>2807</v>
      </c>
      <c r="B2808" s="1">
        <v>46005</v>
      </c>
      <c r="C2808" t="s">
        <v>1452</v>
      </c>
      <c r="D2808" t="s">
        <v>661</v>
      </c>
      <c r="E2808">
        <v>1</v>
      </c>
      <c r="F2808">
        <v>4718</v>
      </c>
      <c r="G2808">
        <f>TbReceitas[[#This Row],[quantidade]]*TbReceitas[[#This Row],[preco_unitario]]</f>
        <v>4718</v>
      </c>
      <c r="H2808" t="str">
        <f>TEXT(TbReceitas[[#This Row],[data_transacao]], "aaaa-mm")</f>
        <v>2025-12</v>
      </c>
    </row>
    <row r="2809" spans="1:8">
      <c r="A2809">
        <v>2808</v>
      </c>
      <c r="B2809" s="1">
        <v>46082</v>
      </c>
      <c r="C2809" t="s">
        <v>1806</v>
      </c>
      <c r="D2809" t="s">
        <v>435</v>
      </c>
      <c r="E2809">
        <v>2</v>
      </c>
      <c r="F2809">
        <v>7686</v>
      </c>
      <c r="G2809">
        <f>TbReceitas[[#This Row],[quantidade]]*TbReceitas[[#This Row],[preco_unitario]]</f>
        <v>15372</v>
      </c>
      <c r="H2809" t="str">
        <f>TEXT(TbReceitas[[#This Row],[data_transacao]], "aaaa-mm")</f>
        <v>2026-03</v>
      </c>
    </row>
    <row r="2810" spans="1:8">
      <c r="A2810">
        <v>2809</v>
      </c>
      <c r="B2810" s="1">
        <v>45999</v>
      </c>
      <c r="C2810" t="s">
        <v>882</v>
      </c>
      <c r="D2810" t="s">
        <v>43</v>
      </c>
      <c r="E2810">
        <v>1</v>
      </c>
      <c r="F2810">
        <v>24604</v>
      </c>
      <c r="G2810">
        <f>TbReceitas[[#This Row],[quantidade]]*TbReceitas[[#This Row],[preco_unitario]]</f>
        <v>24604</v>
      </c>
      <c r="H2810" t="str">
        <f>TEXT(TbReceitas[[#This Row],[data_transacao]], "aaaa-mm")</f>
        <v>2025-12</v>
      </c>
    </row>
    <row r="2811" spans="1:8">
      <c r="A2811">
        <v>2810</v>
      </c>
      <c r="B2811" s="1">
        <v>46204</v>
      </c>
      <c r="C2811" t="s">
        <v>1021</v>
      </c>
      <c r="D2811" t="s">
        <v>1454</v>
      </c>
      <c r="E2811">
        <v>4</v>
      </c>
      <c r="F2811">
        <v>10659</v>
      </c>
      <c r="G2811">
        <f>TbReceitas[[#This Row],[quantidade]]*TbReceitas[[#This Row],[preco_unitario]]</f>
        <v>42636</v>
      </c>
      <c r="H2811" t="str">
        <f>TEXT(TbReceitas[[#This Row],[data_transacao]], "aaaa-mm")</f>
        <v>2026-07</v>
      </c>
    </row>
    <row r="2812" spans="1:8">
      <c r="A2812">
        <v>2811</v>
      </c>
      <c r="B2812" s="1">
        <v>46038</v>
      </c>
      <c r="C2812" t="s">
        <v>1732</v>
      </c>
      <c r="D2812" t="s">
        <v>484</v>
      </c>
      <c r="E2812">
        <v>4</v>
      </c>
      <c r="F2812">
        <v>1979</v>
      </c>
      <c r="G2812">
        <f>TbReceitas[[#This Row],[quantidade]]*TbReceitas[[#This Row],[preco_unitario]]</f>
        <v>7916</v>
      </c>
      <c r="H2812" t="str">
        <f>TEXT(TbReceitas[[#This Row],[data_transacao]], "aaaa-mm")</f>
        <v>2026-01</v>
      </c>
    </row>
    <row r="2813" spans="1:8">
      <c r="A2813">
        <v>2812</v>
      </c>
      <c r="B2813" s="1">
        <v>46055</v>
      </c>
      <c r="C2813" t="s">
        <v>832</v>
      </c>
      <c r="D2813" t="s">
        <v>467</v>
      </c>
      <c r="E2813">
        <v>4</v>
      </c>
      <c r="F2813">
        <v>14848</v>
      </c>
      <c r="G2813">
        <f>TbReceitas[[#This Row],[quantidade]]*TbReceitas[[#This Row],[preco_unitario]]</f>
        <v>59392</v>
      </c>
      <c r="H2813" t="str">
        <f>TEXT(TbReceitas[[#This Row],[data_transacao]], "aaaa-mm")</f>
        <v>2026-02</v>
      </c>
    </row>
    <row r="2814" spans="1:8">
      <c r="A2814">
        <v>2813</v>
      </c>
      <c r="B2814" s="1">
        <v>45751</v>
      </c>
      <c r="C2814" t="s">
        <v>1792</v>
      </c>
      <c r="D2814" t="s">
        <v>700</v>
      </c>
      <c r="E2814">
        <v>5</v>
      </c>
      <c r="F2814">
        <v>17759</v>
      </c>
      <c r="G2814">
        <f>TbReceitas[[#This Row],[quantidade]]*TbReceitas[[#This Row],[preco_unitario]]</f>
        <v>88795</v>
      </c>
      <c r="H2814" t="str">
        <f>TEXT(TbReceitas[[#This Row],[data_transacao]], "aaaa-mm")</f>
        <v>2025-04</v>
      </c>
    </row>
    <row r="2815" spans="1:8">
      <c r="A2815">
        <v>2814</v>
      </c>
      <c r="B2815" s="1">
        <v>46241</v>
      </c>
      <c r="C2815" t="s">
        <v>1800</v>
      </c>
      <c r="D2815" t="s">
        <v>166</v>
      </c>
      <c r="E2815">
        <v>2</v>
      </c>
      <c r="F2815">
        <v>323</v>
      </c>
      <c r="G2815">
        <f>TbReceitas[[#This Row],[quantidade]]*TbReceitas[[#This Row],[preco_unitario]]</f>
        <v>646</v>
      </c>
      <c r="H2815" t="str">
        <f>TEXT(TbReceitas[[#This Row],[data_transacao]], "aaaa-mm")</f>
        <v>2026-08</v>
      </c>
    </row>
    <row r="2816" spans="1:8">
      <c r="A2816">
        <v>2815</v>
      </c>
      <c r="B2816" s="1">
        <v>46039</v>
      </c>
      <c r="C2816" t="s">
        <v>1128</v>
      </c>
      <c r="D2816" t="s">
        <v>358</v>
      </c>
      <c r="E2816">
        <v>2</v>
      </c>
      <c r="F2816">
        <v>11913</v>
      </c>
      <c r="G2816">
        <f>TbReceitas[[#This Row],[quantidade]]*TbReceitas[[#This Row],[preco_unitario]]</f>
        <v>23826</v>
      </c>
      <c r="H2816" t="str">
        <f>TEXT(TbReceitas[[#This Row],[data_transacao]], "aaaa-mm")</f>
        <v>2026-01</v>
      </c>
    </row>
    <row r="2817" spans="1:8">
      <c r="A2817">
        <v>2816</v>
      </c>
      <c r="B2817" s="1">
        <v>45687</v>
      </c>
      <c r="C2817" t="s">
        <v>1478</v>
      </c>
      <c r="D2817" t="s">
        <v>131</v>
      </c>
      <c r="E2817">
        <v>5</v>
      </c>
      <c r="F2817">
        <v>5592</v>
      </c>
      <c r="G2817">
        <f>TbReceitas[[#This Row],[quantidade]]*TbReceitas[[#This Row],[preco_unitario]]</f>
        <v>27960</v>
      </c>
      <c r="H2817" t="str">
        <f>TEXT(TbReceitas[[#This Row],[data_transacao]], "aaaa-mm")</f>
        <v>2025-01</v>
      </c>
    </row>
    <row r="2818" spans="1:8">
      <c r="A2818">
        <v>2817</v>
      </c>
      <c r="B2818" s="1">
        <v>46173</v>
      </c>
      <c r="C2818" t="s">
        <v>1275</v>
      </c>
      <c r="D2818" t="s">
        <v>271</v>
      </c>
      <c r="E2818">
        <v>3</v>
      </c>
      <c r="F2818">
        <v>10155</v>
      </c>
      <c r="G2818">
        <f>TbReceitas[[#This Row],[quantidade]]*TbReceitas[[#This Row],[preco_unitario]]</f>
        <v>30465</v>
      </c>
      <c r="H2818" t="str">
        <f>TEXT(TbReceitas[[#This Row],[data_transacao]], "aaaa-mm")</f>
        <v>2026-05</v>
      </c>
    </row>
    <row r="2819" spans="1:8">
      <c r="A2819">
        <v>2818</v>
      </c>
      <c r="B2819" s="1">
        <v>46276</v>
      </c>
      <c r="C2819" t="s">
        <v>1284</v>
      </c>
      <c r="D2819" t="s">
        <v>163</v>
      </c>
      <c r="E2819">
        <v>1</v>
      </c>
      <c r="F2819">
        <v>562</v>
      </c>
      <c r="G2819">
        <f>TbReceitas[[#This Row],[quantidade]]*TbReceitas[[#This Row],[preco_unitario]]</f>
        <v>562</v>
      </c>
      <c r="H2819" t="str">
        <f>TEXT(TbReceitas[[#This Row],[data_transacao]], "aaaa-mm")</f>
        <v>2026-09</v>
      </c>
    </row>
    <row r="2820" spans="1:8">
      <c r="A2820">
        <v>2819</v>
      </c>
      <c r="B2820" s="1">
        <v>46004</v>
      </c>
      <c r="C2820" t="s">
        <v>1196</v>
      </c>
      <c r="D2820" t="s">
        <v>523</v>
      </c>
      <c r="E2820">
        <v>5</v>
      </c>
      <c r="F2820">
        <v>23523</v>
      </c>
      <c r="G2820">
        <f>TbReceitas[[#This Row],[quantidade]]*TbReceitas[[#This Row],[preco_unitario]]</f>
        <v>117615</v>
      </c>
      <c r="H2820" t="str">
        <f>TEXT(TbReceitas[[#This Row],[data_transacao]], "aaaa-mm")</f>
        <v>2025-12</v>
      </c>
    </row>
    <row r="2821" spans="1:8">
      <c r="A2821">
        <v>2820</v>
      </c>
      <c r="B2821" s="1">
        <v>46172</v>
      </c>
      <c r="C2821" t="s">
        <v>1727</v>
      </c>
      <c r="D2821" t="s">
        <v>600</v>
      </c>
      <c r="E2821">
        <v>5</v>
      </c>
      <c r="F2821">
        <v>16392</v>
      </c>
      <c r="G2821">
        <f>TbReceitas[[#This Row],[quantidade]]*TbReceitas[[#This Row],[preco_unitario]]</f>
        <v>81960</v>
      </c>
      <c r="H2821" t="str">
        <f>TEXT(TbReceitas[[#This Row],[data_transacao]], "aaaa-mm")</f>
        <v>2026-05</v>
      </c>
    </row>
    <row r="2822" spans="1:8">
      <c r="A2822">
        <v>2821</v>
      </c>
      <c r="B2822" s="1">
        <v>46270</v>
      </c>
      <c r="C2822" t="s">
        <v>1736</v>
      </c>
      <c r="D2822" t="s">
        <v>435</v>
      </c>
      <c r="E2822">
        <v>3</v>
      </c>
      <c r="F2822">
        <v>7686</v>
      </c>
      <c r="G2822">
        <f>TbReceitas[[#This Row],[quantidade]]*TbReceitas[[#This Row],[preco_unitario]]</f>
        <v>23058</v>
      </c>
      <c r="H2822" t="str">
        <f>TEXT(TbReceitas[[#This Row],[data_transacao]], "aaaa-mm")</f>
        <v>2026-09</v>
      </c>
    </row>
    <row r="2823" spans="1:8">
      <c r="A2823">
        <v>2822</v>
      </c>
      <c r="B2823" s="1">
        <v>45935</v>
      </c>
      <c r="C2823" t="s">
        <v>1636</v>
      </c>
      <c r="D2823" t="s">
        <v>582</v>
      </c>
      <c r="E2823">
        <v>1</v>
      </c>
      <c r="F2823">
        <v>24131</v>
      </c>
      <c r="G2823">
        <f>TbReceitas[[#This Row],[quantidade]]*TbReceitas[[#This Row],[preco_unitario]]</f>
        <v>24131</v>
      </c>
      <c r="H2823" t="str">
        <f>TEXT(TbReceitas[[#This Row],[data_transacao]], "aaaa-mm")</f>
        <v>2025-10</v>
      </c>
    </row>
    <row r="2824" spans="1:8">
      <c r="A2824">
        <v>2823</v>
      </c>
      <c r="B2824" s="1">
        <v>45574</v>
      </c>
      <c r="C2824" t="s">
        <v>1485</v>
      </c>
      <c r="D2824" t="s">
        <v>387</v>
      </c>
      <c r="E2824">
        <v>3</v>
      </c>
      <c r="F2824">
        <v>16353</v>
      </c>
      <c r="G2824">
        <f>TbReceitas[[#This Row],[quantidade]]*TbReceitas[[#This Row],[preco_unitario]]</f>
        <v>49059</v>
      </c>
      <c r="H2824" t="str">
        <f>TEXT(TbReceitas[[#This Row],[data_transacao]], "aaaa-mm")</f>
        <v>2024-10</v>
      </c>
    </row>
    <row r="2825" spans="1:8">
      <c r="A2825">
        <v>2824</v>
      </c>
      <c r="B2825" s="1">
        <v>45614</v>
      </c>
      <c r="C2825" t="s">
        <v>1622</v>
      </c>
      <c r="D2825" t="s">
        <v>553</v>
      </c>
      <c r="E2825">
        <v>1</v>
      </c>
      <c r="F2825">
        <v>106</v>
      </c>
      <c r="G2825">
        <f>TbReceitas[[#This Row],[quantidade]]*TbReceitas[[#This Row],[preco_unitario]]</f>
        <v>106</v>
      </c>
      <c r="H2825" t="str">
        <f>TEXT(TbReceitas[[#This Row],[data_transacao]], "aaaa-mm")</f>
        <v>2024-11</v>
      </c>
    </row>
    <row r="2826" spans="1:8">
      <c r="A2826">
        <v>2825</v>
      </c>
      <c r="B2826" s="1">
        <v>46128</v>
      </c>
      <c r="C2826" t="s">
        <v>1077</v>
      </c>
      <c r="D2826" t="s">
        <v>625</v>
      </c>
      <c r="E2826">
        <v>4</v>
      </c>
      <c r="F2826">
        <v>2485</v>
      </c>
      <c r="G2826">
        <f>TbReceitas[[#This Row],[quantidade]]*TbReceitas[[#This Row],[preco_unitario]]</f>
        <v>9940</v>
      </c>
      <c r="H2826" t="str">
        <f>TEXT(TbReceitas[[#This Row],[data_transacao]], "aaaa-mm")</f>
        <v>2026-04</v>
      </c>
    </row>
    <row r="2827" spans="1:8">
      <c r="A2827">
        <v>2826</v>
      </c>
      <c r="B2827" s="1">
        <v>45815</v>
      </c>
      <c r="C2827" t="s">
        <v>1506</v>
      </c>
      <c r="D2827" t="s">
        <v>276</v>
      </c>
      <c r="E2827">
        <v>4</v>
      </c>
      <c r="F2827">
        <v>13377</v>
      </c>
      <c r="G2827">
        <f>TbReceitas[[#This Row],[quantidade]]*TbReceitas[[#This Row],[preco_unitario]]</f>
        <v>53508</v>
      </c>
      <c r="H2827" t="str">
        <f>TEXT(TbReceitas[[#This Row],[data_transacao]], "aaaa-mm")</f>
        <v>2025-06</v>
      </c>
    </row>
    <row r="2828" spans="1:8">
      <c r="A2828">
        <v>2827</v>
      </c>
      <c r="B2828" s="1">
        <v>45729</v>
      </c>
      <c r="C2828" t="s">
        <v>1807</v>
      </c>
      <c r="D2828" t="s">
        <v>214</v>
      </c>
      <c r="E2828">
        <v>5</v>
      </c>
      <c r="F2828">
        <v>11351</v>
      </c>
      <c r="G2828">
        <f>TbReceitas[[#This Row],[quantidade]]*TbReceitas[[#This Row],[preco_unitario]]</f>
        <v>56755</v>
      </c>
      <c r="H2828" t="str">
        <f>TEXT(TbReceitas[[#This Row],[data_transacao]], "aaaa-mm")</f>
        <v>2025-03</v>
      </c>
    </row>
    <row r="2829" spans="1:8">
      <c r="A2829">
        <v>2828</v>
      </c>
      <c r="B2829" s="1">
        <v>45737</v>
      </c>
      <c r="C2829" t="s">
        <v>1685</v>
      </c>
      <c r="D2829" t="s">
        <v>692</v>
      </c>
      <c r="E2829">
        <v>3</v>
      </c>
      <c r="F2829">
        <v>14519</v>
      </c>
      <c r="G2829">
        <f>TbReceitas[[#This Row],[quantidade]]*TbReceitas[[#This Row],[preco_unitario]]</f>
        <v>43557</v>
      </c>
      <c r="H2829" t="str">
        <f>TEXT(TbReceitas[[#This Row],[data_transacao]], "aaaa-mm")</f>
        <v>2025-03</v>
      </c>
    </row>
    <row r="2830" spans="1:8">
      <c r="A2830">
        <v>2829</v>
      </c>
      <c r="B2830" s="1">
        <v>46012</v>
      </c>
      <c r="C2830" t="s">
        <v>1808</v>
      </c>
      <c r="D2830" t="s">
        <v>136</v>
      </c>
      <c r="E2830">
        <v>3</v>
      </c>
      <c r="F2830">
        <v>134</v>
      </c>
      <c r="G2830">
        <f>TbReceitas[[#This Row],[quantidade]]*TbReceitas[[#This Row],[preco_unitario]]</f>
        <v>402</v>
      </c>
      <c r="H2830" t="str">
        <f>TEXT(TbReceitas[[#This Row],[data_transacao]], "aaaa-mm")</f>
        <v>2025-12</v>
      </c>
    </row>
    <row r="2831" spans="1:8">
      <c r="A2831">
        <v>2830</v>
      </c>
      <c r="B2831" s="1">
        <v>45775</v>
      </c>
      <c r="C2831" t="s">
        <v>1659</v>
      </c>
      <c r="D2831" t="s">
        <v>696</v>
      </c>
      <c r="E2831">
        <v>2</v>
      </c>
      <c r="F2831">
        <v>24429</v>
      </c>
      <c r="G2831">
        <f>TbReceitas[[#This Row],[quantidade]]*TbReceitas[[#This Row],[preco_unitario]]</f>
        <v>48858</v>
      </c>
      <c r="H2831" t="str">
        <f>TEXT(TbReceitas[[#This Row],[data_transacao]], "aaaa-mm")</f>
        <v>2025-04</v>
      </c>
    </row>
    <row r="2832" spans="1:8">
      <c r="A2832">
        <v>2831</v>
      </c>
      <c r="B2832" s="1">
        <v>46164</v>
      </c>
      <c r="C2832" t="s">
        <v>1134</v>
      </c>
      <c r="D2832" t="s">
        <v>649</v>
      </c>
      <c r="E2832">
        <v>1</v>
      </c>
      <c r="F2832">
        <v>22268</v>
      </c>
      <c r="G2832">
        <f>TbReceitas[[#This Row],[quantidade]]*TbReceitas[[#This Row],[preco_unitario]]</f>
        <v>22268</v>
      </c>
      <c r="H2832" t="str">
        <f>TEXT(TbReceitas[[#This Row],[data_transacao]], "aaaa-mm")</f>
        <v>2026-05</v>
      </c>
    </row>
    <row r="2833" spans="1:8">
      <c r="A2833">
        <v>2832</v>
      </c>
      <c r="B2833" s="1">
        <v>46175</v>
      </c>
      <c r="C2833" t="s">
        <v>1317</v>
      </c>
      <c r="D2833" t="s">
        <v>566</v>
      </c>
      <c r="E2833">
        <v>3</v>
      </c>
      <c r="F2833">
        <v>23772</v>
      </c>
      <c r="G2833">
        <f>TbReceitas[[#This Row],[quantidade]]*TbReceitas[[#This Row],[preco_unitario]]</f>
        <v>71316</v>
      </c>
      <c r="H2833" t="str">
        <f>TEXT(TbReceitas[[#This Row],[data_transacao]], "aaaa-mm")</f>
        <v>2026-06</v>
      </c>
    </row>
    <row r="2834" spans="1:8">
      <c r="A2834">
        <v>2833</v>
      </c>
      <c r="B2834" s="1">
        <v>46125</v>
      </c>
      <c r="C2834" t="s">
        <v>869</v>
      </c>
      <c r="D2834" t="s">
        <v>622</v>
      </c>
      <c r="E2834">
        <v>1</v>
      </c>
      <c r="F2834">
        <v>15428</v>
      </c>
      <c r="G2834">
        <f>TbReceitas[[#This Row],[quantidade]]*TbReceitas[[#This Row],[preco_unitario]]</f>
        <v>15428</v>
      </c>
      <c r="H2834" t="str">
        <f>TEXT(TbReceitas[[#This Row],[data_transacao]], "aaaa-mm")</f>
        <v>2026-04</v>
      </c>
    </row>
    <row r="2835" spans="1:8">
      <c r="A2835">
        <v>2834</v>
      </c>
      <c r="B2835" s="1">
        <v>46015</v>
      </c>
      <c r="C2835" t="s">
        <v>1135</v>
      </c>
      <c r="D2835" t="s">
        <v>274</v>
      </c>
      <c r="E2835">
        <v>4</v>
      </c>
      <c r="F2835">
        <v>1178</v>
      </c>
      <c r="G2835">
        <f>TbReceitas[[#This Row],[quantidade]]*TbReceitas[[#This Row],[preco_unitario]]</f>
        <v>4712</v>
      </c>
      <c r="H2835" t="str">
        <f>TEXT(TbReceitas[[#This Row],[data_transacao]], "aaaa-mm")</f>
        <v>2025-12</v>
      </c>
    </row>
    <row r="2836" spans="1:8">
      <c r="A2836">
        <v>2835</v>
      </c>
      <c r="B2836" s="1">
        <v>45617</v>
      </c>
      <c r="C2836" t="s">
        <v>1290</v>
      </c>
      <c r="D2836" t="s">
        <v>100</v>
      </c>
      <c r="E2836">
        <v>4</v>
      </c>
      <c r="F2836">
        <v>12034</v>
      </c>
      <c r="G2836">
        <f>TbReceitas[[#This Row],[quantidade]]*TbReceitas[[#This Row],[preco_unitario]]</f>
        <v>48136</v>
      </c>
      <c r="H2836" t="str">
        <f>TEXT(TbReceitas[[#This Row],[data_transacao]], "aaaa-mm")</f>
        <v>2024-11</v>
      </c>
    </row>
    <row r="2837" spans="1:8">
      <c r="A2837">
        <v>2836</v>
      </c>
      <c r="B2837" s="1">
        <v>45943</v>
      </c>
      <c r="C2837" t="s">
        <v>793</v>
      </c>
      <c r="D2837" t="s">
        <v>531</v>
      </c>
      <c r="E2837">
        <v>4</v>
      </c>
      <c r="F2837">
        <v>5033</v>
      </c>
      <c r="G2837">
        <f>TbReceitas[[#This Row],[quantidade]]*TbReceitas[[#This Row],[preco_unitario]]</f>
        <v>20132</v>
      </c>
      <c r="H2837" t="str">
        <f>TEXT(TbReceitas[[#This Row],[data_transacao]], "aaaa-mm")</f>
        <v>2025-10</v>
      </c>
    </row>
    <row r="2838" spans="1:8">
      <c r="A2838">
        <v>2837</v>
      </c>
      <c r="B2838" s="1">
        <v>45708</v>
      </c>
      <c r="C2838" t="s">
        <v>1652</v>
      </c>
      <c r="D2838" t="s">
        <v>302</v>
      </c>
      <c r="E2838">
        <v>2</v>
      </c>
      <c r="F2838">
        <v>3276</v>
      </c>
      <c r="G2838">
        <f>TbReceitas[[#This Row],[quantidade]]*TbReceitas[[#This Row],[preco_unitario]]</f>
        <v>6552</v>
      </c>
      <c r="H2838" t="str">
        <f>TEXT(TbReceitas[[#This Row],[data_transacao]], "aaaa-mm")</f>
        <v>2025-02</v>
      </c>
    </row>
    <row r="2839" spans="1:8">
      <c r="A2839">
        <v>2838</v>
      </c>
      <c r="B2839" s="1">
        <v>45780</v>
      </c>
      <c r="C2839" t="s">
        <v>1777</v>
      </c>
      <c r="D2839" t="s">
        <v>701</v>
      </c>
      <c r="E2839">
        <v>4</v>
      </c>
      <c r="F2839">
        <v>11243</v>
      </c>
      <c r="G2839">
        <f>TbReceitas[[#This Row],[quantidade]]*TbReceitas[[#This Row],[preco_unitario]]</f>
        <v>44972</v>
      </c>
      <c r="H2839" t="str">
        <f>TEXT(TbReceitas[[#This Row],[data_transacao]], "aaaa-mm")</f>
        <v>2025-05</v>
      </c>
    </row>
    <row r="2840" spans="1:8">
      <c r="A2840">
        <v>2839</v>
      </c>
      <c r="B2840" s="1">
        <v>45826</v>
      </c>
      <c r="C2840" t="s">
        <v>1132</v>
      </c>
      <c r="D2840" t="s">
        <v>88</v>
      </c>
      <c r="E2840">
        <v>2</v>
      </c>
      <c r="F2840">
        <v>4181</v>
      </c>
      <c r="G2840">
        <f>TbReceitas[[#This Row],[quantidade]]*TbReceitas[[#This Row],[preco_unitario]]</f>
        <v>8362</v>
      </c>
      <c r="H2840" t="str">
        <f>TEXT(TbReceitas[[#This Row],[data_transacao]], "aaaa-mm")</f>
        <v>2025-06</v>
      </c>
    </row>
    <row r="2841" spans="1:8">
      <c r="A2841">
        <v>2840</v>
      </c>
      <c r="B2841" s="1">
        <v>45557</v>
      </c>
      <c r="C2841" t="s">
        <v>1354</v>
      </c>
      <c r="D2841" t="s">
        <v>250</v>
      </c>
      <c r="E2841">
        <v>2</v>
      </c>
      <c r="F2841">
        <v>4154</v>
      </c>
      <c r="G2841">
        <f>TbReceitas[[#This Row],[quantidade]]*TbReceitas[[#This Row],[preco_unitario]]</f>
        <v>8308</v>
      </c>
      <c r="H2841" t="str">
        <f>TEXT(TbReceitas[[#This Row],[data_transacao]], "aaaa-mm")</f>
        <v>2024-09</v>
      </c>
    </row>
    <row r="2842" spans="1:8">
      <c r="A2842">
        <v>2841</v>
      </c>
      <c r="B2842" s="1">
        <v>46094</v>
      </c>
      <c r="C2842" t="s">
        <v>1777</v>
      </c>
      <c r="D2842" t="s">
        <v>338</v>
      </c>
      <c r="E2842">
        <v>2</v>
      </c>
      <c r="F2842">
        <v>4563</v>
      </c>
      <c r="G2842">
        <f>TbReceitas[[#This Row],[quantidade]]*TbReceitas[[#This Row],[preco_unitario]]</f>
        <v>9126</v>
      </c>
      <c r="H2842" t="str">
        <f>TEXT(TbReceitas[[#This Row],[data_transacao]], "aaaa-mm")</f>
        <v>2026-03</v>
      </c>
    </row>
    <row r="2843" spans="1:8">
      <c r="A2843">
        <v>2842</v>
      </c>
      <c r="B2843" s="1">
        <v>46190</v>
      </c>
      <c r="C2843" t="s">
        <v>1098</v>
      </c>
      <c r="D2843" t="s">
        <v>47</v>
      </c>
      <c r="E2843">
        <v>1</v>
      </c>
      <c r="F2843">
        <v>854</v>
      </c>
      <c r="G2843">
        <f>TbReceitas[[#This Row],[quantidade]]*TbReceitas[[#This Row],[preco_unitario]]</f>
        <v>854</v>
      </c>
      <c r="H2843" t="str">
        <f>TEXT(TbReceitas[[#This Row],[data_transacao]], "aaaa-mm")</f>
        <v>2026-06</v>
      </c>
    </row>
    <row r="2844" spans="1:8">
      <c r="A2844">
        <v>2843</v>
      </c>
      <c r="B2844" s="1">
        <v>46012</v>
      </c>
      <c r="C2844" t="s">
        <v>1274</v>
      </c>
      <c r="D2844" t="s">
        <v>432</v>
      </c>
      <c r="E2844">
        <v>3</v>
      </c>
      <c r="F2844">
        <v>2156</v>
      </c>
      <c r="G2844">
        <f>TbReceitas[[#This Row],[quantidade]]*TbReceitas[[#This Row],[preco_unitario]]</f>
        <v>6468</v>
      </c>
      <c r="H2844" t="str">
        <f>TEXT(TbReceitas[[#This Row],[data_transacao]], "aaaa-mm")</f>
        <v>2025-12</v>
      </c>
    </row>
    <row r="2845" spans="1:8">
      <c r="A2845">
        <v>2844</v>
      </c>
      <c r="B2845" s="1">
        <v>45908</v>
      </c>
      <c r="C2845" t="s">
        <v>806</v>
      </c>
      <c r="D2845" t="s">
        <v>618</v>
      </c>
      <c r="E2845">
        <v>1</v>
      </c>
      <c r="F2845">
        <v>19479</v>
      </c>
      <c r="G2845">
        <f>TbReceitas[[#This Row],[quantidade]]*TbReceitas[[#This Row],[preco_unitario]]</f>
        <v>19479</v>
      </c>
      <c r="H2845" t="str">
        <f>TEXT(TbReceitas[[#This Row],[data_transacao]], "aaaa-mm")</f>
        <v>2025-09</v>
      </c>
    </row>
    <row r="2846" spans="1:8">
      <c r="A2846">
        <v>2845</v>
      </c>
      <c r="B2846" s="1">
        <v>45928</v>
      </c>
      <c r="C2846" t="s">
        <v>1388</v>
      </c>
      <c r="D2846" t="s">
        <v>282</v>
      </c>
      <c r="E2846">
        <v>5</v>
      </c>
      <c r="F2846">
        <v>2647</v>
      </c>
      <c r="G2846">
        <f>TbReceitas[[#This Row],[quantidade]]*TbReceitas[[#This Row],[preco_unitario]]</f>
        <v>13235</v>
      </c>
      <c r="H2846" t="str">
        <f>TEXT(TbReceitas[[#This Row],[data_transacao]], "aaaa-mm")</f>
        <v>2025-09</v>
      </c>
    </row>
    <row r="2847" spans="1:8">
      <c r="A2847">
        <v>2846</v>
      </c>
      <c r="B2847" s="1">
        <v>45780</v>
      </c>
      <c r="C2847" t="s">
        <v>718</v>
      </c>
      <c r="D2847" t="s">
        <v>323</v>
      </c>
      <c r="E2847">
        <v>4</v>
      </c>
      <c r="F2847">
        <v>10232</v>
      </c>
      <c r="G2847">
        <f>TbReceitas[[#This Row],[quantidade]]*TbReceitas[[#This Row],[preco_unitario]]</f>
        <v>40928</v>
      </c>
      <c r="H2847" t="str">
        <f>TEXT(TbReceitas[[#This Row],[data_transacao]], "aaaa-mm")</f>
        <v>2025-05</v>
      </c>
    </row>
    <row r="2848" spans="1:8">
      <c r="A2848">
        <v>2847</v>
      </c>
      <c r="B2848" s="1">
        <v>45757</v>
      </c>
      <c r="C2848" t="s">
        <v>1375</v>
      </c>
      <c r="D2848" t="s">
        <v>203</v>
      </c>
      <c r="E2848">
        <v>2</v>
      </c>
      <c r="F2848">
        <v>1934</v>
      </c>
      <c r="G2848">
        <f>TbReceitas[[#This Row],[quantidade]]*TbReceitas[[#This Row],[preco_unitario]]</f>
        <v>3868</v>
      </c>
      <c r="H2848" t="str">
        <f>TEXT(TbReceitas[[#This Row],[data_transacao]], "aaaa-mm")</f>
        <v>2025-04</v>
      </c>
    </row>
    <row r="2849" spans="1:8">
      <c r="A2849">
        <v>2848</v>
      </c>
      <c r="B2849" s="1">
        <v>46083</v>
      </c>
      <c r="C2849" t="s">
        <v>1558</v>
      </c>
      <c r="D2849" t="s">
        <v>167</v>
      </c>
      <c r="E2849">
        <v>5</v>
      </c>
      <c r="F2849">
        <v>13706</v>
      </c>
      <c r="G2849">
        <f>TbReceitas[[#This Row],[quantidade]]*TbReceitas[[#This Row],[preco_unitario]]</f>
        <v>68530</v>
      </c>
      <c r="H2849" t="str">
        <f>TEXT(TbReceitas[[#This Row],[data_transacao]], "aaaa-mm")</f>
        <v>2026-03</v>
      </c>
    </row>
    <row r="2850" spans="1:8">
      <c r="A2850">
        <v>2849</v>
      </c>
      <c r="B2850" s="1">
        <v>46267</v>
      </c>
      <c r="C2850" t="s">
        <v>1809</v>
      </c>
      <c r="D2850" t="s">
        <v>295</v>
      </c>
      <c r="E2850">
        <v>1</v>
      </c>
      <c r="F2850">
        <v>15397</v>
      </c>
      <c r="G2850">
        <f>TbReceitas[[#This Row],[quantidade]]*TbReceitas[[#This Row],[preco_unitario]]</f>
        <v>15397</v>
      </c>
      <c r="H2850" t="str">
        <f>TEXT(TbReceitas[[#This Row],[data_transacao]], "aaaa-mm")</f>
        <v>2026-09</v>
      </c>
    </row>
    <row r="2851" spans="1:8">
      <c r="A2851">
        <v>2850</v>
      </c>
      <c r="B2851" s="1">
        <v>46076</v>
      </c>
      <c r="C2851" t="s">
        <v>1229</v>
      </c>
      <c r="D2851" t="s">
        <v>445</v>
      </c>
      <c r="E2851">
        <v>3</v>
      </c>
      <c r="F2851">
        <v>20681</v>
      </c>
      <c r="G2851">
        <f>TbReceitas[[#This Row],[quantidade]]*TbReceitas[[#This Row],[preco_unitario]]</f>
        <v>62043</v>
      </c>
      <c r="H2851" t="str">
        <f>TEXT(TbReceitas[[#This Row],[data_transacao]], "aaaa-mm")</f>
        <v>2026-02</v>
      </c>
    </row>
    <row r="2852" spans="1:8">
      <c r="A2852">
        <v>2851</v>
      </c>
      <c r="B2852" s="1">
        <v>46234</v>
      </c>
      <c r="C2852" t="s">
        <v>1110</v>
      </c>
      <c r="D2852" t="s">
        <v>280</v>
      </c>
      <c r="E2852">
        <v>2</v>
      </c>
      <c r="F2852">
        <v>16759</v>
      </c>
      <c r="G2852">
        <f>TbReceitas[[#This Row],[quantidade]]*TbReceitas[[#This Row],[preco_unitario]]</f>
        <v>33518</v>
      </c>
      <c r="H2852" t="str">
        <f>TEXT(TbReceitas[[#This Row],[data_transacao]], "aaaa-mm")</f>
        <v>2026-07</v>
      </c>
    </row>
    <row r="2853" spans="1:8">
      <c r="A2853">
        <v>2852</v>
      </c>
      <c r="B2853" s="1">
        <v>46150</v>
      </c>
      <c r="C2853" t="s">
        <v>1515</v>
      </c>
      <c r="D2853" t="s">
        <v>454</v>
      </c>
      <c r="E2853">
        <v>1</v>
      </c>
      <c r="F2853">
        <v>4692</v>
      </c>
      <c r="G2853">
        <f>TbReceitas[[#This Row],[quantidade]]*TbReceitas[[#This Row],[preco_unitario]]</f>
        <v>4692</v>
      </c>
      <c r="H2853" t="str">
        <f>TEXT(TbReceitas[[#This Row],[data_transacao]], "aaaa-mm")</f>
        <v>2026-05</v>
      </c>
    </row>
    <row r="2854" spans="1:8">
      <c r="A2854">
        <v>2853</v>
      </c>
      <c r="B2854" s="1">
        <v>46274</v>
      </c>
      <c r="C2854" t="s">
        <v>1340</v>
      </c>
      <c r="D2854" t="s">
        <v>609</v>
      </c>
      <c r="E2854">
        <v>4</v>
      </c>
      <c r="F2854">
        <v>6953</v>
      </c>
      <c r="G2854">
        <f>TbReceitas[[#This Row],[quantidade]]*TbReceitas[[#This Row],[preco_unitario]]</f>
        <v>27812</v>
      </c>
      <c r="H2854" t="str">
        <f>TEXT(TbReceitas[[#This Row],[data_transacao]], "aaaa-mm")</f>
        <v>2026-09</v>
      </c>
    </row>
    <row r="2855" spans="1:8">
      <c r="A2855">
        <v>2854</v>
      </c>
      <c r="B2855" s="1">
        <v>45775</v>
      </c>
      <c r="C2855" t="s">
        <v>1181</v>
      </c>
      <c r="D2855" t="s">
        <v>135</v>
      </c>
      <c r="E2855">
        <v>3</v>
      </c>
      <c r="F2855">
        <v>2344</v>
      </c>
      <c r="G2855">
        <f>TbReceitas[[#This Row],[quantidade]]*TbReceitas[[#This Row],[preco_unitario]]</f>
        <v>7032</v>
      </c>
      <c r="H2855" t="str">
        <f>TEXT(TbReceitas[[#This Row],[data_transacao]], "aaaa-mm")</f>
        <v>2025-04</v>
      </c>
    </row>
    <row r="2856" spans="1:8">
      <c r="A2856">
        <v>2855</v>
      </c>
      <c r="B2856" s="1">
        <v>45778</v>
      </c>
      <c r="C2856" t="s">
        <v>1810</v>
      </c>
      <c r="D2856" t="s">
        <v>411</v>
      </c>
      <c r="E2856">
        <v>5</v>
      </c>
      <c r="F2856">
        <v>1601</v>
      </c>
      <c r="G2856">
        <f>TbReceitas[[#This Row],[quantidade]]*TbReceitas[[#This Row],[preco_unitario]]</f>
        <v>8005</v>
      </c>
      <c r="H2856" t="str">
        <f>TEXT(TbReceitas[[#This Row],[data_transacao]], "aaaa-mm")</f>
        <v>2025-05</v>
      </c>
    </row>
    <row r="2857" spans="1:8">
      <c r="A2857">
        <v>2856</v>
      </c>
      <c r="B2857" s="1">
        <v>46100</v>
      </c>
      <c r="C2857" t="s">
        <v>953</v>
      </c>
      <c r="D2857" t="s">
        <v>365</v>
      </c>
      <c r="E2857">
        <v>5</v>
      </c>
      <c r="F2857">
        <v>20402</v>
      </c>
      <c r="G2857">
        <f>TbReceitas[[#This Row],[quantidade]]*TbReceitas[[#This Row],[preco_unitario]]</f>
        <v>102010</v>
      </c>
      <c r="H2857" t="str">
        <f>TEXT(TbReceitas[[#This Row],[data_transacao]], "aaaa-mm")</f>
        <v>2026-03</v>
      </c>
    </row>
    <row r="2858" spans="1:8">
      <c r="A2858">
        <v>2857</v>
      </c>
      <c r="B2858" s="1">
        <v>46028</v>
      </c>
      <c r="C2858" t="s">
        <v>1811</v>
      </c>
      <c r="D2858" t="s">
        <v>362</v>
      </c>
      <c r="E2858">
        <v>3</v>
      </c>
      <c r="F2858">
        <v>19722</v>
      </c>
      <c r="G2858">
        <f>TbReceitas[[#This Row],[quantidade]]*TbReceitas[[#This Row],[preco_unitario]]</f>
        <v>59166</v>
      </c>
      <c r="H2858" t="str">
        <f>TEXT(TbReceitas[[#This Row],[data_transacao]], "aaaa-mm")</f>
        <v>2026-01</v>
      </c>
    </row>
    <row r="2859" spans="1:8">
      <c r="A2859">
        <v>2858</v>
      </c>
      <c r="B2859" s="1">
        <v>45855</v>
      </c>
      <c r="C2859" t="s">
        <v>1045</v>
      </c>
      <c r="D2859" t="s">
        <v>82</v>
      </c>
      <c r="E2859">
        <v>3</v>
      </c>
      <c r="F2859">
        <v>3126</v>
      </c>
      <c r="G2859">
        <f>TbReceitas[[#This Row],[quantidade]]*TbReceitas[[#This Row],[preco_unitario]]</f>
        <v>9378</v>
      </c>
      <c r="H2859" t="str">
        <f>TEXT(TbReceitas[[#This Row],[data_transacao]], "aaaa-mm")</f>
        <v>2025-07</v>
      </c>
    </row>
    <row r="2860" spans="1:8">
      <c r="A2860">
        <v>2859</v>
      </c>
      <c r="B2860" s="1">
        <v>45938</v>
      </c>
      <c r="C2860" t="s">
        <v>1234</v>
      </c>
      <c r="D2860" t="s">
        <v>570</v>
      </c>
      <c r="E2860">
        <v>1</v>
      </c>
      <c r="F2860">
        <v>21533</v>
      </c>
      <c r="G2860">
        <f>TbReceitas[[#This Row],[quantidade]]*TbReceitas[[#This Row],[preco_unitario]]</f>
        <v>21533</v>
      </c>
      <c r="H2860" t="str">
        <f>TEXT(TbReceitas[[#This Row],[data_transacao]], "aaaa-mm")</f>
        <v>2025-10</v>
      </c>
    </row>
    <row r="2861" spans="1:8">
      <c r="A2861">
        <v>2860</v>
      </c>
      <c r="B2861" s="1">
        <v>45696</v>
      </c>
      <c r="C2861" t="s">
        <v>1112</v>
      </c>
      <c r="D2861" t="s">
        <v>602</v>
      </c>
      <c r="E2861">
        <v>3</v>
      </c>
      <c r="F2861">
        <v>17929</v>
      </c>
      <c r="G2861">
        <f>TbReceitas[[#This Row],[quantidade]]*TbReceitas[[#This Row],[preco_unitario]]</f>
        <v>53787</v>
      </c>
      <c r="H2861" t="str">
        <f>TEXT(TbReceitas[[#This Row],[data_transacao]], "aaaa-mm")</f>
        <v>2025-02</v>
      </c>
    </row>
    <row r="2862" spans="1:8">
      <c r="A2862">
        <v>2861</v>
      </c>
      <c r="B2862" s="1">
        <v>46220</v>
      </c>
      <c r="C2862" t="s">
        <v>1450</v>
      </c>
      <c r="D2862" t="s">
        <v>309</v>
      </c>
      <c r="E2862">
        <v>5</v>
      </c>
      <c r="F2862">
        <v>11854</v>
      </c>
      <c r="G2862">
        <f>TbReceitas[[#This Row],[quantidade]]*TbReceitas[[#This Row],[preco_unitario]]</f>
        <v>59270</v>
      </c>
      <c r="H2862" t="str">
        <f>TEXT(TbReceitas[[#This Row],[data_transacao]], "aaaa-mm")</f>
        <v>2026-07</v>
      </c>
    </row>
    <row r="2863" spans="1:8">
      <c r="A2863">
        <v>2862</v>
      </c>
      <c r="B2863" s="1">
        <v>46213</v>
      </c>
      <c r="C2863" t="s">
        <v>1413</v>
      </c>
      <c r="D2863" t="s">
        <v>480</v>
      </c>
      <c r="E2863">
        <v>2</v>
      </c>
      <c r="F2863">
        <v>1934</v>
      </c>
      <c r="G2863">
        <f>TbReceitas[[#This Row],[quantidade]]*TbReceitas[[#This Row],[preco_unitario]]</f>
        <v>3868</v>
      </c>
      <c r="H2863" t="str">
        <f>TEXT(TbReceitas[[#This Row],[data_transacao]], "aaaa-mm")</f>
        <v>2026-07</v>
      </c>
    </row>
    <row r="2864" spans="1:8">
      <c r="A2864">
        <v>2863</v>
      </c>
      <c r="B2864" s="1">
        <v>45881</v>
      </c>
      <c r="C2864" t="s">
        <v>1575</v>
      </c>
      <c r="D2864" t="s">
        <v>693</v>
      </c>
      <c r="E2864">
        <v>4</v>
      </c>
      <c r="F2864">
        <v>128</v>
      </c>
      <c r="G2864">
        <f>TbReceitas[[#This Row],[quantidade]]*TbReceitas[[#This Row],[preco_unitario]]</f>
        <v>512</v>
      </c>
      <c r="H2864" t="str">
        <f>TEXT(TbReceitas[[#This Row],[data_transacao]], "aaaa-mm")</f>
        <v>2025-08</v>
      </c>
    </row>
    <row r="2865" spans="1:8">
      <c r="A2865">
        <v>2864</v>
      </c>
      <c r="B2865" s="1">
        <v>45960</v>
      </c>
      <c r="C2865" t="s">
        <v>1373</v>
      </c>
      <c r="D2865" t="s">
        <v>157</v>
      </c>
      <c r="E2865">
        <v>3</v>
      </c>
      <c r="F2865">
        <v>11672</v>
      </c>
      <c r="G2865">
        <f>TbReceitas[[#This Row],[quantidade]]*TbReceitas[[#This Row],[preco_unitario]]</f>
        <v>35016</v>
      </c>
      <c r="H2865" t="str">
        <f>TEXT(TbReceitas[[#This Row],[data_transacao]], "aaaa-mm")</f>
        <v>2025-10</v>
      </c>
    </row>
    <row r="2866" spans="1:8">
      <c r="A2866">
        <v>2865</v>
      </c>
      <c r="B2866" s="1">
        <v>45753</v>
      </c>
      <c r="C2866" t="s">
        <v>855</v>
      </c>
      <c r="D2866" t="s">
        <v>259</v>
      </c>
      <c r="E2866">
        <v>4</v>
      </c>
      <c r="F2866">
        <v>2751</v>
      </c>
      <c r="G2866">
        <f>TbReceitas[[#This Row],[quantidade]]*TbReceitas[[#This Row],[preco_unitario]]</f>
        <v>11004</v>
      </c>
      <c r="H2866" t="str">
        <f>TEXT(TbReceitas[[#This Row],[data_transacao]], "aaaa-mm")</f>
        <v>2025-04</v>
      </c>
    </row>
    <row r="2867" spans="1:8">
      <c r="A2867">
        <v>2866</v>
      </c>
      <c r="B2867" s="1">
        <v>46126</v>
      </c>
      <c r="C2867" t="s">
        <v>967</v>
      </c>
      <c r="D2867" t="s">
        <v>612</v>
      </c>
      <c r="E2867">
        <v>1</v>
      </c>
      <c r="F2867">
        <v>20797</v>
      </c>
      <c r="G2867">
        <f>TbReceitas[[#This Row],[quantidade]]*TbReceitas[[#This Row],[preco_unitario]]</f>
        <v>20797</v>
      </c>
      <c r="H2867" t="str">
        <f>TEXT(TbReceitas[[#This Row],[data_transacao]], "aaaa-mm")</f>
        <v>2026-04</v>
      </c>
    </row>
    <row r="2868" spans="1:8">
      <c r="A2868">
        <v>2867</v>
      </c>
      <c r="B2868" s="1">
        <v>46135</v>
      </c>
      <c r="C2868" t="s">
        <v>1800</v>
      </c>
      <c r="D2868" t="s">
        <v>158</v>
      </c>
      <c r="E2868">
        <v>3</v>
      </c>
      <c r="F2868">
        <v>2383</v>
      </c>
      <c r="G2868">
        <f>TbReceitas[[#This Row],[quantidade]]*TbReceitas[[#This Row],[preco_unitario]]</f>
        <v>7149</v>
      </c>
      <c r="H2868" t="str">
        <f>TEXT(TbReceitas[[#This Row],[data_transacao]], "aaaa-mm")</f>
        <v>2026-04</v>
      </c>
    </row>
    <row r="2869" spans="1:8">
      <c r="A2869">
        <v>2868</v>
      </c>
      <c r="B2869" s="1">
        <v>45838</v>
      </c>
      <c r="C2869" t="s">
        <v>946</v>
      </c>
      <c r="D2869" t="s">
        <v>695</v>
      </c>
      <c r="E2869">
        <v>2</v>
      </c>
      <c r="F2869">
        <v>15791</v>
      </c>
      <c r="G2869">
        <f>TbReceitas[[#This Row],[quantidade]]*TbReceitas[[#This Row],[preco_unitario]]</f>
        <v>31582</v>
      </c>
      <c r="H2869" t="str">
        <f>TEXT(TbReceitas[[#This Row],[data_transacao]], "aaaa-mm")</f>
        <v>2025-06</v>
      </c>
    </row>
    <row r="2870" spans="1:8">
      <c r="A2870">
        <v>2869</v>
      </c>
      <c r="B2870" s="1">
        <v>46262</v>
      </c>
      <c r="C2870" t="s">
        <v>1426</v>
      </c>
      <c r="D2870" t="s">
        <v>18</v>
      </c>
      <c r="E2870">
        <v>3</v>
      </c>
      <c r="F2870">
        <v>7076</v>
      </c>
      <c r="G2870">
        <f>TbReceitas[[#This Row],[quantidade]]*TbReceitas[[#This Row],[preco_unitario]]</f>
        <v>21228</v>
      </c>
      <c r="H2870" t="str">
        <f>TEXT(TbReceitas[[#This Row],[data_transacao]], "aaaa-mm")</f>
        <v>2026-08</v>
      </c>
    </row>
    <row r="2871" spans="1:8">
      <c r="A2871">
        <v>2870</v>
      </c>
      <c r="B2871" s="1">
        <v>46096</v>
      </c>
      <c r="C2871" t="s">
        <v>1812</v>
      </c>
      <c r="D2871" t="s">
        <v>211</v>
      </c>
      <c r="E2871">
        <v>3</v>
      </c>
      <c r="F2871">
        <v>20547</v>
      </c>
      <c r="G2871">
        <f>TbReceitas[[#This Row],[quantidade]]*TbReceitas[[#This Row],[preco_unitario]]</f>
        <v>61641</v>
      </c>
      <c r="H2871" t="str">
        <f>TEXT(TbReceitas[[#This Row],[data_transacao]], "aaaa-mm")</f>
        <v>2026-03</v>
      </c>
    </row>
    <row r="2872" spans="1:8">
      <c r="A2872">
        <v>2871</v>
      </c>
      <c r="B2872" s="1">
        <v>45898</v>
      </c>
      <c r="C2872" t="s">
        <v>988</v>
      </c>
      <c r="D2872" t="s">
        <v>695</v>
      </c>
      <c r="E2872">
        <v>4</v>
      </c>
      <c r="F2872">
        <v>15791</v>
      </c>
      <c r="G2872">
        <f>TbReceitas[[#This Row],[quantidade]]*TbReceitas[[#This Row],[preco_unitario]]</f>
        <v>63164</v>
      </c>
      <c r="H2872" t="str">
        <f>TEXT(TbReceitas[[#This Row],[data_transacao]], "aaaa-mm")</f>
        <v>2025-08</v>
      </c>
    </row>
    <row r="2873" spans="1:8">
      <c r="A2873">
        <v>2872</v>
      </c>
      <c r="B2873" s="1">
        <v>45993</v>
      </c>
      <c r="C2873" t="s">
        <v>1355</v>
      </c>
      <c r="D2873" t="s">
        <v>464</v>
      </c>
      <c r="E2873">
        <v>1</v>
      </c>
      <c r="F2873">
        <v>10835</v>
      </c>
      <c r="G2873">
        <f>TbReceitas[[#This Row],[quantidade]]*TbReceitas[[#This Row],[preco_unitario]]</f>
        <v>10835</v>
      </c>
      <c r="H2873" t="str">
        <f>TEXT(TbReceitas[[#This Row],[data_transacao]], "aaaa-mm")</f>
        <v>2025-12</v>
      </c>
    </row>
    <row r="2874" spans="1:8">
      <c r="A2874">
        <v>2873</v>
      </c>
      <c r="B2874" s="1">
        <v>46109</v>
      </c>
      <c r="C2874" t="s">
        <v>926</v>
      </c>
      <c r="D2874" t="s">
        <v>307</v>
      </c>
      <c r="E2874">
        <v>4</v>
      </c>
      <c r="F2874">
        <v>1722</v>
      </c>
      <c r="G2874">
        <f>TbReceitas[[#This Row],[quantidade]]*TbReceitas[[#This Row],[preco_unitario]]</f>
        <v>6888</v>
      </c>
      <c r="H2874" t="str">
        <f>TEXT(TbReceitas[[#This Row],[data_transacao]], "aaaa-mm")</f>
        <v>2026-03</v>
      </c>
    </row>
    <row r="2875" spans="1:8">
      <c r="A2875">
        <v>2874</v>
      </c>
      <c r="B2875" s="1">
        <v>45916</v>
      </c>
      <c r="C2875" t="s">
        <v>1402</v>
      </c>
      <c r="D2875" t="s">
        <v>402</v>
      </c>
      <c r="E2875">
        <v>1</v>
      </c>
      <c r="F2875">
        <v>22282</v>
      </c>
      <c r="G2875">
        <f>TbReceitas[[#This Row],[quantidade]]*TbReceitas[[#This Row],[preco_unitario]]</f>
        <v>22282</v>
      </c>
      <c r="H2875" t="str">
        <f>TEXT(TbReceitas[[#This Row],[data_transacao]], "aaaa-mm")</f>
        <v>2025-09</v>
      </c>
    </row>
    <row r="2876" spans="1:8">
      <c r="A2876">
        <v>2875</v>
      </c>
      <c r="B2876" s="1">
        <v>46172</v>
      </c>
      <c r="C2876" t="s">
        <v>1303</v>
      </c>
      <c r="D2876" t="s">
        <v>346</v>
      </c>
      <c r="E2876">
        <v>5</v>
      </c>
      <c r="F2876">
        <v>9547</v>
      </c>
      <c r="G2876">
        <f>TbReceitas[[#This Row],[quantidade]]*TbReceitas[[#This Row],[preco_unitario]]</f>
        <v>47735</v>
      </c>
      <c r="H2876" t="str">
        <f>TEXT(TbReceitas[[#This Row],[data_transacao]], "aaaa-mm")</f>
        <v>2026-05</v>
      </c>
    </row>
    <row r="2877" spans="1:8">
      <c r="A2877">
        <v>2876</v>
      </c>
      <c r="B2877" s="1">
        <v>46106</v>
      </c>
      <c r="C2877" t="s">
        <v>1734</v>
      </c>
      <c r="D2877" t="s">
        <v>165</v>
      </c>
      <c r="E2877">
        <v>2</v>
      </c>
      <c r="F2877">
        <v>16789</v>
      </c>
      <c r="G2877">
        <f>TbReceitas[[#This Row],[quantidade]]*TbReceitas[[#This Row],[preco_unitario]]</f>
        <v>33578</v>
      </c>
      <c r="H2877" t="str">
        <f>TEXT(TbReceitas[[#This Row],[data_transacao]], "aaaa-mm")</f>
        <v>2026-03</v>
      </c>
    </row>
    <row r="2878" spans="1:8">
      <c r="A2878">
        <v>2877</v>
      </c>
      <c r="B2878" s="1">
        <v>46234</v>
      </c>
      <c r="C2878" t="s">
        <v>929</v>
      </c>
      <c r="D2878" t="s">
        <v>616</v>
      </c>
      <c r="E2878">
        <v>2</v>
      </c>
      <c r="F2878">
        <v>23118</v>
      </c>
      <c r="G2878">
        <f>TbReceitas[[#This Row],[quantidade]]*TbReceitas[[#This Row],[preco_unitario]]</f>
        <v>46236</v>
      </c>
      <c r="H2878" t="str">
        <f>TEXT(TbReceitas[[#This Row],[data_transacao]], "aaaa-mm")</f>
        <v>2026-07</v>
      </c>
    </row>
    <row r="2879" spans="1:8">
      <c r="A2879">
        <v>2878</v>
      </c>
      <c r="B2879" s="1">
        <v>45937</v>
      </c>
      <c r="C2879" t="s">
        <v>1755</v>
      </c>
      <c r="D2879" t="s">
        <v>543</v>
      </c>
      <c r="E2879">
        <v>3</v>
      </c>
      <c r="F2879">
        <v>1944</v>
      </c>
      <c r="G2879">
        <f>TbReceitas[[#This Row],[quantidade]]*TbReceitas[[#This Row],[preco_unitario]]</f>
        <v>5832</v>
      </c>
      <c r="H2879" t="str">
        <f>TEXT(TbReceitas[[#This Row],[data_transacao]], "aaaa-mm")</f>
        <v>2025-10</v>
      </c>
    </row>
    <row r="2880" spans="1:8">
      <c r="A2880">
        <v>2879</v>
      </c>
      <c r="B2880" s="1">
        <v>45572</v>
      </c>
      <c r="C2880" t="s">
        <v>1270</v>
      </c>
      <c r="D2880" t="s">
        <v>248</v>
      </c>
      <c r="E2880">
        <v>3</v>
      </c>
      <c r="F2880">
        <v>20401</v>
      </c>
      <c r="G2880">
        <f>TbReceitas[[#This Row],[quantidade]]*TbReceitas[[#This Row],[preco_unitario]]</f>
        <v>61203</v>
      </c>
      <c r="H2880" t="str">
        <f>TEXT(TbReceitas[[#This Row],[data_transacao]], "aaaa-mm")</f>
        <v>2024-10</v>
      </c>
    </row>
    <row r="2881" spans="1:8">
      <c r="A2881">
        <v>2880</v>
      </c>
      <c r="B2881" s="1">
        <v>45816</v>
      </c>
      <c r="C2881" t="s">
        <v>1065</v>
      </c>
      <c r="D2881" t="s">
        <v>145</v>
      </c>
      <c r="E2881">
        <v>4</v>
      </c>
      <c r="F2881">
        <v>3517</v>
      </c>
      <c r="G2881">
        <f>TbReceitas[[#This Row],[quantidade]]*TbReceitas[[#This Row],[preco_unitario]]</f>
        <v>14068</v>
      </c>
      <c r="H2881" t="str">
        <f>TEXT(TbReceitas[[#This Row],[data_transacao]], "aaaa-mm")</f>
        <v>2025-06</v>
      </c>
    </row>
    <row r="2882" spans="1:8">
      <c r="A2882">
        <v>2881</v>
      </c>
      <c r="B2882" s="1">
        <v>45577</v>
      </c>
      <c r="C2882" t="s">
        <v>1700</v>
      </c>
      <c r="D2882" t="s">
        <v>25</v>
      </c>
      <c r="E2882">
        <v>2</v>
      </c>
      <c r="F2882">
        <v>15908</v>
      </c>
      <c r="G2882">
        <f>TbReceitas[[#This Row],[quantidade]]*TbReceitas[[#This Row],[preco_unitario]]</f>
        <v>31816</v>
      </c>
      <c r="H2882" t="str">
        <f>TEXT(TbReceitas[[#This Row],[data_transacao]], "aaaa-mm")</f>
        <v>2024-10</v>
      </c>
    </row>
    <row r="2883" spans="1:8">
      <c r="A2883">
        <v>2882</v>
      </c>
      <c r="B2883" s="1">
        <v>45921</v>
      </c>
      <c r="C2883" t="s">
        <v>1027</v>
      </c>
      <c r="D2883" t="s">
        <v>146</v>
      </c>
      <c r="E2883">
        <v>5</v>
      </c>
      <c r="F2883">
        <v>2346</v>
      </c>
      <c r="G2883">
        <f>TbReceitas[[#This Row],[quantidade]]*TbReceitas[[#This Row],[preco_unitario]]</f>
        <v>11730</v>
      </c>
      <c r="H2883" t="str">
        <f>TEXT(TbReceitas[[#This Row],[data_transacao]], "aaaa-mm")</f>
        <v>2025-09</v>
      </c>
    </row>
    <row r="2884" spans="1:8">
      <c r="A2884">
        <v>2883</v>
      </c>
      <c r="B2884" s="1">
        <v>45998</v>
      </c>
      <c r="C2884" t="s">
        <v>1608</v>
      </c>
      <c r="D2884" t="s">
        <v>621</v>
      </c>
      <c r="E2884">
        <v>3</v>
      </c>
      <c r="F2884">
        <v>9823</v>
      </c>
      <c r="G2884">
        <f>TbReceitas[[#This Row],[quantidade]]*TbReceitas[[#This Row],[preco_unitario]]</f>
        <v>29469</v>
      </c>
      <c r="H2884" t="str">
        <f>TEXT(TbReceitas[[#This Row],[data_transacao]], "aaaa-mm")</f>
        <v>2025-12</v>
      </c>
    </row>
    <row r="2885" spans="1:8">
      <c r="A2885">
        <v>2884</v>
      </c>
      <c r="B2885" s="1">
        <v>46086</v>
      </c>
      <c r="C2885" t="s">
        <v>1738</v>
      </c>
      <c r="D2885" t="s">
        <v>627</v>
      </c>
      <c r="E2885">
        <v>3</v>
      </c>
      <c r="F2885">
        <v>8375</v>
      </c>
      <c r="G2885">
        <f>TbReceitas[[#This Row],[quantidade]]*TbReceitas[[#This Row],[preco_unitario]]</f>
        <v>25125</v>
      </c>
      <c r="H2885" t="str">
        <f>TEXT(TbReceitas[[#This Row],[data_transacao]], "aaaa-mm")</f>
        <v>2026-03</v>
      </c>
    </row>
    <row r="2886" spans="1:8">
      <c r="A2886">
        <v>2885</v>
      </c>
      <c r="B2886" s="1">
        <v>46007</v>
      </c>
      <c r="C2886" t="s">
        <v>1459</v>
      </c>
      <c r="D2886" t="s">
        <v>203</v>
      </c>
      <c r="E2886">
        <v>1</v>
      </c>
      <c r="F2886">
        <v>1934</v>
      </c>
      <c r="G2886">
        <f>TbReceitas[[#This Row],[quantidade]]*TbReceitas[[#This Row],[preco_unitario]]</f>
        <v>1934</v>
      </c>
      <c r="H2886" t="str">
        <f>TEXT(TbReceitas[[#This Row],[data_transacao]], "aaaa-mm")</f>
        <v>2025-12</v>
      </c>
    </row>
    <row r="2887" spans="1:8">
      <c r="A2887">
        <v>2886</v>
      </c>
      <c r="B2887" s="1">
        <v>45564</v>
      </c>
      <c r="C2887" t="s">
        <v>911</v>
      </c>
      <c r="D2887" t="s">
        <v>39</v>
      </c>
      <c r="E2887">
        <v>1</v>
      </c>
      <c r="F2887">
        <v>12748</v>
      </c>
      <c r="G2887">
        <f>TbReceitas[[#This Row],[quantidade]]*TbReceitas[[#This Row],[preco_unitario]]</f>
        <v>12748</v>
      </c>
      <c r="H2887" t="str">
        <f>TEXT(TbReceitas[[#This Row],[data_transacao]], "aaaa-mm")</f>
        <v>2024-09</v>
      </c>
    </row>
    <row r="2888" spans="1:8">
      <c r="A2888">
        <v>2887</v>
      </c>
      <c r="B2888" s="1">
        <v>46227</v>
      </c>
      <c r="C2888" t="s">
        <v>904</v>
      </c>
      <c r="D2888" t="s">
        <v>334</v>
      </c>
      <c r="E2888">
        <v>4</v>
      </c>
      <c r="F2888">
        <v>20877</v>
      </c>
      <c r="G2888">
        <f>TbReceitas[[#This Row],[quantidade]]*TbReceitas[[#This Row],[preco_unitario]]</f>
        <v>83508</v>
      </c>
      <c r="H2888" t="str">
        <f>TEXT(TbReceitas[[#This Row],[data_transacao]], "aaaa-mm")</f>
        <v>2026-07</v>
      </c>
    </row>
    <row r="2889" spans="1:8">
      <c r="A2889">
        <v>2888</v>
      </c>
      <c r="B2889" s="1">
        <v>46231</v>
      </c>
      <c r="C2889" t="s">
        <v>1603</v>
      </c>
      <c r="D2889" t="s">
        <v>254</v>
      </c>
      <c r="E2889">
        <v>5</v>
      </c>
      <c r="F2889">
        <v>13978</v>
      </c>
      <c r="G2889">
        <f>TbReceitas[[#This Row],[quantidade]]*TbReceitas[[#This Row],[preco_unitario]]</f>
        <v>69890</v>
      </c>
      <c r="H2889" t="str">
        <f>TEXT(TbReceitas[[#This Row],[data_transacao]], "aaaa-mm")</f>
        <v>2026-07</v>
      </c>
    </row>
    <row r="2890" spans="1:8">
      <c r="A2890">
        <v>2889</v>
      </c>
      <c r="B2890" s="1">
        <v>45916</v>
      </c>
      <c r="C2890" t="s">
        <v>1111</v>
      </c>
      <c r="D2890" t="s">
        <v>572</v>
      </c>
      <c r="E2890">
        <v>3</v>
      </c>
      <c r="F2890">
        <v>18187</v>
      </c>
      <c r="G2890">
        <f>TbReceitas[[#This Row],[quantidade]]*TbReceitas[[#This Row],[preco_unitario]]</f>
        <v>54561</v>
      </c>
      <c r="H2890" t="str">
        <f>TEXT(TbReceitas[[#This Row],[data_transacao]], "aaaa-mm")</f>
        <v>2025-09</v>
      </c>
    </row>
    <row r="2891" spans="1:8">
      <c r="A2891">
        <v>2890</v>
      </c>
      <c r="B2891" s="1">
        <v>46075</v>
      </c>
      <c r="C2891" t="s">
        <v>1433</v>
      </c>
      <c r="D2891" t="s">
        <v>438</v>
      </c>
      <c r="E2891">
        <v>5</v>
      </c>
      <c r="F2891">
        <v>5413</v>
      </c>
      <c r="G2891">
        <f>TbReceitas[[#This Row],[quantidade]]*TbReceitas[[#This Row],[preco_unitario]]</f>
        <v>27065</v>
      </c>
      <c r="H2891" t="str">
        <f>TEXT(TbReceitas[[#This Row],[data_transacao]], "aaaa-mm")</f>
        <v>2026-02</v>
      </c>
    </row>
    <row r="2892" spans="1:8">
      <c r="A2892">
        <v>2891</v>
      </c>
      <c r="B2892" s="1">
        <v>45766</v>
      </c>
      <c r="C2892" t="s">
        <v>1559</v>
      </c>
      <c r="D2892" t="s">
        <v>511</v>
      </c>
      <c r="E2892">
        <v>4</v>
      </c>
      <c r="F2892">
        <v>17603</v>
      </c>
      <c r="G2892">
        <f>TbReceitas[[#This Row],[quantidade]]*TbReceitas[[#This Row],[preco_unitario]]</f>
        <v>70412</v>
      </c>
      <c r="H2892" t="str">
        <f>TEXT(TbReceitas[[#This Row],[data_transacao]], "aaaa-mm")</f>
        <v>2025-04</v>
      </c>
    </row>
    <row r="2893" spans="1:8">
      <c r="A2893">
        <v>2892</v>
      </c>
      <c r="B2893" s="1">
        <v>45939</v>
      </c>
      <c r="C2893" t="s">
        <v>1518</v>
      </c>
      <c r="D2893" t="s">
        <v>352</v>
      </c>
      <c r="E2893">
        <v>3</v>
      </c>
      <c r="F2893">
        <v>9748</v>
      </c>
      <c r="G2893">
        <f>TbReceitas[[#This Row],[quantidade]]*TbReceitas[[#This Row],[preco_unitario]]</f>
        <v>29244</v>
      </c>
      <c r="H2893" t="str">
        <f>TEXT(TbReceitas[[#This Row],[data_transacao]], "aaaa-mm")</f>
        <v>2025-10</v>
      </c>
    </row>
    <row r="2894" spans="1:8">
      <c r="A2894">
        <v>2893</v>
      </c>
      <c r="B2894" s="1">
        <v>45799</v>
      </c>
      <c r="C2894" t="s">
        <v>1417</v>
      </c>
      <c r="D2894" t="s">
        <v>491</v>
      </c>
      <c r="E2894">
        <v>2</v>
      </c>
      <c r="F2894">
        <v>16893</v>
      </c>
      <c r="G2894">
        <f>TbReceitas[[#This Row],[quantidade]]*TbReceitas[[#This Row],[preco_unitario]]</f>
        <v>33786</v>
      </c>
      <c r="H2894" t="str">
        <f>TEXT(TbReceitas[[#This Row],[data_transacao]], "aaaa-mm")</f>
        <v>2025-05</v>
      </c>
    </row>
    <row r="2895" spans="1:8">
      <c r="A2895">
        <v>2894</v>
      </c>
      <c r="B2895" s="1">
        <v>45863</v>
      </c>
      <c r="C2895" t="s">
        <v>1504</v>
      </c>
      <c r="D2895" t="s">
        <v>58</v>
      </c>
      <c r="E2895">
        <v>2</v>
      </c>
      <c r="F2895">
        <v>7027</v>
      </c>
      <c r="G2895">
        <f>TbReceitas[[#This Row],[quantidade]]*TbReceitas[[#This Row],[preco_unitario]]</f>
        <v>14054</v>
      </c>
      <c r="H2895" t="str">
        <f>TEXT(TbReceitas[[#This Row],[data_transacao]], "aaaa-mm")</f>
        <v>2025-07</v>
      </c>
    </row>
    <row r="2896" spans="1:8">
      <c r="A2896">
        <v>2895</v>
      </c>
      <c r="B2896" s="1">
        <v>45745</v>
      </c>
      <c r="C2896" t="s">
        <v>738</v>
      </c>
      <c r="D2896" t="s">
        <v>625</v>
      </c>
      <c r="E2896">
        <v>2</v>
      </c>
      <c r="F2896">
        <v>2485</v>
      </c>
      <c r="G2896">
        <f>TbReceitas[[#This Row],[quantidade]]*TbReceitas[[#This Row],[preco_unitario]]</f>
        <v>4970</v>
      </c>
      <c r="H2896" t="str">
        <f>TEXT(TbReceitas[[#This Row],[data_transacao]], "aaaa-mm")</f>
        <v>2025-03</v>
      </c>
    </row>
    <row r="2897" spans="1:8">
      <c r="A2897">
        <v>2896</v>
      </c>
      <c r="B2897" s="1">
        <v>46245</v>
      </c>
      <c r="C2897" t="s">
        <v>1369</v>
      </c>
      <c r="D2897" t="s">
        <v>435</v>
      </c>
      <c r="E2897">
        <v>1</v>
      </c>
      <c r="F2897">
        <v>7686</v>
      </c>
      <c r="G2897">
        <f>TbReceitas[[#This Row],[quantidade]]*TbReceitas[[#This Row],[preco_unitario]]</f>
        <v>7686</v>
      </c>
      <c r="H2897" t="str">
        <f>TEXT(TbReceitas[[#This Row],[data_transacao]], "aaaa-mm")</f>
        <v>2026-08</v>
      </c>
    </row>
    <row r="2898" spans="1:8">
      <c r="A2898">
        <v>2897</v>
      </c>
      <c r="B2898" s="1">
        <v>45878</v>
      </c>
      <c r="C2898" t="s">
        <v>926</v>
      </c>
      <c r="D2898" t="s">
        <v>507</v>
      </c>
      <c r="E2898">
        <v>5</v>
      </c>
      <c r="F2898">
        <v>7085</v>
      </c>
      <c r="G2898">
        <f>TbReceitas[[#This Row],[quantidade]]*TbReceitas[[#This Row],[preco_unitario]]</f>
        <v>35425</v>
      </c>
      <c r="H2898" t="str">
        <f>TEXT(TbReceitas[[#This Row],[data_transacao]], "aaaa-mm")</f>
        <v>2025-08</v>
      </c>
    </row>
    <row r="2899" spans="1:8">
      <c r="A2899">
        <v>2898</v>
      </c>
      <c r="B2899" s="1">
        <v>46228</v>
      </c>
      <c r="C2899" t="s">
        <v>1338</v>
      </c>
      <c r="D2899" t="s">
        <v>507</v>
      </c>
      <c r="E2899">
        <v>2</v>
      </c>
      <c r="F2899">
        <v>7085</v>
      </c>
      <c r="G2899">
        <f>TbReceitas[[#This Row],[quantidade]]*TbReceitas[[#This Row],[preco_unitario]]</f>
        <v>14170</v>
      </c>
      <c r="H2899" t="str">
        <f>TEXT(TbReceitas[[#This Row],[data_transacao]], "aaaa-mm")</f>
        <v>2026-07</v>
      </c>
    </row>
    <row r="2900" spans="1:8">
      <c r="A2900">
        <v>2899</v>
      </c>
      <c r="B2900" s="1">
        <v>45968</v>
      </c>
      <c r="C2900" t="s">
        <v>991</v>
      </c>
      <c r="D2900" t="s">
        <v>331</v>
      </c>
      <c r="E2900">
        <v>5</v>
      </c>
      <c r="F2900">
        <v>1809</v>
      </c>
      <c r="G2900">
        <f>TbReceitas[[#This Row],[quantidade]]*TbReceitas[[#This Row],[preco_unitario]]</f>
        <v>9045</v>
      </c>
      <c r="H2900" t="str">
        <f>TEXT(TbReceitas[[#This Row],[data_transacao]], "aaaa-mm")</f>
        <v>2025-11</v>
      </c>
    </row>
    <row r="2901" spans="1:8">
      <c r="A2901">
        <v>2900</v>
      </c>
      <c r="B2901" s="1">
        <v>45650</v>
      </c>
      <c r="C2901" t="s">
        <v>1421</v>
      </c>
      <c r="D2901" t="s">
        <v>230</v>
      </c>
      <c r="E2901">
        <v>5</v>
      </c>
      <c r="F2901">
        <v>2847</v>
      </c>
      <c r="G2901">
        <f>TbReceitas[[#This Row],[quantidade]]*TbReceitas[[#This Row],[preco_unitario]]</f>
        <v>14235</v>
      </c>
      <c r="H2901" t="str">
        <f>TEXT(TbReceitas[[#This Row],[data_transacao]], "aaaa-mm")</f>
        <v>2024-12</v>
      </c>
    </row>
    <row r="2902" spans="1:8">
      <c r="A2902">
        <v>2901</v>
      </c>
      <c r="B2902" s="1">
        <v>45608</v>
      </c>
      <c r="C2902" t="s">
        <v>1466</v>
      </c>
      <c r="D2902" t="s">
        <v>273</v>
      </c>
      <c r="E2902">
        <v>4</v>
      </c>
      <c r="F2902">
        <v>3035</v>
      </c>
      <c r="G2902">
        <f>TbReceitas[[#This Row],[quantidade]]*TbReceitas[[#This Row],[preco_unitario]]</f>
        <v>12140</v>
      </c>
      <c r="H2902" t="str">
        <f>TEXT(TbReceitas[[#This Row],[data_transacao]], "aaaa-mm")</f>
        <v>2024-11</v>
      </c>
    </row>
    <row r="2903" spans="1:8">
      <c r="A2903">
        <v>2902</v>
      </c>
      <c r="B2903" s="1">
        <v>45571</v>
      </c>
      <c r="C2903" t="s">
        <v>1813</v>
      </c>
      <c r="D2903" t="s">
        <v>224</v>
      </c>
      <c r="E2903">
        <v>5</v>
      </c>
      <c r="F2903">
        <v>2181</v>
      </c>
      <c r="G2903">
        <f>TbReceitas[[#This Row],[quantidade]]*TbReceitas[[#This Row],[preco_unitario]]</f>
        <v>10905</v>
      </c>
      <c r="H2903" t="str">
        <f>TEXT(TbReceitas[[#This Row],[data_transacao]], "aaaa-mm")</f>
        <v>2024-10</v>
      </c>
    </row>
    <row r="2904" spans="1:8">
      <c r="A2904">
        <v>2903</v>
      </c>
      <c r="B2904" s="1">
        <v>45915</v>
      </c>
      <c r="C2904" t="s">
        <v>767</v>
      </c>
      <c r="D2904" t="s">
        <v>323</v>
      </c>
      <c r="E2904">
        <v>3</v>
      </c>
      <c r="F2904">
        <v>10232</v>
      </c>
      <c r="G2904">
        <f>TbReceitas[[#This Row],[quantidade]]*TbReceitas[[#This Row],[preco_unitario]]</f>
        <v>30696</v>
      </c>
      <c r="H2904" t="str">
        <f>TEXT(TbReceitas[[#This Row],[data_transacao]], "aaaa-mm")</f>
        <v>2025-09</v>
      </c>
    </row>
    <row r="2905" spans="1:8">
      <c r="A2905">
        <v>2904</v>
      </c>
      <c r="B2905" s="1">
        <v>45991</v>
      </c>
      <c r="C2905" t="s">
        <v>1814</v>
      </c>
      <c r="D2905" t="s">
        <v>604</v>
      </c>
      <c r="E2905">
        <v>1</v>
      </c>
      <c r="F2905">
        <v>17604</v>
      </c>
      <c r="G2905">
        <f>TbReceitas[[#This Row],[quantidade]]*TbReceitas[[#This Row],[preco_unitario]]</f>
        <v>17604</v>
      </c>
      <c r="H2905" t="str">
        <f>TEXT(TbReceitas[[#This Row],[data_transacao]], "aaaa-mm")</f>
        <v>2025-11</v>
      </c>
    </row>
    <row r="2906" spans="1:8">
      <c r="A2906">
        <v>2905</v>
      </c>
      <c r="B2906" s="1">
        <v>46041</v>
      </c>
      <c r="C2906" t="s">
        <v>1815</v>
      </c>
      <c r="D2906" t="s">
        <v>165</v>
      </c>
      <c r="E2906">
        <v>4</v>
      </c>
      <c r="F2906">
        <v>16789</v>
      </c>
      <c r="G2906">
        <f>TbReceitas[[#This Row],[quantidade]]*TbReceitas[[#This Row],[preco_unitario]]</f>
        <v>67156</v>
      </c>
      <c r="H2906" t="str">
        <f>TEXT(TbReceitas[[#This Row],[data_transacao]], "aaaa-mm")</f>
        <v>2026-01</v>
      </c>
    </row>
    <row r="2907" spans="1:8">
      <c r="A2907">
        <v>2906</v>
      </c>
      <c r="B2907" s="1">
        <v>45734</v>
      </c>
      <c r="C2907" t="s">
        <v>1463</v>
      </c>
      <c r="D2907" t="s">
        <v>357</v>
      </c>
      <c r="E2907">
        <v>1</v>
      </c>
      <c r="F2907">
        <v>7516</v>
      </c>
      <c r="G2907">
        <f>TbReceitas[[#This Row],[quantidade]]*TbReceitas[[#This Row],[preco_unitario]]</f>
        <v>7516</v>
      </c>
      <c r="H2907" t="str">
        <f>TEXT(TbReceitas[[#This Row],[data_transacao]], "aaaa-mm")</f>
        <v>2025-03</v>
      </c>
    </row>
    <row r="2908" spans="1:8">
      <c r="A2908">
        <v>2907</v>
      </c>
      <c r="B2908" s="1">
        <v>45813</v>
      </c>
      <c r="C2908" t="s">
        <v>1816</v>
      </c>
      <c r="D2908" t="s">
        <v>57</v>
      </c>
      <c r="E2908">
        <v>5</v>
      </c>
      <c r="F2908">
        <v>17735</v>
      </c>
      <c r="G2908">
        <f>TbReceitas[[#This Row],[quantidade]]*TbReceitas[[#This Row],[preco_unitario]]</f>
        <v>88675</v>
      </c>
      <c r="H2908" t="str">
        <f>TEXT(TbReceitas[[#This Row],[data_transacao]], "aaaa-mm")</f>
        <v>2025-06</v>
      </c>
    </row>
    <row r="2909" spans="1:8">
      <c r="A2909">
        <v>2908</v>
      </c>
      <c r="B2909" s="1">
        <v>45676</v>
      </c>
      <c r="C2909" t="s">
        <v>1575</v>
      </c>
      <c r="D2909" t="s">
        <v>138</v>
      </c>
      <c r="E2909">
        <v>3</v>
      </c>
      <c r="F2909">
        <v>20784</v>
      </c>
      <c r="G2909">
        <f>TbReceitas[[#This Row],[quantidade]]*TbReceitas[[#This Row],[preco_unitario]]</f>
        <v>62352</v>
      </c>
      <c r="H2909" t="str">
        <f>TEXT(TbReceitas[[#This Row],[data_transacao]], "aaaa-mm")</f>
        <v>2025-01</v>
      </c>
    </row>
    <row r="2910" spans="1:8">
      <c r="A2910">
        <v>2909</v>
      </c>
      <c r="B2910" s="1">
        <v>45689</v>
      </c>
      <c r="C2910" t="s">
        <v>1817</v>
      </c>
      <c r="D2910" t="s">
        <v>602</v>
      </c>
      <c r="E2910">
        <v>1</v>
      </c>
      <c r="F2910">
        <v>17929</v>
      </c>
      <c r="G2910">
        <f>TbReceitas[[#This Row],[quantidade]]*TbReceitas[[#This Row],[preco_unitario]]</f>
        <v>17929</v>
      </c>
      <c r="H2910" t="str">
        <f>TEXT(TbReceitas[[#This Row],[data_transacao]], "aaaa-mm")</f>
        <v>2025-02</v>
      </c>
    </row>
    <row r="2911" spans="1:8">
      <c r="A2911">
        <v>2910</v>
      </c>
      <c r="B2911" s="1">
        <v>46134</v>
      </c>
      <c r="C2911" t="s">
        <v>970</v>
      </c>
      <c r="D2911" t="s">
        <v>409</v>
      </c>
      <c r="E2911">
        <v>5</v>
      </c>
      <c r="F2911">
        <v>6002</v>
      </c>
      <c r="G2911">
        <f>TbReceitas[[#This Row],[quantidade]]*TbReceitas[[#This Row],[preco_unitario]]</f>
        <v>30010</v>
      </c>
      <c r="H2911" t="str">
        <f>TEXT(TbReceitas[[#This Row],[data_transacao]], "aaaa-mm")</f>
        <v>2026-04</v>
      </c>
    </row>
    <row r="2912" spans="1:8">
      <c r="A2912">
        <v>2911</v>
      </c>
      <c r="B2912" s="1">
        <v>46260</v>
      </c>
      <c r="C2912" t="s">
        <v>1607</v>
      </c>
      <c r="D2912" t="s">
        <v>641</v>
      </c>
      <c r="E2912">
        <v>3</v>
      </c>
      <c r="F2912">
        <v>3128</v>
      </c>
      <c r="G2912">
        <f>TbReceitas[[#This Row],[quantidade]]*TbReceitas[[#This Row],[preco_unitario]]</f>
        <v>9384</v>
      </c>
      <c r="H2912" t="str">
        <f>TEXT(TbReceitas[[#This Row],[data_transacao]], "aaaa-mm")</f>
        <v>2026-08</v>
      </c>
    </row>
    <row r="2913" spans="1:8">
      <c r="A2913">
        <v>2912</v>
      </c>
      <c r="B2913" s="1">
        <v>45719</v>
      </c>
      <c r="C2913" t="s">
        <v>904</v>
      </c>
      <c r="D2913" t="s">
        <v>493</v>
      </c>
      <c r="E2913">
        <v>4</v>
      </c>
      <c r="F2913">
        <v>13377</v>
      </c>
      <c r="G2913">
        <f>TbReceitas[[#This Row],[quantidade]]*TbReceitas[[#This Row],[preco_unitario]]</f>
        <v>53508</v>
      </c>
      <c r="H2913" t="str">
        <f>TEXT(TbReceitas[[#This Row],[data_transacao]], "aaaa-mm")</f>
        <v>2025-03</v>
      </c>
    </row>
    <row r="2914" spans="1:8">
      <c r="A2914">
        <v>2913</v>
      </c>
      <c r="B2914" s="1">
        <v>46135</v>
      </c>
      <c r="C2914" t="s">
        <v>1430</v>
      </c>
      <c r="D2914" t="s">
        <v>270</v>
      </c>
      <c r="E2914">
        <v>3</v>
      </c>
      <c r="F2914">
        <v>24663</v>
      </c>
      <c r="G2914">
        <f>TbReceitas[[#This Row],[quantidade]]*TbReceitas[[#This Row],[preco_unitario]]</f>
        <v>73989</v>
      </c>
      <c r="H2914" t="str">
        <f>TEXT(TbReceitas[[#This Row],[data_transacao]], "aaaa-mm")</f>
        <v>2026-04</v>
      </c>
    </row>
    <row r="2915" spans="1:8">
      <c r="A2915">
        <v>2914</v>
      </c>
      <c r="B2915" s="1">
        <v>45833</v>
      </c>
      <c r="C2915" t="s">
        <v>1154</v>
      </c>
      <c r="D2915" t="s">
        <v>494</v>
      </c>
      <c r="E2915">
        <v>4</v>
      </c>
      <c r="F2915">
        <v>2542</v>
      </c>
      <c r="G2915">
        <f>TbReceitas[[#This Row],[quantidade]]*TbReceitas[[#This Row],[preco_unitario]]</f>
        <v>10168</v>
      </c>
      <c r="H2915" t="str">
        <f>TEXT(TbReceitas[[#This Row],[data_transacao]], "aaaa-mm")</f>
        <v>2025-06</v>
      </c>
    </row>
    <row r="2916" spans="1:8">
      <c r="A2916">
        <v>2915</v>
      </c>
      <c r="B2916" s="1">
        <v>46196</v>
      </c>
      <c r="C2916" t="s">
        <v>1409</v>
      </c>
      <c r="D2916" t="s">
        <v>367</v>
      </c>
      <c r="E2916">
        <v>4</v>
      </c>
      <c r="F2916">
        <v>17234</v>
      </c>
      <c r="G2916">
        <f>TbReceitas[[#This Row],[quantidade]]*TbReceitas[[#This Row],[preco_unitario]]</f>
        <v>68936</v>
      </c>
      <c r="H2916" t="str">
        <f>TEXT(TbReceitas[[#This Row],[data_transacao]], "aaaa-mm")</f>
        <v>2026-06</v>
      </c>
    </row>
    <row r="2917" spans="1:8">
      <c r="A2917">
        <v>2916</v>
      </c>
      <c r="B2917" s="1">
        <v>46163</v>
      </c>
      <c r="C2917" t="s">
        <v>801</v>
      </c>
      <c r="D2917" t="s">
        <v>640</v>
      </c>
      <c r="E2917">
        <v>2</v>
      </c>
      <c r="F2917">
        <v>9499</v>
      </c>
      <c r="G2917">
        <f>TbReceitas[[#This Row],[quantidade]]*TbReceitas[[#This Row],[preco_unitario]]</f>
        <v>18998</v>
      </c>
      <c r="H2917" t="str">
        <f>TEXT(TbReceitas[[#This Row],[data_transacao]], "aaaa-mm")</f>
        <v>2026-05</v>
      </c>
    </row>
    <row r="2918" spans="1:8">
      <c r="A2918">
        <v>2917</v>
      </c>
      <c r="B2918" s="1">
        <v>45650</v>
      </c>
      <c r="C2918" t="s">
        <v>726</v>
      </c>
      <c r="D2918" t="s">
        <v>357</v>
      </c>
      <c r="E2918">
        <v>3</v>
      </c>
      <c r="F2918">
        <v>7516</v>
      </c>
      <c r="G2918">
        <f>TbReceitas[[#This Row],[quantidade]]*TbReceitas[[#This Row],[preco_unitario]]</f>
        <v>22548</v>
      </c>
      <c r="H2918" t="str">
        <f>TEXT(TbReceitas[[#This Row],[data_transacao]], "aaaa-mm")</f>
        <v>2024-12</v>
      </c>
    </row>
    <row r="2919" spans="1:8">
      <c r="A2919">
        <v>2918</v>
      </c>
      <c r="B2919" s="1">
        <v>45620</v>
      </c>
      <c r="C2919" t="s">
        <v>1072</v>
      </c>
      <c r="D2919" t="s">
        <v>145</v>
      </c>
      <c r="E2919">
        <v>1</v>
      </c>
      <c r="F2919">
        <v>3517</v>
      </c>
      <c r="G2919">
        <f>TbReceitas[[#This Row],[quantidade]]*TbReceitas[[#This Row],[preco_unitario]]</f>
        <v>3517</v>
      </c>
      <c r="H2919" t="str">
        <f>TEXT(TbReceitas[[#This Row],[data_transacao]], "aaaa-mm")</f>
        <v>2024-11</v>
      </c>
    </row>
    <row r="2920" spans="1:8">
      <c r="A2920">
        <v>2919</v>
      </c>
      <c r="B2920" s="1">
        <v>46007</v>
      </c>
      <c r="C2920" t="s">
        <v>1818</v>
      </c>
      <c r="D2920" t="s">
        <v>90</v>
      </c>
      <c r="E2920">
        <v>1</v>
      </c>
      <c r="F2920">
        <v>20394</v>
      </c>
      <c r="G2920">
        <f>TbReceitas[[#This Row],[quantidade]]*TbReceitas[[#This Row],[preco_unitario]]</f>
        <v>20394</v>
      </c>
      <c r="H2920" t="str">
        <f>TEXT(TbReceitas[[#This Row],[data_transacao]], "aaaa-mm")</f>
        <v>2025-12</v>
      </c>
    </row>
    <row r="2921" spans="1:8">
      <c r="A2921">
        <v>2920</v>
      </c>
      <c r="B2921" s="1">
        <v>45936</v>
      </c>
      <c r="C2921" t="s">
        <v>1164</v>
      </c>
      <c r="D2921" t="s">
        <v>380</v>
      </c>
      <c r="E2921">
        <v>4</v>
      </c>
      <c r="F2921">
        <v>18227</v>
      </c>
      <c r="G2921">
        <f>TbReceitas[[#This Row],[quantidade]]*TbReceitas[[#This Row],[preco_unitario]]</f>
        <v>72908</v>
      </c>
      <c r="H2921" t="str">
        <f>TEXT(TbReceitas[[#This Row],[data_transacao]], "aaaa-mm")</f>
        <v>2025-10</v>
      </c>
    </row>
    <row r="2922" spans="1:8">
      <c r="A2922">
        <v>2921</v>
      </c>
      <c r="B2922" s="1">
        <v>45991</v>
      </c>
      <c r="C2922" t="s">
        <v>1507</v>
      </c>
      <c r="D2922" t="s">
        <v>132</v>
      </c>
      <c r="E2922">
        <v>1</v>
      </c>
      <c r="F2922">
        <v>14526</v>
      </c>
      <c r="G2922">
        <f>TbReceitas[[#This Row],[quantidade]]*TbReceitas[[#This Row],[preco_unitario]]</f>
        <v>14526</v>
      </c>
      <c r="H2922" t="str">
        <f>TEXT(TbReceitas[[#This Row],[data_transacao]], "aaaa-mm")</f>
        <v>2025-11</v>
      </c>
    </row>
    <row r="2923" spans="1:8">
      <c r="A2923">
        <v>2922</v>
      </c>
      <c r="B2923" s="1">
        <v>46093</v>
      </c>
      <c r="C2923" t="s">
        <v>1819</v>
      </c>
      <c r="D2923" t="s">
        <v>662</v>
      </c>
      <c r="E2923">
        <v>2</v>
      </c>
      <c r="F2923">
        <v>18382</v>
      </c>
      <c r="G2923">
        <f>TbReceitas[[#This Row],[quantidade]]*TbReceitas[[#This Row],[preco_unitario]]</f>
        <v>36764</v>
      </c>
      <c r="H2923" t="str">
        <f>TEXT(TbReceitas[[#This Row],[data_transacao]], "aaaa-mm")</f>
        <v>2026-03</v>
      </c>
    </row>
    <row r="2924" spans="1:8">
      <c r="A2924">
        <v>2923</v>
      </c>
      <c r="B2924" s="1">
        <v>45617</v>
      </c>
      <c r="C2924" t="s">
        <v>884</v>
      </c>
      <c r="D2924" t="s">
        <v>117</v>
      </c>
      <c r="E2924">
        <v>4</v>
      </c>
      <c r="F2924">
        <v>15356</v>
      </c>
      <c r="G2924">
        <f>TbReceitas[[#This Row],[quantidade]]*TbReceitas[[#This Row],[preco_unitario]]</f>
        <v>61424</v>
      </c>
      <c r="H2924" t="str">
        <f>TEXT(TbReceitas[[#This Row],[data_transacao]], "aaaa-mm")</f>
        <v>2024-11</v>
      </c>
    </row>
    <row r="2925" spans="1:8">
      <c r="A2925">
        <v>2924</v>
      </c>
      <c r="B2925" s="1">
        <v>45914</v>
      </c>
      <c r="C2925" t="s">
        <v>1820</v>
      </c>
      <c r="D2925" t="s">
        <v>693</v>
      </c>
      <c r="E2925">
        <v>3</v>
      </c>
      <c r="F2925">
        <v>128</v>
      </c>
      <c r="G2925">
        <f>TbReceitas[[#This Row],[quantidade]]*TbReceitas[[#This Row],[preco_unitario]]</f>
        <v>384</v>
      </c>
      <c r="H2925" t="str">
        <f>TEXT(TbReceitas[[#This Row],[data_transacao]], "aaaa-mm")</f>
        <v>2025-09</v>
      </c>
    </row>
    <row r="2926" spans="1:8">
      <c r="A2926">
        <v>2925</v>
      </c>
      <c r="B2926" s="1">
        <v>45598</v>
      </c>
      <c r="C2926" t="s">
        <v>999</v>
      </c>
      <c r="D2926" t="s">
        <v>516</v>
      </c>
      <c r="E2926">
        <v>4</v>
      </c>
      <c r="F2926">
        <v>4039</v>
      </c>
      <c r="G2926">
        <f>TbReceitas[[#This Row],[quantidade]]*TbReceitas[[#This Row],[preco_unitario]]</f>
        <v>16156</v>
      </c>
      <c r="H2926" t="str">
        <f>TEXT(TbReceitas[[#This Row],[data_transacao]], "aaaa-mm")</f>
        <v>2024-11</v>
      </c>
    </row>
    <row r="2927" spans="1:8">
      <c r="A2927">
        <v>2926</v>
      </c>
      <c r="B2927" s="1">
        <v>45802</v>
      </c>
      <c r="C2927" t="s">
        <v>1294</v>
      </c>
      <c r="D2927" t="s">
        <v>145</v>
      </c>
      <c r="E2927">
        <v>4</v>
      </c>
      <c r="F2927">
        <v>3517</v>
      </c>
      <c r="G2927">
        <f>TbReceitas[[#This Row],[quantidade]]*TbReceitas[[#This Row],[preco_unitario]]</f>
        <v>14068</v>
      </c>
      <c r="H2927" t="str">
        <f>TEXT(TbReceitas[[#This Row],[data_transacao]], "aaaa-mm")</f>
        <v>2025-05</v>
      </c>
    </row>
    <row r="2928" spans="1:8">
      <c r="A2928">
        <v>2927</v>
      </c>
      <c r="B2928" s="1">
        <v>45923</v>
      </c>
      <c r="C2928" t="s">
        <v>839</v>
      </c>
      <c r="D2928" t="s">
        <v>212</v>
      </c>
      <c r="E2928">
        <v>3</v>
      </c>
      <c r="F2928">
        <v>6603</v>
      </c>
      <c r="G2928">
        <f>TbReceitas[[#This Row],[quantidade]]*TbReceitas[[#This Row],[preco_unitario]]</f>
        <v>19809</v>
      </c>
      <c r="H2928" t="str">
        <f>TEXT(TbReceitas[[#This Row],[data_transacao]], "aaaa-mm")</f>
        <v>2025-09</v>
      </c>
    </row>
    <row r="2929" spans="1:8">
      <c r="A2929">
        <v>2928</v>
      </c>
      <c r="B2929" s="1">
        <v>45850</v>
      </c>
      <c r="C2929" t="s">
        <v>1460</v>
      </c>
      <c r="D2929" t="s">
        <v>29</v>
      </c>
      <c r="E2929">
        <v>4</v>
      </c>
      <c r="F2929">
        <v>24528</v>
      </c>
      <c r="G2929">
        <f>TbReceitas[[#This Row],[quantidade]]*TbReceitas[[#This Row],[preco_unitario]]</f>
        <v>98112</v>
      </c>
      <c r="H2929" t="str">
        <f>TEXT(TbReceitas[[#This Row],[data_transacao]], "aaaa-mm")</f>
        <v>2025-07</v>
      </c>
    </row>
    <row r="2930" spans="1:8">
      <c r="A2930">
        <v>2929</v>
      </c>
      <c r="B2930" s="1">
        <v>45988</v>
      </c>
      <c r="C2930" t="s">
        <v>829</v>
      </c>
      <c r="D2930" t="s">
        <v>116</v>
      </c>
      <c r="E2930">
        <v>4</v>
      </c>
      <c r="F2930">
        <v>1384</v>
      </c>
      <c r="G2930">
        <f>TbReceitas[[#This Row],[quantidade]]*TbReceitas[[#This Row],[preco_unitario]]</f>
        <v>5536</v>
      </c>
      <c r="H2930" t="str">
        <f>TEXT(TbReceitas[[#This Row],[data_transacao]], "aaaa-mm")</f>
        <v>2025-11</v>
      </c>
    </row>
    <row r="2931" spans="1:8">
      <c r="A2931">
        <v>2930</v>
      </c>
      <c r="B2931" s="1">
        <v>46238</v>
      </c>
      <c r="C2931" t="s">
        <v>925</v>
      </c>
      <c r="D2931" t="s">
        <v>70</v>
      </c>
      <c r="E2931">
        <v>5</v>
      </c>
      <c r="F2931">
        <v>1198</v>
      </c>
      <c r="G2931">
        <f>TbReceitas[[#This Row],[quantidade]]*TbReceitas[[#This Row],[preco_unitario]]</f>
        <v>5990</v>
      </c>
      <c r="H2931" t="str">
        <f>TEXT(TbReceitas[[#This Row],[data_transacao]], "aaaa-mm")</f>
        <v>2026-08</v>
      </c>
    </row>
    <row r="2932" spans="1:8">
      <c r="A2932">
        <v>2931</v>
      </c>
      <c r="B2932" s="1">
        <v>46258</v>
      </c>
      <c r="C2932" t="s">
        <v>1235</v>
      </c>
      <c r="D2932" t="s">
        <v>290</v>
      </c>
      <c r="E2932">
        <v>2</v>
      </c>
      <c r="F2932">
        <v>6755</v>
      </c>
      <c r="G2932">
        <f>TbReceitas[[#This Row],[quantidade]]*TbReceitas[[#This Row],[preco_unitario]]</f>
        <v>13510</v>
      </c>
      <c r="H2932" t="str">
        <f>TEXT(TbReceitas[[#This Row],[data_transacao]], "aaaa-mm")</f>
        <v>2026-08</v>
      </c>
    </row>
    <row r="2933" spans="1:8">
      <c r="A2933">
        <v>2932</v>
      </c>
      <c r="B2933" s="1">
        <v>46232</v>
      </c>
      <c r="C2933" t="s">
        <v>1642</v>
      </c>
      <c r="D2933" t="s">
        <v>1313</v>
      </c>
      <c r="E2933">
        <v>2</v>
      </c>
      <c r="F2933">
        <v>4935</v>
      </c>
      <c r="G2933">
        <f>TbReceitas[[#This Row],[quantidade]]*TbReceitas[[#This Row],[preco_unitario]]</f>
        <v>9870</v>
      </c>
      <c r="H2933" t="str">
        <f>TEXT(TbReceitas[[#This Row],[data_transacao]], "aaaa-mm")</f>
        <v>2026-07</v>
      </c>
    </row>
    <row r="2934" spans="1:8">
      <c r="A2934">
        <v>2933</v>
      </c>
      <c r="B2934" s="1">
        <v>45790</v>
      </c>
      <c r="C2934" t="s">
        <v>773</v>
      </c>
      <c r="D2934" t="s">
        <v>40</v>
      </c>
      <c r="E2934">
        <v>5</v>
      </c>
      <c r="F2934">
        <v>736</v>
      </c>
      <c r="G2934">
        <f>TbReceitas[[#This Row],[quantidade]]*TbReceitas[[#This Row],[preco_unitario]]</f>
        <v>3680</v>
      </c>
      <c r="H2934" t="str">
        <f>TEXT(TbReceitas[[#This Row],[data_transacao]], "aaaa-mm")</f>
        <v>2025-05</v>
      </c>
    </row>
    <row r="2935" spans="1:8">
      <c r="A2935">
        <v>2934</v>
      </c>
      <c r="B2935" s="1">
        <v>46052</v>
      </c>
      <c r="C2935" t="s">
        <v>929</v>
      </c>
      <c r="D2935" t="s">
        <v>653</v>
      </c>
      <c r="E2935">
        <v>5</v>
      </c>
      <c r="F2935">
        <v>24964</v>
      </c>
      <c r="G2935">
        <f>TbReceitas[[#This Row],[quantidade]]*TbReceitas[[#This Row],[preco_unitario]]</f>
        <v>124820</v>
      </c>
      <c r="H2935" t="str">
        <f>TEXT(TbReceitas[[#This Row],[data_transacao]], "aaaa-mm")</f>
        <v>2026-01</v>
      </c>
    </row>
    <row r="2936" spans="1:8">
      <c r="A2936">
        <v>2935</v>
      </c>
      <c r="B2936" s="1">
        <v>46137</v>
      </c>
      <c r="C2936" t="s">
        <v>1821</v>
      </c>
      <c r="D2936" t="s">
        <v>481</v>
      </c>
      <c r="E2936">
        <v>5</v>
      </c>
      <c r="F2936">
        <v>23782</v>
      </c>
      <c r="G2936">
        <f>TbReceitas[[#This Row],[quantidade]]*TbReceitas[[#This Row],[preco_unitario]]</f>
        <v>118910</v>
      </c>
      <c r="H2936" t="str">
        <f>TEXT(TbReceitas[[#This Row],[data_transacao]], "aaaa-mm")</f>
        <v>2026-04</v>
      </c>
    </row>
    <row r="2937" spans="1:8">
      <c r="A2937">
        <v>2936</v>
      </c>
      <c r="B2937" s="1">
        <v>46082</v>
      </c>
      <c r="C2937" t="s">
        <v>860</v>
      </c>
      <c r="D2937" t="s">
        <v>596</v>
      </c>
      <c r="E2937">
        <v>5</v>
      </c>
      <c r="F2937">
        <v>11069</v>
      </c>
      <c r="G2937">
        <f>TbReceitas[[#This Row],[quantidade]]*TbReceitas[[#This Row],[preco_unitario]]</f>
        <v>55345</v>
      </c>
      <c r="H2937" t="str">
        <f>TEXT(TbReceitas[[#This Row],[data_transacao]], "aaaa-mm")</f>
        <v>2026-03</v>
      </c>
    </row>
    <row r="2938" spans="1:8">
      <c r="A2938">
        <v>2937</v>
      </c>
      <c r="B2938" s="1">
        <v>46133</v>
      </c>
      <c r="C2938" t="s">
        <v>1119</v>
      </c>
      <c r="D2938" t="s">
        <v>672</v>
      </c>
      <c r="E2938">
        <v>2</v>
      </c>
      <c r="F2938">
        <v>21051</v>
      </c>
      <c r="G2938">
        <f>TbReceitas[[#This Row],[quantidade]]*TbReceitas[[#This Row],[preco_unitario]]</f>
        <v>42102</v>
      </c>
      <c r="H2938" t="str">
        <f>TEXT(TbReceitas[[#This Row],[data_transacao]], "aaaa-mm")</f>
        <v>2026-04</v>
      </c>
    </row>
    <row r="2939" spans="1:8">
      <c r="A2939">
        <v>2938</v>
      </c>
      <c r="B2939" s="1">
        <v>46065</v>
      </c>
      <c r="C2939" t="s">
        <v>1348</v>
      </c>
      <c r="D2939" t="s">
        <v>621</v>
      </c>
      <c r="E2939">
        <v>1</v>
      </c>
      <c r="F2939">
        <v>9823</v>
      </c>
      <c r="G2939">
        <f>TbReceitas[[#This Row],[quantidade]]*TbReceitas[[#This Row],[preco_unitario]]</f>
        <v>9823</v>
      </c>
      <c r="H2939" t="str">
        <f>TEXT(TbReceitas[[#This Row],[data_transacao]], "aaaa-mm")</f>
        <v>2026-02</v>
      </c>
    </row>
    <row r="2940" spans="1:8">
      <c r="A2940">
        <v>2939</v>
      </c>
      <c r="B2940" s="1">
        <v>45690</v>
      </c>
      <c r="C2940" t="s">
        <v>1078</v>
      </c>
      <c r="D2940" t="s">
        <v>48</v>
      </c>
      <c r="E2940">
        <v>4</v>
      </c>
      <c r="F2940">
        <v>169</v>
      </c>
      <c r="G2940">
        <f>TbReceitas[[#This Row],[quantidade]]*TbReceitas[[#This Row],[preco_unitario]]</f>
        <v>676</v>
      </c>
      <c r="H2940" t="str">
        <f>TEXT(TbReceitas[[#This Row],[data_transacao]], "aaaa-mm")</f>
        <v>2025-02</v>
      </c>
    </row>
    <row r="2941" spans="1:8">
      <c r="A2941">
        <v>2940</v>
      </c>
      <c r="B2941" s="1">
        <v>46116</v>
      </c>
      <c r="C2941" t="s">
        <v>879</v>
      </c>
      <c r="D2941" t="s">
        <v>535</v>
      </c>
      <c r="E2941">
        <v>2</v>
      </c>
      <c r="F2941">
        <v>24784</v>
      </c>
      <c r="G2941">
        <f>TbReceitas[[#This Row],[quantidade]]*TbReceitas[[#This Row],[preco_unitario]]</f>
        <v>49568</v>
      </c>
      <c r="H2941" t="str">
        <f>TEXT(TbReceitas[[#This Row],[data_transacao]], "aaaa-mm")</f>
        <v>2026-04</v>
      </c>
    </row>
    <row r="2942" spans="1:8">
      <c r="A2942">
        <v>2941</v>
      </c>
      <c r="B2942" s="1">
        <v>45961</v>
      </c>
      <c r="C2942" t="s">
        <v>1531</v>
      </c>
      <c r="D2942" t="s">
        <v>115</v>
      </c>
      <c r="E2942">
        <v>1</v>
      </c>
      <c r="F2942">
        <v>10588</v>
      </c>
      <c r="G2942">
        <f>TbReceitas[[#This Row],[quantidade]]*TbReceitas[[#This Row],[preco_unitario]]</f>
        <v>10588</v>
      </c>
      <c r="H2942" t="str">
        <f>TEXT(TbReceitas[[#This Row],[data_transacao]], "aaaa-mm")</f>
        <v>2025-10</v>
      </c>
    </row>
    <row r="2943" spans="1:8">
      <c r="A2943">
        <v>2942</v>
      </c>
      <c r="B2943" s="1">
        <v>46199</v>
      </c>
      <c r="C2943" t="s">
        <v>1219</v>
      </c>
      <c r="D2943" t="s">
        <v>653</v>
      </c>
      <c r="E2943">
        <v>2</v>
      </c>
      <c r="F2943">
        <v>24964</v>
      </c>
      <c r="G2943">
        <f>TbReceitas[[#This Row],[quantidade]]*TbReceitas[[#This Row],[preco_unitario]]</f>
        <v>49928</v>
      </c>
      <c r="H2943" t="str">
        <f>TEXT(TbReceitas[[#This Row],[data_transacao]], "aaaa-mm")</f>
        <v>2026-06</v>
      </c>
    </row>
    <row r="2944" spans="1:8">
      <c r="A2944">
        <v>2943</v>
      </c>
      <c r="B2944" s="1">
        <v>46197</v>
      </c>
      <c r="C2944" t="s">
        <v>1333</v>
      </c>
      <c r="D2944" t="s">
        <v>125</v>
      </c>
      <c r="E2944">
        <v>4</v>
      </c>
      <c r="F2944">
        <v>22842</v>
      </c>
      <c r="G2944">
        <f>TbReceitas[[#This Row],[quantidade]]*TbReceitas[[#This Row],[preco_unitario]]</f>
        <v>91368</v>
      </c>
      <c r="H2944" t="str">
        <f>TEXT(TbReceitas[[#This Row],[data_transacao]], "aaaa-mm")</f>
        <v>2026-06</v>
      </c>
    </row>
    <row r="2945" spans="1:8">
      <c r="A2945">
        <v>2944</v>
      </c>
      <c r="B2945" s="1">
        <v>45697</v>
      </c>
      <c r="C2945" t="s">
        <v>882</v>
      </c>
      <c r="D2945" t="s">
        <v>617</v>
      </c>
      <c r="E2945">
        <v>5</v>
      </c>
      <c r="F2945">
        <v>13357</v>
      </c>
      <c r="G2945">
        <f>TbReceitas[[#This Row],[quantidade]]*TbReceitas[[#This Row],[preco_unitario]]</f>
        <v>66785</v>
      </c>
      <c r="H2945" t="str">
        <f>TEXT(TbReceitas[[#This Row],[data_transacao]], "aaaa-mm")</f>
        <v>2025-02</v>
      </c>
    </row>
    <row r="2946" spans="1:8">
      <c r="A2946">
        <v>2945</v>
      </c>
      <c r="B2946" s="1">
        <v>45921</v>
      </c>
      <c r="C2946" t="s">
        <v>1793</v>
      </c>
      <c r="D2946" t="s">
        <v>18</v>
      </c>
      <c r="E2946">
        <v>3</v>
      </c>
      <c r="F2946">
        <v>7076</v>
      </c>
      <c r="G2946">
        <f>TbReceitas[[#This Row],[quantidade]]*TbReceitas[[#This Row],[preco_unitario]]</f>
        <v>21228</v>
      </c>
      <c r="H2946" t="str">
        <f>TEXT(TbReceitas[[#This Row],[data_transacao]], "aaaa-mm")</f>
        <v>2025-09</v>
      </c>
    </row>
    <row r="2947" spans="1:8">
      <c r="A2947">
        <v>2946</v>
      </c>
      <c r="B2947" s="1">
        <v>45933</v>
      </c>
      <c r="C2947" t="s">
        <v>876</v>
      </c>
      <c r="D2947" t="s">
        <v>220</v>
      </c>
      <c r="E2947">
        <v>1</v>
      </c>
      <c r="F2947">
        <v>22363</v>
      </c>
      <c r="G2947">
        <f>TbReceitas[[#This Row],[quantidade]]*TbReceitas[[#This Row],[preco_unitario]]</f>
        <v>22363</v>
      </c>
      <c r="H2947" t="str">
        <f>TEXT(TbReceitas[[#This Row],[data_transacao]], "aaaa-mm")</f>
        <v>2025-10</v>
      </c>
    </row>
    <row r="2948" spans="1:8">
      <c r="A2948">
        <v>2947</v>
      </c>
      <c r="B2948" s="1">
        <v>45961</v>
      </c>
      <c r="C2948" t="s">
        <v>1366</v>
      </c>
      <c r="D2948" t="s">
        <v>682</v>
      </c>
      <c r="E2948">
        <v>1</v>
      </c>
      <c r="F2948">
        <v>23494</v>
      </c>
      <c r="G2948">
        <f>TbReceitas[[#This Row],[quantidade]]*TbReceitas[[#This Row],[preco_unitario]]</f>
        <v>23494</v>
      </c>
      <c r="H2948" t="str">
        <f>TEXT(TbReceitas[[#This Row],[data_transacao]], "aaaa-mm")</f>
        <v>2025-10</v>
      </c>
    </row>
    <row r="2949" spans="1:8">
      <c r="A2949">
        <v>2948</v>
      </c>
      <c r="B2949" s="1">
        <v>45866</v>
      </c>
      <c r="C2949" t="s">
        <v>1551</v>
      </c>
      <c r="D2949" t="s">
        <v>606</v>
      </c>
      <c r="E2949">
        <v>1</v>
      </c>
      <c r="F2949">
        <v>7402</v>
      </c>
      <c r="G2949">
        <f>TbReceitas[[#This Row],[quantidade]]*TbReceitas[[#This Row],[preco_unitario]]</f>
        <v>7402</v>
      </c>
      <c r="H2949" t="str">
        <f>TEXT(TbReceitas[[#This Row],[data_transacao]], "aaaa-mm")</f>
        <v>2025-07</v>
      </c>
    </row>
    <row r="2950" spans="1:8">
      <c r="A2950">
        <v>2949</v>
      </c>
      <c r="B2950" s="1">
        <v>45867</v>
      </c>
      <c r="C2950" t="s">
        <v>1703</v>
      </c>
      <c r="D2950" t="s">
        <v>172</v>
      </c>
      <c r="E2950">
        <v>2</v>
      </c>
      <c r="F2950">
        <v>9233</v>
      </c>
      <c r="G2950">
        <f>TbReceitas[[#This Row],[quantidade]]*TbReceitas[[#This Row],[preco_unitario]]</f>
        <v>18466</v>
      </c>
      <c r="H2950" t="str">
        <f>TEXT(TbReceitas[[#This Row],[data_transacao]], "aaaa-mm")</f>
        <v>2025-07</v>
      </c>
    </row>
    <row r="2951" spans="1:8">
      <c r="A2951">
        <v>2950</v>
      </c>
      <c r="B2951" s="1">
        <v>45583</v>
      </c>
      <c r="C2951" t="s">
        <v>1139</v>
      </c>
      <c r="D2951" t="s">
        <v>432</v>
      </c>
      <c r="E2951">
        <v>2</v>
      </c>
      <c r="F2951">
        <v>2156</v>
      </c>
      <c r="G2951">
        <f>TbReceitas[[#This Row],[quantidade]]*TbReceitas[[#This Row],[preco_unitario]]</f>
        <v>4312</v>
      </c>
      <c r="H2951" t="str">
        <f>TEXT(TbReceitas[[#This Row],[data_transacao]], "aaaa-mm")</f>
        <v>2024-10</v>
      </c>
    </row>
    <row r="2952" spans="1:8">
      <c r="A2952">
        <v>2951</v>
      </c>
      <c r="B2952" s="1">
        <v>46024</v>
      </c>
      <c r="C2952" t="s">
        <v>1789</v>
      </c>
      <c r="D2952" t="s">
        <v>694</v>
      </c>
      <c r="E2952">
        <v>1</v>
      </c>
      <c r="F2952">
        <v>939</v>
      </c>
      <c r="G2952">
        <f>TbReceitas[[#This Row],[quantidade]]*TbReceitas[[#This Row],[preco_unitario]]</f>
        <v>939</v>
      </c>
      <c r="H2952" t="str">
        <f>TEXT(TbReceitas[[#This Row],[data_transacao]], "aaaa-mm")</f>
        <v>2026-01</v>
      </c>
    </row>
    <row r="2953" spans="1:8">
      <c r="A2953">
        <v>2952</v>
      </c>
      <c r="B2953" s="1">
        <v>45765</v>
      </c>
      <c r="C2953" t="s">
        <v>1589</v>
      </c>
      <c r="D2953" t="s">
        <v>602</v>
      </c>
      <c r="E2953">
        <v>1</v>
      </c>
      <c r="F2953">
        <v>17929</v>
      </c>
      <c r="G2953">
        <f>TbReceitas[[#This Row],[quantidade]]*TbReceitas[[#This Row],[preco_unitario]]</f>
        <v>17929</v>
      </c>
      <c r="H2953" t="str">
        <f>TEXT(TbReceitas[[#This Row],[data_transacao]], "aaaa-mm")</f>
        <v>2025-04</v>
      </c>
    </row>
    <row r="2954" spans="1:8">
      <c r="A2954">
        <v>2953</v>
      </c>
      <c r="B2954" s="1">
        <v>45933</v>
      </c>
      <c r="C2954" t="s">
        <v>1708</v>
      </c>
      <c r="D2954" t="s">
        <v>265</v>
      </c>
      <c r="E2954">
        <v>5</v>
      </c>
      <c r="F2954">
        <v>14027</v>
      </c>
      <c r="G2954">
        <f>TbReceitas[[#This Row],[quantidade]]*TbReceitas[[#This Row],[preco_unitario]]</f>
        <v>70135</v>
      </c>
      <c r="H2954" t="str">
        <f>TEXT(TbReceitas[[#This Row],[data_transacao]], "aaaa-mm")</f>
        <v>2025-10</v>
      </c>
    </row>
    <row r="2955" spans="1:8">
      <c r="A2955">
        <v>2954</v>
      </c>
      <c r="B2955" s="1">
        <v>45903</v>
      </c>
      <c r="C2955" t="s">
        <v>1051</v>
      </c>
      <c r="D2955" t="s">
        <v>440</v>
      </c>
      <c r="E2955">
        <v>3</v>
      </c>
      <c r="F2955">
        <v>11335</v>
      </c>
      <c r="G2955">
        <f>TbReceitas[[#This Row],[quantidade]]*TbReceitas[[#This Row],[preco_unitario]]</f>
        <v>34005</v>
      </c>
      <c r="H2955" t="str">
        <f>TEXT(TbReceitas[[#This Row],[data_transacao]], "aaaa-mm")</f>
        <v>2025-09</v>
      </c>
    </row>
    <row r="2956" spans="1:8">
      <c r="A2956">
        <v>2955</v>
      </c>
      <c r="B2956" s="1">
        <v>46058</v>
      </c>
      <c r="C2956" t="s">
        <v>1365</v>
      </c>
      <c r="D2956" t="s">
        <v>207</v>
      </c>
      <c r="E2956">
        <v>1</v>
      </c>
      <c r="F2956">
        <v>17156</v>
      </c>
      <c r="G2956">
        <f>TbReceitas[[#This Row],[quantidade]]*TbReceitas[[#This Row],[preco_unitario]]</f>
        <v>17156</v>
      </c>
      <c r="H2956" t="str">
        <f>TEXT(TbReceitas[[#This Row],[data_transacao]], "aaaa-mm")</f>
        <v>2026-02</v>
      </c>
    </row>
    <row r="2957" spans="1:8">
      <c r="A2957">
        <v>2956</v>
      </c>
      <c r="B2957" s="1">
        <v>46098</v>
      </c>
      <c r="C2957" t="s">
        <v>1822</v>
      </c>
      <c r="D2957" t="s">
        <v>618</v>
      </c>
      <c r="E2957">
        <v>5</v>
      </c>
      <c r="F2957">
        <v>19479</v>
      </c>
      <c r="G2957">
        <f>TbReceitas[[#This Row],[quantidade]]*TbReceitas[[#This Row],[preco_unitario]]</f>
        <v>97395</v>
      </c>
      <c r="H2957" t="str">
        <f>TEXT(TbReceitas[[#This Row],[data_transacao]], "aaaa-mm")</f>
        <v>2026-03</v>
      </c>
    </row>
    <row r="2958" spans="1:8">
      <c r="A2958">
        <v>2957</v>
      </c>
      <c r="B2958" s="1">
        <v>46056</v>
      </c>
      <c r="C2958" t="s">
        <v>1725</v>
      </c>
      <c r="D2958" t="s">
        <v>352</v>
      </c>
      <c r="E2958">
        <v>5</v>
      </c>
      <c r="F2958">
        <v>9748</v>
      </c>
      <c r="G2958">
        <f>TbReceitas[[#This Row],[quantidade]]*TbReceitas[[#This Row],[preco_unitario]]</f>
        <v>48740</v>
      </c>
      <c r="H2958" t="str">
        <f>TEXT(TbReceitas[[#This Row],[data_transacao]], "aaaa-mm")</f>
        <v>2026-02</v>
      </c>
    </row>
    <row r="2959" spans="1:8">
      <c r="A2959">
        <v>2958</v>
      </c>
      <c r="B2959" s="1">
        <v>46076</v>
      </c>
      <c r="C2959" t="s">
        <v>1823</v>
      </c>
      <c r="D2959" t="s">
        <v>59</v>
      </c>
      <c r="E2959">
        <v>5</v>
      </c>
      <c r="F2959">
        <v>13531</v>
      </c>
      <c r="G2959">
        <f>TbReceitas[[#This Row],[quantidade]]*TbReceitas[[#This Row],[preco_unitario]]</f>
        <v>67655</v>
      </c>
      <c r="H2959" t="str">
        <f>TEXT(TbReceitas[[#This Row],[data_transacao]], "aaaa-mm")</f>
        <v>2026-02</v>
      </c>
    </row>
    <row r="2960" spans="1:8">
      <c r="A2960">
        <v>2959</v>
      </c>
      <c r="B2960" s="1">
        <v>45636</v>
      </c>
      <c r="C2960" t="s">
        <v>1335</v>
      </c>
      <c r="D2960" t="s">
        <v>444</v>
      </c>
      <c r="E2960">
        <v>2</v>
      </c>
      <c r="F2960">
        <v>6184</v>
      </c>
      <c r="G2960">
        <f>TbReceitas[[#This Row],[quantidade]]*TbReceitas[[#This Row],[preco_unitario]]</f>
        <v>12368</v>
      </c>
      <c r="H2960" t="str">
        <f>TEXT(TbReceitas[[#This Row],[data_transacao]], "aaaa-mm")</f>
        <v>2024-12</v>
      </c>
    </row>
    <row r="2961" spans="1:8">
      <c r="A2961">
        <v>2960</v>
      </c>
      <c r="B2961" s="1">
        <v>46111</v>
      </c>
      <c r="C2961" t="s">
        <v>850</v>
      </c>
      <c r="D2961" t="s">
        <v>56</v>
      </c>
      <c r="E2961">
        <v>5</v>
      </c>
      <c r="F2961">
        <v>6886</v>
      </c>
      <c r="G2961">
        <f>TbReceitas[[#This Row],[quantidade]]*TbReceitas[[#This Row],[preco_unitario]]</f>
        <v>34430</v>
      </c>
      <c r="H2961" t="str">
        <f>TEXT(TbReceitas[[#This Row],[data_transacao]], "aaaa-mm")</f>
        <v>2026-03</v>
      </c>
    </row>
    <row r="2962" spans="1:8">
      <c r="A2962">
        <v>2961</v>
      </c>
      <c r="B2962" s="1">
        <v>45894</v>
      </c>
      <c r="C2962" t="s">
        <v>1824</v>
      </c>
      <c r="D2962" t="s">
        <v>422</v>
      </c>
      <c r="E2962">
        <v>5</v>
      </c>
      <c r="F2962">
        <v>4061</v>
      </c>
      <c r="G2962">
        <f>TbReceitas[[#This Row],[quantidade]]*TbReceitas[[#This Row],[preco_unitario]]</f>
        <v>20305</v>
      </c>
      <c r="H2962" t="str">
        <f>TEXT(TbReceitas[[#This Row],[data_transacao]], "aaaa-mm")</f>
        <v>2025-08</v>
      </c>
    </row>
    <row r="2963" spans="1:8">
      <c r="A2963">
        <v>2962</v>
      </c>
      <c r="B2963" s="1">
        <v>46004</v>
      </c>
      <c r="C2963" t="s">
        <v>1105</v>
      </c>
      <c r="D2963" t="s">
        <v>410</v>
      </c>
      <c r="E2963">
        <v>1</v>
      </c>
      <c r="F2963">
        <v>11982</v>
      </c>
      <c r="G2963">
        <f>TbReceitas[[#This Row],[quantidade]]*TbReceitas[[#This Row],[preco_unitario]]</f>
        <v>11982</v>
      </c>
      <c r="H2963" t="str">
        <f>TEXT(TbReceitas[[#This Row],[data_transacao]], "aaaa-mm")</f>
        <v>2025-12</v>
      </c>
    </row>
    <row r="2964" spans="1:8">
      <c r="A2964">
        <v>2963</v>
      </c>
      <c r="B2964" s="1">
        <v>45762</v>
      </c>
      <c r="C2964" t="s">
        <v>1802</v>
      </c>
      <c r="D2964" t="s">
        <v>650</v>
      </c>
      <c r="E2964">
        <v>4</v>
      </c>
      <c r="F2964">
        <v>15259</v>
      </c>
      <c r="G2964">
        <f>TbReceitas[[#This Row],[quantidade]]*TbReceitas[[#This Row],[preco_unitario]]</f>
        <v>61036</v>
      </c>
      <c r="H2964" t="str">
        <f>TEXT(TbReceitas[[#This Row],[data_transacao]], "aaaa-mm")</f>
        <v>2025-04</v>
      </c>
    </row>
    <row r="2965" spans="1:8">
      <c r="A2965">
        <v>2964</v>
      </c>
      <c r="B2965" s="1">
        <v>45765</v>
      </c>
      <c r="C2965" t="s">
        <v>1825</v>
      </c>
      <c r="D2965" t="s">
        <v>496</v>
      </c>
      <c r="E2965">
        <v>2</v>
      </c>
      <c r="F2965">
        <v>2496</v>
      </c>
      <c r="G2965">
        <f>TbReceitas[[#This Row],[quantidade]]*TbReceitas[[#This Row],[preco_unitario]]</f>
        <v>4992</v>
      </c>
      <c r="H2965" t="str">
        <f>TEXT(TbReceitas[[#This Row],[data_transacao]], "aaaa-mm")</f>
        <v>2025-04</v>
      </c>
    </row>
    <row r="2966" spans="1:8">
      <c r="A2966">
        <v>2965</v>
      </c>
      <c r="B2966" s="1">
        <v>46059</v>
      </c>
      <c r="C2966" t="s">
        <v>1826</v>
      </c>
      <c r="D2966" t="s">
        <v>397</v>
      </c>
      <c r="E2966">
        <v>5</v>
      </c>
      <c r="F2966">
        <v>10959</v>
      </c>
      <c r="G2966">
        <f>TbReceitas[[#This Row],[quantidade]]*TbReceitas[[#This Row],[preco_unitario]]</f>
        <v>54795</v>
      </c>
      <c r="H2966" t="str">
        <f>TEXT(TbReceitas[[#This Row],[data_transacao]], "aaaa-mm")</f>
        <v>2026-02</v>
      </c>
    </row>
    <row r="2967" spans="1:8">
      <c r="A2967">
        <v>2966</v>
      </c>
      <c r="B2967" s="1">
        <v>45861</v>
      </c>
      <c r="C2967" t="s">
        <v>1688</v>
      </c>
      <c r="D2967" t="s">
        <v>440</v>
      </c>
      <c r="E2967">
        <v>1</v>
      </c>
      <c r="F2967">
        <v>11335</v>
      </c>
      <c r="G2967">
        <f>TbReceitas[[#This Row],[quantidade]]*TbReceitas[[#This Row],[preco_unitario]]</f>
        <v>11335</v>
      </c>
      <c r="H2967" t="str">
        <f>TEXT(TbReceitas[[#This Row],[data_transacao]], "aaaa-mm")</f>
        <v>2025-07</v>
      </c>
    </row>
    <row r="2968" spans="1:8">
      <c r="A2968">
        <v>2967</v>
      </c>
      <c r="B2968" s="1">
        <v>46267</v>
      </c>
      <c r="C2968" t="s">
        <v>1754</v>
      </c>
      <c r="D2968" t="s">
        <v>214</v>
      </c>
      <c r="E2968">
        <v>1</v>
      </c>
      <c r="F2968">
        <v>11351</v>
      </c>
      <c r="G2968">
        <f>TbReceitas[[#This Row],[quantidade]]*TbReceitas[[#This Row],[preco_unitario]]</f>
        <v>11351</v>
      </c>
      <c r="H2968" t="str">
        <f>TEXT(TbReceitas[[#This Row],[data_transacao]], "aaaa-mm")</f>
        <v>2026-09</v>
      </c>
    </row>
    <row r="2969" spans="1:8">
      <c r="A2969">
        <v>2968</v>
      </c>
      <c r="B2969" s="1">
        <v>45707</v>
      </c>
      <c r="C2969" t="s">
        <v>1600</v>
      </c>
      <c r="D2969" t="s">
        <v>368</v>
      </c>
      <c r="E2969">
        <v>4</v>
      </c>
      <c r="F2969">
        <v>18714</v>
      </c>
      <c r="G2969">
        <f>TbReceitas[[#This Row],[quantidade]]*TbReceitas[[#This Row],[preco_unitario]]</f>
        <v>74856</v>
      </c>
      <c r="H2969" t="str">
        <f>TEXT(TbReceitas[[#This Row],[data_transacao]], "aaaa-mm")</f>
        <v>2025-02</v>
      </c>
    </row>
    <row r="2970" spans="1:8">
      <c r="A2970">
        <v>2969</v>
      </c>
      <c r="B2970" s="1">
        <v>46195</v>
      </c>
      <c r="C2970" t="s">
        <v>1150</v>
      </c>
      <c r="D2970" t="s">
        <v>581</v>
      </c>
      <c r="E2970">
        <v>4</v>
      </c>
      <c r="F2970">
        <v>2067</v>
      </c>
      <c r="G2970">
        <f>TbReceitas[[#This Row],[quantidade]]*TbReceitas[[#This Row],[preco_unitario]]</f>
        <v>8268</v>
      </c>
      <c r="H2970" t="str">
        <f>TEXT(TbReceitas[[#This Row],[data_transacao]], "aaaa-mm")</f>
        <v>2026-06</v>
      </c>
    </row>
    <row r="2971" spans="1:8">
      <c r="A2971">
        <v>2970</v>
      </c>
      <c r="B2971" s="1">
        <v>46130</v>
      </c>
      <c r="C2971" t="s">
        <v>1827</v>
      </c>
      <c r="D2971" t="s">
        <v>360</v>
      </c>
      <c r="E2971">
        <v>1</v>
      </c>
      <c r="F2971">
        <v>8663</v>
      </c>
      <c r="G2971">
        <f>TbReceitas[[#This Row],[quantidade]]*TbReceitas[[#This Row],[preco_unitario]]</f>
        <v>8663</v>
      </c>
      <c r="H2971" t="str">
        <f>TEXT(TbReceitas[[#This Row],[data_transacao]], "aaaa-mm")</f>
        <v>2026-04</v>
      </c>
    </row>
    <row r="2972" spans="1:8">
      <c r="A2972">
        <v>2971</v>
      </c>
      <c r="B2972" s="1">
        <v>45570</v>
      </c>
      <c r="C2972" t="s">
        <v>1352</v>
      </c>
      <c r="D2972" t="s">
        <v>635</v>
      </c>
      <c r="E2972">
        <v>2</v>
      </c>
      <c r="F2972">
        <v>821</v>
      </c>
      <c r="G2972">
        <f>TbReceitas[[#This Row],[quantidade]]*TbReceitas[[#This Row],[preco_unitario]]</f>
        <v>1642</v>
      </c>
      <c r="H2972" t="str">
        <f>TEXT(TbReceitas[[#This Row],[data_transacao]], "aaaa-mm")</f>
        <v>2024-10</v>
      </c>
    </row>
    <row r="2973" spans="1:8">
      <c r="A2973">
        <v>2972</v>
      </c>
      <c r="B2973" s="1">
        <v>45625</v>
      </c>
      <c r="C2973" t="s">
        <v>1115</v>
      </c>
      <c r="D2973" t="s">
        <v>307</v>
      </c>
      <c r="E2973">
        <v>4</v>
      </c>
      <c r="F2973">
        <v>1722</v>
      </c>
      <c r="G2973">
        <f>TbReceitas[[#This Row],[quantidade]]*TbReceitas[[#This Row],[preco_unitario]]</f>
        <v>6888</v>
      </c>
      <c r="H2973" t="str">
        <f>TEXT(TbReceitas[[#This Row],[data_transacao]], "aaaa-mm")</f>
        <v>2024-11</v>
      </c>
    </row>
    <row r="2974" spans="1:8">
      <c r="A2974">
        <v>2973</v>
      </c>
      <c r="B2974" s="1">
        <v>45578</v>
      </c>
      <c r="C2974" t="s">
        <v>1451</v>
      </c>
      <c r="D2974" t="s">
        <v>453</v>
      </c>
      <c r="E2974">
        <v>1</v>
      </c>
      <c r="F2974">
        <v>8033</v>
      </c>
      <c r="G2974">
        <f>TbReceitas[[#This Row],[quantidade]]*TbReceitas[[#This Row],[preco_unitario]]</f>
        <v>8033</v>
      </c>
      <c r="H2974" t="str">
        <f>TEXT(TbReceitas[[#This Row],[data_transacao]], "aaaa-mm")</f>
        <v>2024-10</v>
      </c>
    </row>
    <row r="2975" spans="1:8">
      <c r="A2975">
        <v>2974</v>
      </c>
      <c r="B2975" s="1">
        <v>45604</v>
      </c>
      <c r="C2975" t="s">
        <v>1438</v>
      </c>
      <c r="D2975" t="s">
        <v>80</v>
      </c>
      <c r="E2975">
        <v>4</v>
      </c>
      <c r="F2975">
        <v>846</v>
      </c>
      <c r="G2975">
        <f>TbReceitas[[#This Row],[quantidade]]*TbReceitas[[#This Row],[preco_unitario]]</f>
        <v>3384</v>
      </c>
      <c r="H2975" t="str">
        <f>TEXT(TbReceitas[[#This Row],[data_transacao]], "aaaa-mm")</f>
        <v>2024-11</v>
      </c>
    </row>
    <row r="2976" spans="1:8">
      <c r="A2976">
        <v>2975</v>
      </c>
      <c r="B2976" s="1">
        <v>46150</v>
      </c>
      <c r="C2976" t="s">
        <v>1402</v>
      </c>
      <c r="D2976" t="s">
        <v>514</v>
      </c>
      <c r="E2976">
        <v>3</v>
      </c>
      <c r="F2976">
        <v>5936</v>
      </c>
      <c r="G2976">
        <f>TbReceitas[[#This Row],[quantidade]]*TbReceitas[[#This Row],[preco_unitario]]</f>
        <v>17808</v>
      </c>
      <c r="H2976" t="str">
        <f>TEXT(TbReceitas[[#This Row],[data_transacao]], "aaaa-mm")</f>
        <v>2026-05</v>
      </c>
    </row>
    <row r="2977" spans="1:8">
      <c r="A2977">
        <v>2976</v>
      </c>
      <c r="B2977" s="1">
        <v>45718</v>
      </c>
      <c r="C2977" t="s">
        <v>1455</v>
      </c>
      <c r="D2977" t="s">
        <v>419</v>
      </c>
      <c r="E2977">
        <v>1</v>
      </c>
      <c r="F2977">
        <v>22234</v>
      </c>
      <c r="G2977">
        <f>TbReceitas[[#This Row],[quantidade]]*TbReceitas[[#This Row],[preco_unitario]]</f>
        <v>22234</v>
      </c>
      <c r="H2977" t="str">
        <f>TEXT(TbReceitas[[#This Row],[data_transacao]], "aaaa-mm")</f>
        <v>2025-03</v>
      </c>
    </row>
    <row r="2978" spans="1:8">
      <c r="A2978">
        <v>2977</v>
      </c>
      <c r="B2978" s="1">
        <v>45807</v>
      </c>
      <c r="C2978" t="s">
        <v>1803</v>
      </c>
      <c r="D2978" t="s">
        <v>199</v>
      </c>
      <c r="E2978">
        <v>4</v>
      </c>
      <c r="F2978">
        <v>7038</v>
      </c>
      <c r="G2978">
        <f>TbReceitas[[#This Row],[quantidade]]*TbReceitas[[#This Row],[preco_unitario]]</f>
        <v>28152</v>
      </c>
      <c r="H2978" t="str">
        <f>TEXT(TbReceitas[[#This Row],[data_transacao]], "aaaa-mm")</f>
        <v>2025-05</v>
      </c>
    </row>
    <row r="2979" spans="1:8">
      <c r="A2979">
        <v>2978</v>
      </c>
      <c r="B2979" s="1">
        <v>45726</v>
      </c>
      <c r="C2979" t="s">
        <v>1194</v>
      </c>
      <c r="D2979" t="s">
        <v>608</v>
      </c>
      <c r="E2979">
        <v>3</v>
      </c>
      <c r="F2979">
        <v>752</v>
      </c>
      <c r="G2979">
        <f>TbReceitas[[#This Row],[quantidade]]*TbReceitas[[#This Row],[preco_unitario]]</f>
        <v>2256</v>
      </c>
      <c r="H2979" t="str">
        <f>TEXT(TbReceitas[[#This Row],[data_transacao]], "aaaa-mm")</f>
        <v>2025-03</v>
      </c>
    </row>
    <row r="2980" spans="1:8">
      <c r="A2980">
        <v>2979</v>
      </c>
      <c r="B2980" s="1">
        <v>46121</v>
      </c>
      <c r="C2980" t="s">
        <v>827</v>
      </c>
      <c r="D2980" t="s">
        <v>376</v>
      </c>
      <c r="E2980">
        <v>3</v>
      </c>
      <c r="F2980">
        <v>23922</v>
      </c>
      <c r="G2980">
        <f>TbReceitas[[#This Row],[quantidade]]*TbReceitas[[#This Row],[preco_unitario]]</f>
        <v>71766</v>
      </c>
      <c r="H2980" t="str">
        <f>TEXT(TbReceitas[[#This Row],[data_transacao]], "aaaa-mm")</f>
        <v>2026-04</v>
      </c>
    </row>
    <row r="2981" spans="1:8">
      <c r="A2981">
        <v>2980</v>
      </c>
      <c r="B2981" s="1">
        <v>46113</v>
      </c>
      <c r="C2981" t="s">
        <v>1250</v>
      </c>
      <c r="D2981" t="s">
        <v>520</v>
      </c>
      <c r="E2981">
        <v>5</v>
      </c>
      <c r="F2981">
        <v>22478</v>
      </c>
      <c r="G2981">
        <f>TbReceitas[[#This Row],[quantidade]]*TbReceitas[[#This Row],[preco_unitario]]</f>
        <v>112390</v>
      </c>
      <c r="H2981" t="str">
        <f>TEXT(TbReceitas[[#This Row],[data_transacao]], "aaaa-mm")</f>
        <v>2026-04</v>
      </c>
    </row>
    <row r="2982" spans="1:8">
      <c r="A2982">
        <v>2981</v>
      </c>
      <c r="B2982" s="1">
        <v>45704</v>
      </c>
      <c r="C2982" t="s">
        <v>1828</v>
      </c>
      <c r="D2982" t="s">
        <v>74</v>
      </c>
      <c r="E2982">
        <v>4</v>
      </c>
      <c r="F2982">
        <v>22125</v>
      </c>
      <c r="G2982">
        <f>TbReceitas[[#This Row],[quantidade]]*TbReceitas[[#This Row],[preco_unitario]]</f>
        <v>88500</v>
      </c>
      <c r="H2982" t="str">
        <f>TEXT(TbReceitas[[#This Row],[data_transacao]], "aaaa-mm")</f>
        <v>2025-02</v>
      </c>
    </row>
    <row r="2983" spans="1:8">
      <c r="A2983">
        <v>2982</v>
      </c>
      <c r="B2983" s="1">
        <v>46250</v>
      </c>
      <c r="C2983" t="s">
        <v>1276</v>
      </c>
      <c r="D2983" t="s">
        <v>520</v>
      </c>
      <c r="E2983">
        <v>1</v>
      </c>
      <c r="F2983">
        <v>22478</v>
      </c>
      <c r="G2983">
        <f>TbReceitas[[#This Row],[quantidade]]*TbReceitas[[#This Row],[preco_unitario]]</f>
        <v>22478</v>
      </c>
      <c r="H2983" t="str">
        <f>TEXT(TbReceitas[[#This Row],[data_transacao]], "aaaa-mm")</f>
        <v>2026-08</v>
      </c>
    </row>
    <row r="2984" spans="1:8">
      <c r="A2984">
        <v>2983</v>
      </c>
      <c r="B2984" s="1">
        <v>45853</v>
      </c>
      <c r="C2984" t="s">
        <v>774</v>
      </c>
      <c r="D2984" t="s">
        <v>230</v>
      </c>
      <c r="E2984">
        <v>4</v>
      </c>
      <c r="F2984">
        <v>2847</v>
      </c>
      <c r="G2984">
        <f>TbReceitas[[#This Row],[quantidade]]*TbReceitas[[#This Row],[preco_unitario]]</f>
        <v>11388</v>
      </c>
      <c r="H2984" t="str">
        <f>TEXT(TbReceitas[[#This Row],[data_transacao]], "aaaa-mm")</f>
        <v>2025-07</v>
      </c>
    </row>
    <row r="2985" spans="1:8">
      <c r="A2985">
        <v>2984</v>
      </c>
      <c r="B2985" s="1">
        <v>45577</v>
      </c>
      <c r="C2985" t="s">
        <v>1472</v>
      </c>
      <c r="D2985" t="s">
        <v>252</v>
      </c>
      <c r="E2985">
        <v>2</v>
      </c>
      <c r="F2985">
        <v>12058</v>
      </c>
      <c r="G2985">
        <f>TbReceitas[[#This Row],[quantidade]]*TbReceitas[[#This Row],[preco_unitario]]</f>
        <v>24116</v>
      </c>
      <c r="H2985" t="str">
        <f>TEXT(TbReceitas[[#This Row],[data_transacao]], "aaaa-mm")</f>
        <v>2024-10</v>
      </c>
    </row>
    <row r="2986" spans="1:8">
      <c r="A2986">
        <v>2985</v>
      </c>
      <c r="B2986" s="1">
        <v>46108</v>
      </c>
      <c r="C2986" t="s">
        <v>957</v>
      </c>
      <c r="D2986" t="s">
        <v>17</v>
      </c>
      <c r="E2986">
        <v>3</v>
      </c>
      <c r="F2986">
        <v>18565</v>
      </c>
      <c r="G2986">
        <f>TbReceitas[[#This Row],[quantidade]]*TbReceitas[[#This Row],[preco_unitario]]</f>
        <v>55695</v>
      </c>
      <c r="H2986" t="str">
        <f>TEXT(TbReceitas[[#This Row],[data_transacao]], "aaaa-mm")</f>
        <v>2026-03</v>
      </c>
    </row>
    <row r="2987" spans="1:8">
      <c r="A2987">
        <v>2986</v>
      </c>
      <c r="B2987" s="1">
        <v>45777</v>
      </c>
      <c r="C2987" t="s">
        <v>1011</v>
      </c>
      <c r="D2987" t="s">
        <v>338</v>
      </c>
      <c r="E2987">
        <v>4</v>
      </c>
      <c r="F2987">
        <v>4563</v>
      </c>
      <c r="G2987">
        <f>TbReceitas[[#This Row],[quantidade]]*TbReceitas[[#This Row],[preco_unitario]]</f>
        <v>18252</v>
      </c>
      <c r="H2987" t="str">
        <f>TEXT(TbReceitas[[#This Row],[data_transacao]], "aaaa-mm")</f>
        <v>2025-04</v>
      </c>
    </row>
    <row r="2988" spans="1:8">
      <c r="A2988">
        <v>2987</v>
      </c>
      <c r="B2988" s="1">
        <v>45862</v>
      </c>
      <c r="C2988" t="s">
        <v>1746</v>
      </c>
      <c r="D2988" t="s">
        <v>222</v>
      </c>
      <c r="E2988">
        <v>1</v>
      </c>
      <c r="F2988">
        <v>21814</v>
      </c>
      <c r="G2988">
        <f>TbReceitas[[#This Row],[quantidade]]*TbReceitas[[#This Row],[preco_unitario]]</f>
        <v>21814</v>
      </c>
      <c r="H2988" t="str">
        <f>TEXT(TbReceitas[[#This Row],[data_transacao]], "aaaa-mm")</f>
        <v>2025-07</v>
      </c>
    </row>
    <row r="2989" spans="1:8">
      <c r="A2989">
        <v>2988</v>
      </c>
      <c r="B2989" s="1">
        <v>45621</v>
      </c>
      <c r="C2989" t="s">
        <v>1524</v>
      </c>
      <c r="D2989" t="s">
        <v>48</v>
      </c>
      <c r="E2989">
        <v>4</v>
      </c>
      <c r="F2989">
        <v>169</v>
      </c>
      <c r="G2989">
        <f>TbReceitas[[#This Row],[quantidade]]*TbReceitas[[#This Row],[preco_unitario]]</f>
        <v>676</v>
      </c>
      <c r="H2989" t="str">
        <f>TEXT(TbReceitas[[#This Row],[data_transacao]], "aaaa-mm")</f>
        <v>2024-11</v>
      </c>
    </row>
    <row r="2990" spans="1:8">
      <c r="A2990">
        <v>2989</v>
      </c>
      <c r="B2990" s="1">
        <v>45604</v>
      </c>
      <c r="C2990" t="s">
        <v>1776</v>
      </c>
      <c r="D2990" t="s">
        <v>212</v>
      </c>
      <c r="E2990">
        <v>3</v>
      </c>
      <c r="F2990">
        <v>6603</v>
      </c>
      <c r="G2990">
        <f>TbReceitas[[#This Row],[quantidade]]*TbReceitas[[#This Row],[preco_unitario]]</f>
        <v>19809</v>
      </c>
      <c r="H2990" t="str">
        <f>TEXT(TbReceitas[[#This Row],[data_transacao]], "aaaa-mm")</f>
        <v>2024-11</v>
      </c>
    </row>
    <row r="2991" spans="1:8">
      <c r="A2991">
        <v>2990</v>
      </c>
      <c r="B2991" s="1">
        <v>45743</v>
      </c>
      <c r="C2991" t="s">
        <v>1668</v>
      </c>
      <c r="D2991" t="s">
        <v>212</v>
      </c>
      <c r="E2991">
        <v>5</v>
      </c>
      <c r="F2991">
        <v>6603</v>
      </c>
      <c r="G2991">
        <f>TbReceitas[[#This Row],[quantidade]]*TbReceitas[[#This Row],[preco_unitario]]</f>
        <v>33015</v>
      </c>
      <c r="H2991" t="str">
        <f>TEXT(TbReceitas[[#This Row],[data_transacao]], "aaaa-mm")</f>
        <v>2025-03</v>
      </c>
    </row>
    <row r="2992" spans="1:8">
      <c r="A2992">
        <v>2991</v>
      </c>
      <c r="B2992" s="1">
        <v>46056</v>
      </c>
      <c r="C2992" t="s">
        <v>1120</v>
      </c>
      <c r="D2992" t="s">
        <v>859</v>
      </c>
      <c r="E2992">
        <v>1</v>
      </c>
      <c r="F2992">
        <v>6687</v>
      </c>
      <c r="G2992">
        <f>TbReceitas[[#This Row],[quantidade]]*TbReceitas[[#This Row],[preco_unitario]]</f>
        <v>6687</v>
      </c>
      <c r="H2992" t="str">
        <f>TEXT(TbReceitas[[#This Row],[data_transacao]], "aaaa-mm")</f>
        <v>2026-02</v>
      </c>
    </row>
    <row r="2993" spans="1:8">
      <c r="A2993">
        <v>2992</v>
      </c>
      <c r="B2993" s="1">
        <v>45677</v>
      </c>
      <c r="C2993" t="s">
        <v>1117</v>
      </c>
      <c r="D2993" t="s">
        <v>494</v>
      </c>
      <c r="E2993">
        <v>2</v>
      </c>
      <c r="F2993">
        <v>2542</v>
      </c>
      <c r="G2993">
        <f>TbReceitas[[#This Row],[quantidade]]*TbReceitas[[#This Row],[preco_unitario]]</f>
        <v>5084</v>
      </c>
      <c r="H2993" t="str">
        <f>TEXT(TbReceitas[[#This Row],[data_transacao]], "aaaa-mm")</f>
        <v>2025-01</v>
      </c>
    </row>
    <row r="2994" spans="1:8">
      <c r="A2994">
        <v>2993</v>
      </c>
      <c r="B2994" s="1">
        <v>46067</v>
      </c>
      <c r="C2994" t="s">
        <v>1252</v>
      </c>
      <c r="D2994" t="s">
        <v>157</v>
      </c>
      <c r="E2994">
        <v>5</v>
      </c>
      <c r="F2994">
        <v>11672</v>
      </c>
      <c r="G2994">
        <f>TbReceitas[[#This Row],[quantidade]]*TbReceitas[[#This Row],[preco_unitario]]</f>
        <v>58360</v>
      </c>
      <c r="H2994" t="str">
        <f>TEXT(TbReceitas[[#This Row],[data_transacao]], "aaaa-mm")</f>
        <v>2026-02</v>
      </c>
    </row>
    <row r="2995" spans="1:8">
      <c r="A2995">
        <v>2994</v>
      </c>
      <c r="B2995" s="1">
        <v>46118</v>
      </c>
      <c r="C2995" t="s">
        <v>1343</v>
      </c>
      <c r="D2995" t="s">
        <v>571</v>
      </c>
      <c r="E2995">
        <v>1</v>
      </c>
      <c r="F2995">
        <v>7293</v>
      </c>
      <c r="G2995">
        <f>TbReceitas[[#This Row],[quantidade]]*TbReceitas[[#This Row],[preco_unitario]]</f>
        <v>7293</v>
      </c>
      <c r="H2995" t="str">
        <f>TEXT(TbReceitas[[#This Row],[data_transacao]], "aaaa-mm")</f>
        <v>2026-04</v>
      </c>
    </row>
    <row r="2996" spans="1:8">
      <c r="A2996">
        <v>2995</v>
      </c>
      <c r="B2996" s="1">
        <v>45897</v>
      </c>
      <c r="C2996" t="s">
        <v>936</v>
      </c>
      <c r="D2996" t="s">
        <v>583</v>
      </c>
      <c r="E2996">
        <v>1</v>
      </c>
      <c r="F2996">
        <v>11009</v>
      </c>
      <c r="G2996">
        <f>TbReceitas[[#This Row],[quantidade]]*TbReceitas[[#This Row],[preco_unitario]]</f>
        <v>11009</v>
      </c>
      <c r="H2996" t="str">
        <f>TEXT(TbReceitas[[#This Row],[data_transacao]], "aaaa-mm")</f>
        <v>2025-08</v>
      </c>
    </row>
    <row r="2997" spans="1:8">
      <c r="A2997">
        <v>2996</v>
      </c>
      <c r="B2997" s="1">
        <v>46151</v>
      </c>
      <c r="C2997" t="s">
        <v>1199</v>
      </c>
      <c r="D2997" t="s">
        <v>688</v>
      </c>
      <c r="E2997">
        <v>5</v>
      </c>
      <c r="F2997">
        <v>24347</v>
      </c>
      <c r="G2997">
        <f>TbReceitas[[#This Row],[quantidade]]*TbReceitas[[#This Row],[preco_unitario]]</f>
        <v>121735</v>
      </c>
      <c r="H2997" t="str">
        <f>TEXT(TbReceitas[[#This Row],[data_transacao]], "aaaa-mm")</f>
        <v>2026-05</v>
      </c>
    </row>
    <row r="2998" spans="1:8">
      <c r="A2998">
        <v>2997</v>
      </c>
      <c r="B2998" s="1">
        <v>45611</v>
      </c>
      <c r="C2998" t="s">
        <v>1094</v>
      </c>
      <c r="D2998" t="s">
        <v>281</v>
      </c>
      <c r="E2998">
        <v>4</v>
      </c>
      <c r="F2998">
        <v>16864</v>
      </c>
      <c r="G2998">
        <f>TbReceitas[[#This Row],[quantidade]]*TbReceitas[[#This Row],[preco_unitario]]</f>
        <v>67456</v>
      </c>
      <c r="H2998" t="str">
        <f>TEXT(TbReceitas[[#This Row],[data_transacao]], "aaaa-mm")</f>
        <v>2024-11</v>
      </c>
    </row>
    <row r="2999" spans="1:8">
      <c r="A2999">
        <v>2998</v>
      </c>
      <c r="B2999" s="1">
        <v>45899</v>
      </c>
      <c r="C2999" t="s">
        <v>1263</v>
      </c>
      <c r="D2999" t="s">
        <v>407</v>
      </c>
      <c r="E2999">
        <v>4</v>
      </c>
      <c r="F2999">
        <v>6567</v>
      </c>
      <c r="G2999">
        <f>TbReceitas[[#This Row],[quantidade]]*TbReceitas[[#This Row],[preco_unitario]]</f>
        <v>26268</v>
      </c>
      <c r="H2999" t="str">
        <f>TEXT(TbReceitas[[#This Row],[data_transacao]], "aaaa-mm")</f>
        <v>2025-08</v>
      </c>
    </row>
    <row r="3000" spans="1:8">
      <c r="A3000">
        <v>2999</v>
      </c>
      <c r="B3000" s="1">
        <v>45958</v>
      </c>
      <c r="C3000" t="s">
        <v>1121</v>
      </c>
      <c r="D3000" t="s">
        <v>519</v>
      </c>
      <c r="E3000">
        <v>1</v>
      </c>
      <c r="F3000">
        <v>5599</v>
      </c>
      <c r="G3000">
        <f>TbReceitas[[#This Row],[quantidade]]*TbReceitas[[#This Row],[preco_unitario]]</f>
        <v>5599</v>
      </c>
      <c r="H3000" t="str">
        <f>TEXT(TbReceitas[[#This Row],[data_transacao]], "aaaa-mm")</f>
        <v>2025-10</v>
      </c>
    </row>
    <row r="3001" spans="1:8">
      <c r="A3001">
        <v>3000</v>
      </c>
      <c r="B3001" s="1">
        <v>45738</v>
      </c>
      <c r="C3001" t="s">
        <v>1633</v>
      </c>
      <c r="D3001" t="s">
        <v>273</v>
      </c>
      <c r="E3001">
        <v>3</v>
      </c>
      <c r="F3001">
        <v>3035</v>
      </c>
      <c r="G3001">
        <f>TbReceitas[[#This Row],[quantidade]]*TbReceitas[[#This Row],[preco_unitario]]</f>
        <v>9105</v>
      </c>
      <c r="H3001" t="str">
        <f>TEXT(TbReceitas[[#This Row],[data_transacao]], "aaaa-mm")</f>
        <v>2025-03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2F684-C0E2-448C-A5C6-B5B1A30B38CB}">
  <dimension ref="A1:H1936"/>
  <sheetViews>
    <sheetView workbookViewId="0">
      <selection activeCell="J16" sqref="J16"/>
    </sheetView>
  </sheetViews>
  <sheetFormatPr defaultRowHeight="14.6"/>
  <cols>
    <col min="1" max="1" width="11.69140625" bestFit="1" customWidth="1"/>
    <col min="2" max="2" width="16" bestFit="1" customWidth="1"/>
    <col min="3" max="3" width="21.84375" bestFit="1" customWidth="1"/>
    <col min="4" max="4" width="56.4609375" bestFit="1" customWidth="1"/>
    <col min="5" max="5" width="12.61328125" bestFit="1" customWidth="1"/>
    <col min="6" max="6" width="15.3046875" bestFit="1" customWidth="1"/>
    <col min="7" max="7" width="19.843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1834</v>
      </c>
    </row>
    <row r="2" spans="1:8">
      <c r="A2">
        <v>1</v>
      </c>
      <c r="B2" s="1">
        <v>45919</v>
      </c>
      <c r="C2" t="s">
        <v>7</v>
      </c>
      <c r="D2" t="s">
        <v>8</v>
      </c>
      <c r="E2">
        <v>19</v>
      </c>
      <c r="F2">
        <v>148</v>
      </c>
      <c r="G2">
        <v>2827</v>
      </c>
      <c r="H2" t="str">
        <f>TEXT(TbDespesas[[#This Row],[data_transacao]], "aaaa-mm")</f>
        <v>2025-09</v>
      </c>
    </row>
    <row r="3" spans="1:8">
      <c r="A3">
        <v>2</v>
      </c>
      <c r="B3" s="1">
        <v>45919</v>
      </c>
      <c r="C3" t="s">
        <v>7</v>
      </c>
      <c r="D3" t="s">
        <v>9</v>
      </c>
      <c r="E3">
        <v>164</v>
      </c>
      <c r="F3">
        <v>14</v>
      </c>
      <c r="G3">
        <v>2334</v>
      </c>
      <c r="H3" t="str">
        <f>TEXT(TbDespesas[[#This Row],[data_transacao]], "aaaa-mm")</f>
        <v>2025-09</v>
      </c>
    </row>
    <row r="4" spans="1:8">
      <c r="A4">
        <v>3</v>
      </c>
      <c r="B4" s="1">
        <v>45919</v>
      </c>
      <c r="C4" t="s">
        <v>7</v>
      </c>
      <c r="D4" t="s">
        <v>10</v>
      </c>
      <c r="E4">
        <v>263</v>
      </c>
      <c r="F4">
        <v>8</v>
      </c>
      <c r="G4">
        <v>2260</v>
      </c>
      <c r="H4" t="str">
        <f>TEXT(TbDespesas[[#This Row],[data_transacao]], "aaaa-mm")</f>
        <v>2025-09</v>
      </c>
    </row>
    <row r="5" spans="1:8">
      <c r="A5">
        <v>4</v>
      </c>
      <c r="B5" s="1">
        <v>45919</v>
      </c>
      <c r="C5" t="s">
        <v>7</v>
      </c>
      <c r="D5" t="s">
        <v>11</v>
      </c>
      <c r="E5">
        <v>167</v>
      </c>
      <c r="F5">
        <v>5</v>
      </c>
      <c r="G5">
        <v>969</v>
      </c>
      <c r="H5" t="str">
        <f>TEXT(TbDespesas[[#This Row],[data_transacao]], "aaaa-mm")</f>
        <v>2025-09</v>
      </c>
    </row>
    <row r="6" spans="1:8">
      <c r="A6">
        <v>5</v>
      </c>
      <c r="B6" s="1">
        <v>45919</v>
      </c>
      <c r="C6" t="s">
        <v>7</v>
      </c>
      <c r="D6" t="s">
        <v>12</v>
      </c>
      <c r="E6">
        <v>435</v>
      </c>
      <c r="F6">
        <v>5</v>
      </c>
      <c r="G6">
        <v>2333</v>
      </c>
      <c r="H6" t="str">
        <f>TEXT(TbDespesas[[#This Row],[data_transacao]], "aaaa-mm")</f>
        <v>2025-09</v>
      </c>
    </row>
    <row r="7" spans="1:8">
      <c r="A7">
        <v>6</v>
      </c>
      <c r="B7" s="1">
        <v>46013</v>
      </c>
      <c r="C7" t="s">
        <v>13</v>
      </c>
      <c r="D7" t="s">
        <v>14</v>
      </c>
      <c r="E7">
        <v>111</v>
      </c>
      <c r="F7">
        <v>22</v>
      </c>
      <c r="G7">
        <v>2512</v>
      </c>
      <c r="H7" t="str">
        <f>TEXT(TbDespesas[[#This Row],[data_transacao]], "aaaa-mm")</f>
        <v>2025-12</v>
      </c>
    </row>
    <row r="8" spans="1:8">
      <c r="A8">
        <v>7</v>
      </c>
      <c r="B8" s="1">
        <v>46013</v>
      </c>
      <c r="C8" t="s">
        <v>13</v>
      </c>
      <c r="D8" t="s">
        <v>15</v>
      </c>
      <c r="E8">
        <v>226</v>
      </c>
      <c r="F8">
        <v>7</v>
      </c>
      <c r="G8">
        <v>1710</v>
      </c>
      <c r="H8" t="str">
        <f>TEXT(TbDespesas[[#This Row],[data_transacao]], "aaaa-mm")</f>
        <v>2025-12</v>
      </c>
    </row>
    <row r="9" spans="1:8">
      <c r="A9">
        <v>8</v>
      </c>
      <c r="B9" s="1">
        <v>46013</v>
      </c>
      <c r="C9" t="s">
        <v>13</v>
      </c>
      <c r="D9" t="s">
        <v>16</v>
      </c>
      <c r="E9">
        <v>493</v>
      </c>
      <c r="F9">
        <v>4</v>
      </c>
      <c r="G9">
        <v>2055</v>
      </c>
      <c r="H9" t="str">
        <f>TEXT(TbDespesas[[#This Row],[data_transacao]], "aaaa-mm")</f>
        <v>2025-12</v>
      </c>
    </row>
    <row r="10" spans="1:8">
      <c r="A10">
        <v>9</v>
      </c>
      <c r="B10" s="1">
        <v>46013</v>
      </c>
      <c r="C10" t="s">
        <v>13</v>
      </c>
      <c r="D10" t="s">
        <v>17</v>
      </c>
      <c r="E10">
        <v>396</v>
      </c>
      <c r="F10">
        <v>0</v>
      </c>
      <c r="G10">
        <v>54</v>
      </c>
      <c r="H10" t="str">
        <f>TEXT(TbDespesas[[#This Row],[data_transacao]], "aaaa-mm")</f>
        <v>2025-12</v>
      </c>
    </row>
    <row r="11" spans="1:8">
      <c r="A11">
        <v>10</v>
      </c>
      <c r="B11" s="1">
        <v>46013</v>
      </c>
      <c r="C11" t="s">
        <v>13</v>
      </c>
      <c r="D11" t="s">
        <v>18</v>
      </c>
      <c r="E11">
        <v>397</v>
      </c>
      <c r="F11">
        <v>5</v>
      </c>
      <c r="G11">
        <v>2340</v>
      </c>
      <c r="H11" t="str">
        <f>TEXT(TbDespesas[[#This Row],[data_transacao]], "aaaa-mm")</f>
        <v>2025-12</v>
      </c>
    </row>
    <row r="12" spans="1:8">
      <c r="A12">
        <v>11</v>
      </c>
      <c r="B12" s="1">
        <v>46013</v>
      </c>
      <c r="C12" t="s">
        <v>13</v>
      </c>
      <c r="D12" t="s">
        <v>19</v>
      </c>
      <c r="E12">
        <v>451</v>
      </c>
      <c r="F12">
        <v>3</v>
      </c>
      <c r="G12">
        <v>1570</v>
      </c>
      <c r="H12" t="str">
        <f>TEXT(TbDespesas[[#This Row],[data_transacao]], "aaaa-mm")</f>
        <v>2025-12</v>
      </c>
    </row>
    <row r="13" spans="1:8">
      <c r="A13">
        <v>12</v>
      </c>
      <c r="B13" s="1">
        <v>46013</v>
      </c>
      <c r="C13" t="s">
        <v>13</v>
      </c>
      <c r="D13" t="s">
        <v>20</v>
      </c>
      <c r="E13">
        <v>455</v>
      </c>
      <c r="F13">
        <v>1</v>
      </c>
      <c r="G13">
        <v>780</v>
      </c>
      <c r="H13" t="str">
        <f>TEXT(TbDespesas[[#This Row],[data_transacao]], "aaaa-mm")</f>
        <v>2025-12</v>
      </c>
    </row>
    <row r="14" spans="1:8">
      <c r="A14">
        <v>13</v>
      </c>
      <c r="B14" s="1">
        <v>46013</v>
      </c>
      <c r="C14" t="s">
        <v>13</v>
      </c>
      <c r="D14" t="s">
        <v>21</v>
      </c>
      <c r="E14">
        <v>252</v>
      </c>
      <c r="F14">
        <v>9</v>
      </c>
      <c r="G14">
        <v>2372</v>
      </c>
      <c r="H14" t="str">
        <f>TEXT(TbDespesas[[#This Row],[data_transacao]], "aaaa-mm")</f>
        <v>2025-12</v>
      </c>
    </row>
    <row r="15" spans="1:8">
      <c r="A15">
        <v>14</v>
      </c>
      <c r="B15" s="1">
        <v>46013</v>
      </c>
      <c r="C15" t="s">
        <v>13</v>
      </c>
      <c r="D15" t="s">
        <v>22</v>
      </c>
      <c r="E15">
        <v>76</v>
      </c>
      <c r="F15">
        <v>47</v>
      </c>
      <c r="G15">
        <v>3624</v>
      </c>
      <c r="H15" t="str">
        <f>TEXT(TbDespesas[[#This Row],[data_transacao]], "aaaa-mm")</f>
        <v>2025-12</v>
      </c>
    </row>
    <row r="16" spans="1:8">
      <c r="A16">
        <v>15</v>
      </c>
      <c r="B16" s="1">
        <v>46096</v>
      </c>
      <c r="C16" t="s">
        <v>23</v>
      </c>
      <c r="D16" t="s">
        <v>24</v>
      </c>
      <c r="E16">
        <v>293</v>
      </c>
      <c r="F16">
        <v>8</v>
      </c>
      <c r="G16">
        <v>2576</v>
      </c>
      <c r="H16" t="str">
        <f>TEXT(TbDespesas[[#This Row],[data_transacao]], "aaaa-mm")</f>
        <v>2026-03</v>
      </c>
    </row>
    <row r="17" spans="1:8">
      <c r="A17">
        <v>16</v>
      </c>
      <c r="B17" s="1">
        <v>46046</v>
      </c>
      <c r="C17" t="s">
        <v>13</v>
      </c>
      <c r="D17" t="s">
        <v>25</v>
      </c>
      <c r="E17">
        <v>408</v>
      </c>
      <c r="F17">
        <v>4</v>
      </c>
      <c r="G17">
        <v>1754</v>
      </c>
      <c r="H17" t="str">
        <f>TEXT(TbDespesas[[#This Row],[data_transacao]], "aaaa-mm")</f>
        <v>2026-01</v>
      </c>
    </row>
    <row r="18" spans="1:8">
      <c r="A18">
        <v>17</v>
      </c>
      <c r="B18" s="1">
        <v>46046</v>
      </c>
      <c r="C18" t="s">
        <v>13</v>
      </c>
      <c r="D18" t="s">
        <v>26</v>
      </c>
      <c r="E18">
        <v>306</v>
      </c>
      <c r="F18">
        <v>8</v>
      </c>
      <c r="G18">
        <v>2461</v>
      </c>
      <c r="H18" t="str">
        <f>TEXT(TbDespesas[[#This Row],[data_transacao]], "aaaa-mm")</f>
        <v>2026-01</v>
      </c>
    </row>
    <row r="19" spans="1:8">
      <c r="A19">
        <v>18</v>
      </c>
      <c r="B19" s="1">
        <v>46046</v>
      </c>
      <c r="C19" t="s">
        <v>13</v>
      </c>
      <c r="D19" t="s">
        <v>27</v>
      </c>
      <c r="E19">
        <v>429</v>
      </c>
      <c r="F19">
        <v>3</v>
      </c>
      <c r="G19">
        <v>1422</v>
      </c>
      <c r="H19" t="str">
        <f>TEXT(TbDespesas[[#This Row],[data_transacao]], "aaaa-mm")</f>
        <v>2026-01</v>
      </c>
    </row>
    <row r="20" spans="1:8">
      <c r="A20">
        <v>19</v>
      </c>
      <c r="B20" s="1">
        <v>46255</v>
      </c>
      <c r="C20" t="s">
        <v>28</v>
      </c>
      <c r="D20" t="s">
        <v>29</v>
      </c>
      <c r="E20">
        <v>350</v>
      </c>
      <c r="F20">
        <v>3</v>
      </c>
      <c r="G20">
        <v>1156</v>
      </c>
      <c r="H20" t="str">
        <f>TEXT(TbDespesas[[#This Row],[data_transacao]], "aaaa-mm")</f>
        <v>2026-08</v>
      </c>
    </row>
    <row r="21" spans="1:8">
      <c r="A21">
        <v>20</v>
      </c>
      <c r="B21" s="1">
        <v>45932</v>
      </c>
      <c r="C21" t="s">
        <v>30</v>
      </c>
      <c r="D21" t="s">
        <v>31</v>
      </c>
      <c r="E21">
        <v>350</v>
      </c>
      <c r="F21">
        <v>11</v>
      </c>
      <c r="G21">
        <v>4070</v>
      </c>
      <c r="H21" t="str">
        <f>TEXT(TbDespesas[[#This Row],[data_transacao]], "aaaa-mm")</f>
        <v>2025-10</v>
      </c>
    </row>
    <row r="22" spans="1:8">
      <c r="A22">
        <v>21</v>
      </c>
      <c r="B22" s="1">
        <v>45932</v>
      </c>
      <c r="C22" t="s">
        <v>30</v>
      </c>
      <c r="D22" t="s">
        <v>32</v>
      </c>
      <c r="E22">
        <v>360</v>
      </c>
      <c r="F22">
        <v>6</v>
      </c>
      <c r="G22">
        <v>2257</v>
      </c>
      <c r="H22" t="str">
        <f>TEXT(TbDespesas[[#This Row],[data_transacao]], "aaaa-mm")</f>
        <v>2025-10</v>
      </c>
    </row>
    <row r="23" spans="1:8">
      <c r="A23">
        <v>22</v>
      </c>
      <c r="B23" s="1">
        <v>45932</v>
      </c>
      <c r="C23" t="s">
        <v>30</v>
      </c>
      <c r="D23" t="s">
        <v>33</v>
      </c>
      <c r="E23">
        <v>248</v>
      </c>
      <c r="F23">
        <v>3</v>
      </c>
      <c r="G23">
        <v>925</v>
      </c>
      <c r="H23" t="str">
        <f>TEXT(TbDespesas[[#This Row],[data_transacao]], "aaaa-mm")</f>
        <v>2025-10</v>
      </c>
    </row>
    <row r="24" spans="1:8">
      <c r="A24">
        <v>23</v>
      </c>
      <c r="B24" s="1">
        <v>45960</v>
      </c>
      <c r="C24" t="s">
        <v>34</v>
      </c>
      <c r="D24" t="s">
        <v>35</v>
      </c>
      <c r="E24">
        <v>159</v>
      </c>
      <c r="F24">
        <v>13</v>
      </c>
      <c r="G24">
        <v>2098</v>
      </c>
      <c r="H24" t="str">
        <f>TEXT(TbDespesas[[#This Row],[data_transacao]], "aaaa-mm")</f>
        <v>2025-10</v>
      </c>
    </row>
    <row r="25" spans="1:8">
      <c r="A25">
        <v>24</v>
      </c>
      <c r="B25" s="1">
        <v>45960</v>
      </c>
      <c r="C25" t="s">
        <v>34</v>
      </c>
      <c r="D25" t="s">
        <v>36</v>
      </c>
      <c r="E25">
        <v>481</v>
      </c>
      <c r="F25">
        <v>6</v>
      </c>
      <c r="G25">
        <v>2917</v>
      </c>
      <c r="H25" t="str">
        <f>TEXT(TbDespesas[[#This Row],[data_transacao]], "aaaa-mm")</f>
        <v>2025-10</v>
      </c>
    </row>
    <row r="26" spans="1:8">
      <c r="A26">
        <v>25</v>
      </c>
      <c r="B26" s="1">
        <v>45960</v>
      </c>
      <c r="C26" t="s">
        <v>34</v>
      </c>
      <c r="D26" t="s">
        <v>37</v>
      </c>
      <c r="E26">
        <v>247</v>
      </c>
      <c r="F26">
        <v>1</v>
      </c>
      <c r="G26">
        <v>480</v>
      </c>
      <c r="H26" t="str">
        <f>TEXT(TbDespesas[[#This Row],[data_transacao]], "aaaa-mm")</f>
        <v>2025-10</v>
      </c>
    </row>
    <row r="27" spans="1:8">
      <c r="A27">
        <v>26</v>
      </c>
      <c r="B27" s="1">
        <v>45960</v>
      </c>
      <c r="C27" t="s">
        <v>34</v>
      </c>
      <c r="D27" t="s">
        <v>38</v>
      </c>
      <c r="E27">
        <v>179</v>
      </c>
      <c r="F27">
        <v>25</v>
      </c>
      <c r="G27">
        <v>4616</v>
      </c>
      <c r="H27" t="str">
        <f>TEXT(TbDespesas[[#This Row],[data_transacao]], "aaaa-mm")</f>
        <v>2025-10</v>
      </c>
    </row>
    <row r="28" spans="1:8">
      <c r="A28">
        <v>27</v>
      </c>
      <c r="B28" s="1">
        <v>45960</v>
      </c>
      <c r="C28" t="s">
        <v>34</v>
      </c>
      <c r="D28" t="s">
        <v>39</v>
      </c>
      <c r="E28">
        <v>330</v>
      </c>
      <c r="F28">
        <v>6</v>
      </c>
      <c r="G28">
        <v>1991</v>
      </c>
      <c r="H28" t="str">
        <f>TEXT(TbDespesas[[#This Row],[data_transacao]], "aaaa-mm")</f>
        <v>2025-10</v>
      </c>
    </row>
    <row r="29" spans="1:8">
      <c r="A29">
        <v>28</v>
      </c>
      <c r="B29" s="1">
        <v>45960</v>
      </c>
      <c r="C29" t="s">
        <v>34</v>
      </c>
      <c r="D29" t="s">
        <v>40</v>
      </c>
      <c r="E29">
        <v>421</v>
      </c>
      <c r="F29">
        <v>2</v>
      </c>
      <c r="G29">
        <v>1172</v>
      </c>
      <c r="H29" t="str">
        <f>TEXT(TbDespesas[[#This Row],[data_transacao]], "aaaa-mm")</f>
        <v>2025-10</v>
      </c>
    </row>
    <row r="30" spans="1:8">
      <c r="A30">
        <v>29</v>
      </c>
      <c r="B30" s="1">
        <v>46006</v>
      </c>
      <c r="C30" t="s">
        <v>41</v>
      </c>
      <c r="D30" t="s">
        <v>42</v>
      </c>
      <c r="E30">
        <v>176</v>
      </c>
      <c r="F30">
        <v>16</v>
      </c>
      <c r="G30">
        <v>2991</v>
      </c>
      <c r="H30" t="str">
        <f>TEXT(TbDespesas[[#This Row],[data_transacao]], "aaaa-mm")</f>
        <v>2025-12</v>
      </c>
    </row>
    <row r="31" spans="1:8">
      <c r="A31">
        <v>30</v>
      </c>
      <c r="B31" s="1">
        <v>46006</v>
      </c>
      <c r="C31" t="s">
        <v>41</v>
      </c>
      <c r="D31" t="s">
        <v>43</v>
      </c>
      <c r="E31">
        <v>179</v>
      </c>
      <c r="F31">
        <v>1</v>
      </c>
      <c r="G31">
        <v>349</v>
      </c>
      <c r="H31" t="str">
        <f>TEXT(TbDespesas[[#This Row],[data_transacao]], "aaaa-mm")</f>
        <v>2025-12</v>
      </c>
    </row>
    <row r="32" spans="1:8">
      <c r="A32">
        <v>31</v>
      </c>
      <c r="B32" s="1">
        <v>46006</v>
      </c>
      <c r="C32" t="s">
        <v>41</v>
      </c>
      <c r="D32" t="s">
        <v>44</v>
      </c>
      <c r="E32">
        <v>361</v>
      </c>
      <c r="F32">
        <v>8</v>
      </c>
      <c r="G32">
        <v>3158</v>
      </c>
      <c r="H32" t="str">
        <f>TEXT(TbDespesas[[#This Row],[data_transacao]], "aaaa-mm")</f>
        <v>2025-12</v>
      </c>
    </row>
    <row r="33" spans="1:8">
      <c r="A33">
        <v>32</v>
      </c>
      <c r="B33" s="1">
        <v>46006</v>
      </c>
      <c r="C33" t="s">
        <v>41</v>
      </c>
      <c r="D33" t="s">
        <v>45</v>
      </c>
      <c r="E33">
        <v>234</v>
      </c>
      <c r="F33">
        <v>8</v>
      </c>
      <c r="G33">
        <v>1879</v>
      </c>
      <c r="H33" t="str">
        <f>TEXT(TbDespesas[[#This Row],[data_transacao]], "aaaa-mm")</f>
        <v>2025-12</v>
      </c>
    </row>
    <row r="34" spans="1:8">
      <c r="A34">
        <v>33</v>
      </c>
      <c r="B34" s="1">
        <v>46006</v>
      </c>
      <c r="C34" t="s">
        <v>41</v>
      </c>
      <c r="D34" t="s">
        <v>46</v>
      </c>
      <c r="E34">
        <v>238</v>
      </c>
      <c r="F34">
        <v>8</v>
      </c>
      <c r="G34">
        <v>2018</v>
      </c>
      <c r="H34" t="str">
        <f>TEXT(TbDespesas[[#This Row],[data_transacao]], "aaaa-mm")</f>
        <v>2025-12</v>
      </c>
    </row>
    <row r="35" spans="1:8">
      <c r="A35">
        <v>34</v>
      </c>
      <c r="B35" s="1">
        <v>46006</v>
      </c>
      <c r="C35" t="s">
        <v>41</v>
      </c>
      <c r="D35" t="s">
        <v>47</v>
      </c>
      <c r="E35">
        <v>231</v>
      </c>
      <c r="F35">
        <v>8</v>
      </c>
      <c r="G35">
        <v>1854</v>
      </c>
      <c r="H35" t="str">
        <f>TEXT(TbDespesas[[#This Row],[data_transacao]], "aaaa-mm")</f>
        <v>2025-12</v>
      </c>
    </row>
    <row r="36" spans="1:8">
      <c r="A36">
        <v>35</v>
      </c>
      <c r="B36" s="1">
        <v>46006</v>
      </c>
      <c r="C36" t="s">
        <v>41</v>
      </c>
      <c r="D36" t="s">
        <v>48</v>
      </c>
      <c r="E36">
        <v>165</v>
      </c>
      <c r="F36">
        <v>22</v>
      </c>
      <c r="G36">
        <v>3716</v>
      </c>
      <c r="H36" t="str">
        <f>TEXT(TbDespesas[[#This Row],[data_transacao]], "aaaa-mm")</f>
        <v>2025-12</v>
      </c>
    </row>
    <row r="37" spans="1:8">
      <c r="A37">
        <v>36</v>
      </c>
      <c r="B37" s="1">
        <v>46255</v>
      </c>
      <c r="C37" t="s">
        <v>49</v>
      </c>
      <c r="D37" t="s">
        <v>10</v>
      </c>
      <c r="E37">
        <v>214</v>
      </c>
      <c r="F37">
        <v>8</v>
      </c>
      <c r="G37">
        <v>1903</v>
      </c>
      <c r="H37" t="str">
        <f>TEXT(TbDespesas[[#This Row],[data_transacao]], "aaaa-mm")</f>
        <v>2026-08</v>
      </c>
    </row>
    <row r="38" spans="1:8">
      <c r="A38">
        <v>37</v>
      </c>
      <c r="B38" s="1">
        <v>46255</v>
      </c>
      <c r="C38" t="s">
        <v>49</v>
      </c>
      <c r="D38" t="s">
        <v>50</v>
      </c>
      <c r="E38">
        <v>12</v>
      </c>
      <c r="F38">
        <v>166</v>
      </c>
      <c r="G38">
        <v>1998</v>
      </c>
      <c r="H38" t="str">
        <f>TEXT(TbDespesas[[#This Row],[data_transacao]], "aaaa-mm")</f>
        <v>2026-08</v>
      </c>
    </row>
    <row r="39" spans="1:8">
      <c r="A39">
        <v>38</v>
      </c>
      <c r="B39" s="1">
        <v>46255</v>
      </c>
      <c r="C39" t="s">
        <v>49</v>
      </c>
      <c r="D39" t="s">
        <v>51</v>
      </c>
      <c r="E39">
        <v>397</v>
      </c>
      <c r="F39">
        <v>5</v>
      </c>
      <c r="G39">
        <v>2184</v>
      </c>
      <c r="H39" t="str">
        <f>TEXT(TbDespesas[[#This Row],[data_transacao]], "aaaa-mm")</f>
        <v>2026-08</v>
      </c>
    </row>
    <row r="40" spans="1:8">
      <c r="A40">
        <v>39</v>
      </c>
      <c r="B40" s="1">
        <v>46255</v>
      </c>
      <c r="C40" t="s">
        <v>49</v>
      </c>
      <c r="D40" t="s">
        <v>52</v>
      </c>
      <c r="E40">
        <v>474</v>
      </c>
      <c r="F40">
        <v>3</v>
      </c>
      <c r="G40">
        <v>1603</v>
      </c>
      <c r="H40" t="str">
        <f>TEXT(TbDespesas[[#This Row],[data_transacao]], "aaaa-mm")</f>
        <v>2026-08</v>
      </c>
    </row>
    <row r="41" spans="1:8">
      <c r="A41">
        <v>40</v>
      </c>
      <c r="B41" s="1">
        <v>46255</v>
      </c>
      <c r="C41" t="s">
        <v>49</v>
      </c>
      <c r="D41" t="s">
        <v>53</v>
      </c>
      <c r="E41">
        <v>296</v>
      </c>
      <c r="F41">
        <v>8</v>
      </c>
      <c r="G41">
        <v>2570</v>
      </c>
      <c r="H41" t="str">
        <f>TEXT(TbDespesas[[#This Row],[data_transacao]], "aaaa-mm")</f>
        <v>2026-08</v>
      </c>
    </row>
    <row r="42" spans="1:8">
      <c r="A42">
        <v>41</v>
      </c>
      <c r="B42" s="1">
        <v>46255</v>
      </c>
      <c r="C42" t="s">
        <v>49</v>
      </c>
      <c r="D42" t="s">
        <v>54</v>
      </c>
      <c r="E42">
        <v>413</v>
      </c>
      <c r="F42">
        <v>5</v>
      </c>
      <c r="G42">
        <v>2119</v>
      </c>
      <c r="H42" t="str">
        <f>TEXT(TbDespesas[[#This Row],[data_transacao]], "aaaa-mm")</f>
        <v>2026-08</v>
      </c>
    </row>
    <row r="43" spans="1:8">
      <c r="A43">
        <v>42</v>
      </c>
      <c r="B43" s="1">
        <v>46255</v>
      </c>
      <c r="C43" t="s">
        <v>49</v>
      </c>
      <c r="D43" t="s">
        <v>55</v>
      </c>
      <c r="E43">
        <v>242</v>
      </c>
      <c r="F43">
        <v>4</v>
      </c>
      <c r="G43">
        <v>1083</v>
      </c>
      <c r="H43" t="str">
        <f>TEXT(TbDespesas[[#This Row],[data_transacao]], "aaaa-mm")</f>
        <v>2026-08</v>
      </c>
    </row>
    <row r="44" spans="1:8">
      <c r="A44">
        <v>43</v>
      </c>
      <c r="B44" s="1">
        <v>46142</v>
      </c>
      <c r="C44" t="s">
        <v>30</v>
      </c>
      <c r="D44" t="s">
        <v>56</v>
      </c>
      <c r="E44">
        <v>100</v>
      </c>
      <c r="F44">
        <v>10</v>
      </c>
      <c r="G44">
        <v>1003</v>
      </c>
      <c r="H44" t="str">
        <f>TEXT(TbDespesas[[#This Row],[data_transacao]], "aaaa-mm")</f>
        <v>2026-04</v>
      </c>
    </row>
    <row r="45" spans="1:8">
      <c r="A45">
        <v>44</v>
      </c>
      <c r="B45" s="1">
        <v>46142</v>
      </c>
      <c r="C45" t="s">
        <v>30</v>
      </c>
      <c r="D45" t="s">
        <v>57</v>
      </c>
      <c r="E45">
        <v>245</v>
      </c>
      <c r="F45">
        <v>9</v>
      </c>
      <c r="G45">
        <v>2242</v>
      </c>
      <c r="H45" t="str">
        <f>TEXT(TbDespesas[[#This Row],[data_transacao]], "aaaa-mm")</f>
        <v>2026-04</v>
      </c>
    </row>
    <row r="46" spans="1:8">
      <c r="A46">
        <v>45</v>
      </c>
      <c r="B46" s="1">
        <v>46142</v>
      </c>
      <c r="C46" t="s">
        <v>30</v>
      </c>
      <c r="D46" t="s">
        <v>58</v>
      </c>
      <c r="E46">
        <v>221</v>
      </c>
      <c r="F46">
        <v>7</v>
      </c>
      <c r="G46">
        <v>1666</v>
      </c>
      <c r="H46" t="str">
        <f>TEXT(TbDespesas[[#This Row],[data_transacao]], "aaaa-mm")</f>
        <v>2026-04</v>
      </c>
    </row>
    <row r="47" spans="1:8">
      <c r="A47">
        <v>46</v>
      </c>
      <c r="B47" s="1">
        <v>46142</v>
      </c>
      <c r="C47" t="s">
        <v>30</v>
      </c>
      <c r="D47" t="s">
        <v>59</v>
      </c>
      <c r="E47">
        <v>76</v>
      </c>
      <c r="F47">
        <v>31</v>
      </c>
      <c r="G47">
        <v>2372</v>
      </c>
      <c r="H47" t="str">
        <f>TEXT(TbDespesas[[#This Row],[data_transacao]], "aaaa-mm")</f>
        <v>2026-04</v>
      </c>
    </row>
    <row r="48" spans="1:8">
      <c r="A48">
        <v>47</v>
      </c>
      <c r="B48" s="1">
        <v>46142</v>
      </c>
      <c r="C48" t="s">
        <v>30</v>
      </c>
      <c r="D48" t="s">
        <v>60</v>
      </c>
      <c r="E48">
        <v>63</v>
      </c>
      <c r="F48">
        <v>17</v>
      </c>
      <c r="G48">
        <v>1100</v>
      </c>
      <c r="H48" t="str">
        <f>TEXT(TbDespesas[[#This Row],[data_transacao]], "aaaa-mm")</f>
        <v>2026-04</v>
      </c>
    </row>
    <row r="49" spans="1:8">
      <c r="A49">
        <v>48</v>
      </c>
      <c r="B49" s="1">
        <v>46142</v>
      </c>
      <c r="C49" t="s">
        <v>30</v>
      </c>
      <c r="D49" t="s">
        <v>37</v>
      </c>
      <c r="E49">
        <v>198</v>
      </c>
      <c r="F49">
        <v>3</v>
      </c>
      <c r="G49">
        <v>608</v>
      </c>
      <c r="H49" t="str">
        <f>TEXT(TbDespesas[[#This Row],[data_transacao]], "aaaa-mm")</f>
        <v>2026-04</v>
      </c>
    </row>
    <row r="50" spans="1:8">
      <c r="A50">
        <v>49</v>
      </c>
      <c r="B50" s="1">
        <v>46142</v>
      </c>
      <c r="C50" t="s">
        <v>30</v>
      </c>
      <c r="D50" t="s">
        <v>61</v>
      </c>
      <c r="E50">
        <v>155</v>
      </c>
      <c r="F50">
        <v>16</v>
      </c>
      <c r="G50">
        <v>2486</v>
      </c>
      <c r="H50" t="str">
        <f>TEXT(TbDespesas[[#This Row],[data_transacao]], "aaaa-mm")</f>
        <v>2026-04</v>
      </c>
    </row>
    <row r="51" spans="1:8">
      <c r="A51">
        <v>50</v>
      </c>
      <c r="B51" s="1">
        <v>46142</v>
      </c>
      <c r="C51" t="s">
        <v>30</v>
      </c>
      <c r="D51" t="s">
        <v>62</v>
      </c>
      <c r="E51">
        <v>121</v>
      </c>
      <c r="F51">
        <v>19</v>
      </c>
      <c r="G51">
        <v>2309</v>
      </c>
      <c r="H51" t="str">
        <f>TEXT(TbDespesas[[#This Row],[data_transacao]], "aaaa-mm")</f>
        <v>2026-04</v>
      </c>
    </row>
    <row r="52" spans="1:8">
      <c r="A52">
        <v>51</v>
      </c>
      <c r="B52" s="1">
        <v>46142</v>
      </c>
      <c r="C52" t="s">
        <v>30</v>
      </c>
      <c r="D52" t="s">
        <v>63</v>
      </c>
      <c r="E52">
        <v>409</v>
      </c>
      <c r="F52">
        <v>6</v>
      </c>
      <c r="G52">
        <v>2473</v>
      </c>
      <c r="H52" t="str">
        <f>TEXT(TbDespesas[[#This Row],[data_transacao]], "aaaa-mm")</f>
        <v>2026-04</v>
      </c>
    </row>
    <row r="53" spans="1:8">
      <c r="A53">
        <v>52</v>
      </c>
      <c r="B53" s="1">
        <v>46142</v>
      </c>
      <c r="C53" t="s">
        <v>30</v>
      </c>
      <c r="D53" t="s">
        <v>64</v>
      </c>
      <c r="E53">
        <v>459</v>
      </c>
      <c r="F53">
        <v>3</v>
      </c>
      <c r="G53">
        <v>1613</v>
      </c>
      <c r="H53" t="str">
        <f>TEXT(TbDespesas[[#This Row],[data_transacao]], "aaaa-mm")</f>
        <v>2026-04</v>
      </c>
    </row>
    <row r="54" spans="1:8">
      <c r="A54">
        <v>53</v>
      </c>
      <c r="B54" s="1">
        <v>46101</v>
      </c>
      <c r="C54" t="s">
        <v>65</v>
      </c>
      <c r="D54" t="s">
        <v>66</v>
      </c>
      <c r="E54">
        <v>265</v>
      </c>
      <c r="F54">
        <v>4</v>
      </c>
      <c r="G54">
        <v>1260</v>
      </c>
      <c r="H54" t="str">
        <f>TEXT(TbDespesas[[#This Row],[data_transacao]], "aaaa-mm")</f>
        <v>2026-03</v>
      </c>
    </row>
    <row r="55" spans="1:8">
      <c r="A55">
        <v>54</v>
      </c>
      <c r="B55" s="1">
        <v>46101</v>
      </c>
      <c r="C55" t="s">
        <v>65</v>
      </c>
      <c r="D55" t="s">
        <v>67</v>
      </c>
      <c r="E55">
        <v>234</v>
      </c>
      <c r="F55">
        <v>2</v>
      </c>
      <c r="G55">
        <v>599</v>
      </c>
      <c r="H55" t="str">
        <f>TEXT(TbDespesas[[#This Row],[data_transacao]], "aaaa-mm")</f>
        <v>2026-03</v>
      </c>
    </row>
    <row r="56" spans="1:8">
      <c r="A56">
        <v>55</v>
      </c>
      <c r="B56" s="1">
        <v>46101</v>
      </c>
      <c r="C56" t="s">
        <v>65</v>
      </c>
      <c r="D56" t="s">
        <v>17</v>
      </c>
      <c r="E56">
        <v>43</v>
      </c>
      <c r="F56">
        <v>65</v>
      </c>
      <c r="G56">
        <v>2807</v>
      </c>
      <c r="H56" t="str">
        <f>TEXT(TbDespesas[[#This Row],[data_transacao]], "aaaa-mm")</f>
        <v>2026-03</v>
      </c>
    </row>
    <row r="57" spans="1:8">
      <c r="A57">
        <v>56</v>
      </c>
      <c r="B57" s="1">
        <v>46101</v>
      </c>
      <c r="C57" t="s">
        <v>65</v>
      </c>
      <c r="D57" t="s">
        <v>68</v>
      </c>
      <c r="E57">
        <v>316</v>
      </c>
      <c r="F57">
        <v>9</v>
      </c>
      <c r="G57">
        <v>3092</v>
      </c>
      <c r="H57" t="str">
        <f>TEXT(TbDespesas[[#This Row],[data_transacao]], "aaaa-mm")</f>
        <v>2026-03</v>
      </c>
    </row>
    <row r="58" spans="1:8">
      <c r="A58">
        <v>57</v>
      </c>
      <c r="B58" s="1">
        <v>45957</v>
      </c>
      <c r="C58" t="s">
        <v>69</v>
      </c>
      <c r="D58" t="s">
        <v>70</v>
      </c>
      <c r="E58">
        <v>214</v>
      </c>
      <c r="F58">
        <v>6</v>
      </c>
      <c r="G58">
        <v>1458</v>
      </c>
      <c r="H58" t="str">
        <f>TEXT(TbDespesas[[#This Row],[data_transacao]], "aaaa-mm")</f>
        <v>2025-10</v>
      </c>
    </row>
    <row r="59" spans="1:8">
      <c r="A59">
        <v>58</v>
      </c>
      <c r="B59" s="1">
        <v>45957</v>
      </c>
      <c r="C59" t="s">
        <v>69</v>
      </c>
      <c r="D59" t="s">
        <v>71</v>
      </c>
      <c r="E59">
        <v>491</v>
      </c>
      <c r="F59">
        <v>2</v>
      </c>
      <c r="G59">
        <v>1448</v>
      </c>
      <c r="H59" t="str">
        <f>TEXT(TbDespesas[[#This Row],[data_transacao]], "aaaa-mm")</f>
        <v>2025-10</v>
      </c>
    </row>
    <row r="60" spans="1:8">
      <c r="A60">
        <v>59</v>
      </c>
      <c r="B60" s="1">
        <v>45957</v>
      </c>
      <c r="C60" t="s">
        <v>69</v>
      </c>
      <c r="D60" t="s">
        <v>72</v>
      </c>
      <c r="E60">
        <v>159</v>
      </c>
      <c r="F60">
        <v>11</v>
      </c>
      <c r="G60">
        <v>1807</v>
      </c>
      <c r="H60" t="str">
        <f>TEXT(TbDespesas[[#This Row],[data_transacao]], "aaaa-mm")</f>
        <v>2025-10</v>
      </c>
    </row>
    <row r="61" spans="1:8">
      <c r="A61">
        <v>60</v>
      </c>
      <c r="B61" s="1">
        <v>45975</v>
      </c>
      <c r="C61" t="s">
        <v>73</v>
      </c>
      <c r="D61" t="s">
        <v>74</v>
      </c>
      <c r="E61">
        <v>98</v>
      </c>
      <c r="F61">
        <v>21</v>
      </c>
      <c r="G61">
        <v>2105</v>
      </c>
      <c r="H61" t="str">
        <f>TEXT(TbDespesas[[#This Row],[data_transacao]], "aaaa-mm")</f>
        <v>2025-11</v>
      </c>
    </row>
    <row r="62" spans="1:8">
      <c r="A62">
        <v>61</v>
      </c>
      <c r="B62" s="1">
        <v>45975</v>
      </c>
      <c r="C62" t="s">
        <v>73</v>
      </c>
      <c r="D62" t="s">
        <v>75</v>
      </c>
      <c r="E62">
        <v>397</v>
      </c>
      <c r="F62">
        <v>6</v>
      </c>
      <c r="G62">
        <v>2466</v>
      </c>
      <c r="H62" t="str">
        <f>TEXT(TbDespesas[[#This Row],[data_transacao]], "aaaa-mm")</f>
        <v>2025-11</v>
      </c>
    </row>
    <row r="63" spans="1:8">
      <c r="A63">
        <v>62</v>
      </c>
      <c r="B63" s="1">
        <v>45975</v>
      </c>
      <c r="C63" t="s">
        <v>73</v>
      </c>
      <c r="D63" t="s">
        <v>76</v>
      </c>
      <c r="E63">
        <v>199</v>
      </c>
      <c r="F63">
        <v>3</v>
      </c>
      <c r="G63">
        <v>728</v>
      </c>
      <c r="H63" t="str">
        <f>TEXT(TbDespesas[[#This Row],[data_transacao]], "aaaa-mm")</f>
        <v>2025-11</v>
      </c>
    </row>
    <row r="64" spans="1:8">
      <c r="A64">
        <v>63</v>
      </c>
      <c r="B64" s="1">
        <v>45975</v>
      </c>
      <c r="C64" t="s">
        <v>73</v>
      </c>
      <c r="D64" t="s">
        <v>77</v>
      </c>
      <c r="E64">
        <v>24</v>
      </c>
      <c r="F64">
        <v>87</v>
      </c>
      <c r="G64">
        <v>2098</v>
      </c>
      <c r="H64" t="str">
        <f>TEXT(TbDespesas[[#This Row],[data_transacao]], "aaaa-mm")</f>
        <v>2025-11</v>
      </c>
    </row>
    <row r="65" spans="1:8">
      <c r="A65">
        <v>64</v>
      </c>
      <c r="B65" s="1">
        <v>45975</v>
      </c>
      <c r="C65" t="s">
        <v>73</v>
      </c>
      <c r="D65" t="s">
        <v>78</v>
      </c>
      <c r="E65">
        <v>141</v>
      </c>
      <c r="F65">
        <v>0</v>
      </c>
      <c r="G65">
        <v>29</v>
      </c>
      <c r="H65" t="str">
        <f>TEXT(TbDespesas[[#This Row],[data_transacao]], "aaaa-mm")</f>
        <v>2025-11</v>
      </c>
    </row>
    <row r="66" spans="1:8">
      <c r="A66">
        <v>65</v>
      </c>
      <c r="B66" s="1">
        <v>45975</v>
      </c>
      <c r="C66" t="s">
        <v>73</v>
      </c>
      <c r="D66" t="s">
        <v>79</v>
      </c>
      <c r="E66">
        <v>89</v>
      </c>
      <c r="F66">
        <v>5</v>
      </c>
      <c r="G66">
        <v>527</v>
      </c>
      <c r="H66" t="str">
        <f>TEXT(TbDespesas[[#This Row],[data_transacao]], "aaaa-mm")</f>
        <v>2025-11</v>
      </c>
    </row>
    <row r="67" spans="1:8">
      <c r="A67">
        <v>66</v>
      </c>
      <c r="B67" s="1">
        <v>45975</v>
      </c>
      <c r="C67" t="s">
        <v>73</v>
      </c>
      <c r="D67" t="s">
        <v>80</v>
      </c>
      <c r="E67">
        <v>235</v>
      </c>
      <c r="F67">
        <v>9</v>
      </c>
      <c r="G67">
        <v>2307</v>
      </c>
      <c r="H67" t="str">
        <f>TEXT(TbDespesas[[#This Row],[data_transacao]], "aaaa-mm")</f>
        <v>2025-11</v>
      </c>
    </row>
    <row r="68" spans="1:8">
      <c r="A68">
        <v>67</v>
      </c>
      <c r="B68" s="1">
        <v>45975</v>
      </c>
      <c r="C68" t="s">
        <v>73</v>
      </c>
      <c r="D68" t="s">
        <v>81</v>
      </c>
      <c r="E68">
        <v>295</v>
      </c>
      <c r="F68">
        <v>3</v>
      </c>
      <c r="G68">
        <v>978</v>
      </c>
      <c r="H68" t="str">
        <f>TEXT(TbDespesas[[#This Row],[data_transacao]], "aaaa-mm")</f>
        <v>2025-11</v>
      </c>
    </row>
    <row r="69" spans="1:8">
      <c r="A69">
        <v>68</v>
      </c>
      <c r="B69" s="1">
        <v>45975</v>
      </c>
      <c r="C69" t="s">
        <v>73</v>
      </c>
      <c r="D69" t="s">
        <v>82</v>
      </c>
      <c r="E69">
        <v>26</v>
      </c>
      <c r="F69">
        <v>119</v>
      </c>
      <c r="G69">
        <v>3099</v>
      </c>
      <c r="H69" t="str">
        <f>TEXT(TbDespesas[[#This Row],[data_transacao]], "aaaa-mm")</f>
        <v>2025-11</v>
      </c>
    </row>
    <row r="70" spans="1:8">
      <c r="A70">
        <v>69</v>
      </c>
      <c r="B70" s="1">
        <v>45975</v>
      </c>
      <c r="C70" t="s">
        <v>73</v>
      </c>
      <c r="D70" t="s">
        <v>83</v>
      </c>
      <c r="E70">
        <v>187</v>
      </c>
      <c r="F70">
        <v>3</v>
      </c>
      <c r="G70">
        <v>619</v>
      </c>
      <c r="H70" t="str">
        <f>TEXT(TbDespesas[[#This Row],[data_transacao]], "aaaa-mm")</f>
        <v>2025-11</v>
      </c>
    </row>
    <row r="71" spans="1:8">
      <c r="A71">
        <v>70</v>
      </c>
      <c r="B71" s="1">
        <v>45975</v>
      </c>
      <c r="C71" t="s">
        <v>73</v>
      </c>
      <c r="D71" t="s">
        <v>84</v>
      </c>
      <c r="E71">
        <v>359</v>
      </c>
      <c r="F71">
        <v>4</v>
      </c>
      <c r="G71">
        <v>1789</v>
      </c>
      <c r="H71" t="str">
        <f>TEXT(TbDespesas[[#This Row],[data_transacao]], "aaaa-mm")</f>
        <v>2025-11</v>
      </c>
    </row>
    <row r="72" spans="1:8">
      <c r="A72">
        <v>71</v>
      </c>
      <c r="B72" s="1">
        <v>45975</v>
      </c>
      <c r="C72" t="s">
        <v>73</v>
      </c>
      <c r="D72" t="s">
        <v>85</v>
      </c>
      <c r="E72">
        <v>167</v>
      </c>
      <c r="F72">
        <v>3</v>
      </c>
      <c r="G72">
        <v>647</v>
      </c>
      <c r="H72" t="str">
        <f>TEXT(TbDespesas[[#This Row],[data_transacao]], "aaaa-mm")</f>
        <v>2025-11</v>
      </c>
    </row>
    <row r="73" spans="1:8">
      <c r="A73">
        <v>72</v>
      </c>
      <c r="B73" s="1">
        <v>46057</v>
      </c>
      <c r="C73" t="s">
        <v>86</v>
      </c>
      <c r="D73" t="s">
        <v>87</v>
      </c>
      <c r="E73">
        <v>253</v>
      </c>
      <c r="F73">
        <v>14</v>
      </c>
      <c r="G73">
        <v>3630</v>
      </c>
      <c r="H73" t="str">
        <f>TEXT(TbDespesas[[#This Row],[data_transacao]], "aaaa-mm")</f>
        <v>2026-02</v>
      </c>
    </row>
    <row r="74" spans="1:8">
      <c r="A74">
        <v>73</v>
      </c>
      <c r="B74" s="1">
        <v>46057</v>
      </c>
      <c r="C74" t="s">
        <v>86</v>
      </c>
      <c r="D74" t="s">
        <v>88</v>
      </c>
      <c r="E74">
        <v>335</v>
      </c>
      <c r="F74">
        <v>6</v>
      </c>
      <c r="G74">
        <v>2045</v>
      </c>
      <c r="H74" t="str">
        <f>TEXT(TbDespesas[[#This Row],[data_transacao]], "aaaa-mm")</f>
        <v>2026-02</v>
      </c>
    </row>
    <row r="75" spans="1:8">
      <c r="A75">
        <v>74</v>
      </c>
      <c r="B75" s="1">
        <v>46057</v>
      </c>
      <c r="C75" t="s">
        <v>86</v>
      </c>
      <c r="D75" t="s">
        <v>89</v>
      </c>
      <c r="E75">
        <v>209</v>
      </c>
      <c r="F75">
        <v>12</v>
      </c>
      <c r="G75">
        <v>2657</v>
      </c>
      <c r="H75" t="str">
        <f>TEXT(TbDespesas[[#This Row],[data_transacao]], "aaaa-mm")</f>
        <v>2026-02</v>
      </c>
    </row>
    <row r="76" spans="1:8">
      <c r="A76">
        <v>75</v>
      </c>
      <c r="B76" s="1">
        <v>46057</v>
      </c>
      <c r="C76" t="s">
        <v>86</v>
      </c>
      <c r="D76" t="s">
        <v>57</v>
      </c>
      <c r="E76">
        <v>274</v>
      </c>
      <c r="F76">
        <v>9</v>
      </c>
      <c r="G76">
        <v>2631</v>
      </c>
      <c r="H76" t="str">
        <f>TEXT(TbDespesas[[#This Row],[data_transacao]], "aaaa-mm")</f>
        <v>2026-02</v>
      </c>
    </row>
    <row r="77" spans="1:8">
      <c r="A77">
        <v>76</v>
      </c>
      <c r="B77" s="1">
        <v>46057</v>
      </c>
      <c r="C77" t="s">
        <v>86</v>
      </c>
      <c r="D77" t="s">
        <v>90</v>
      </c>
      <c r="E77">
        <v>443</v>
      </c>
      <c r="F77">
        <v>3</v>
      </c>
      <c r="G77">
        <v>1467</v>
      </c>
      <c r="H77" t="str">
        <f>TEXT(TbDespesas[[#This Row],[data_transacao]], "aaaa-mm")</f>
        <v>2026-02</v>
      </c>
    </row>
    <row r="78" spans="1:8">
      <c r="A78">
        <v>77</v>
      </c>
      <c r="B78" s="1">
        <v>46057</v>
      </c>
      <c r="C78" t="s">
        <v>86</v>
      </c>
      <c r="D78" t="s">
        <v>91</v>
      </c>
      <c r="E78">
        <v>135</v>
      </c>
      <c r="F78">
        <v>16</v>
      </c>
      <c r="G78">
        <v>2223</v>
      </c>
      <c r="H78" t="str">
        <f>TEXT(TbDespesas[[#This Row],[data_transacao]], "aaaa-mm")</f>
        <v>2026-02</v>
      </c>
    </row>
    <row r="79" spans="1:8">
      <c r="A79">
        <v>78</v>
      </c>
      <c r="B79" s="1">
        <v>46057</v>
      </c>
      <c r="C79" t="s">
        <v>86</v>
      </c>
      <c r="D79" t="s">
        <v>92</v>
      </c>
      <c r="E79">
        <v>28</v>
      </c>
      <c r="F79">
        <v>45</v>
      </c>
      <c r="G79">
        <v>1285</v>
      </c>
      <c r="H79" t="str">
        <f>TEXT(TbDespesas[[#This Row],[data_transacao]], "aaaa-mm")</f>
        <v>2026-02</v>
      </c>
    </row>
    <row r="80" spans="1:8">
      <c r="A80">
        <v>79</v>
      </c>
      <c r="B80" s="1">
        <v>46194</v>
      </c>
      <c r="C80" t="s">
        <v>93</v>
      </c>
      <c r="D80" t="s">
        <v>94</v>
      </c>
      <c r="E80">
        <v>205</v>
      </c>
      <c r="F80">
        <v>9</v>
      </c>
      <c r="G80">
        <v>1888</v>
      </c>
      <c r="H80" t="str">
        <f>TEXT(TbDespesas[[#This Row],[data_transacao]], "aaaa-mm")</f>
        <v>2026-06</v>
      </c>
    </row>
    <row r="81" spans="1:8">
      <c r="A81">
        <v>80</v>
      </c>
      <c r="B81" s="1">
        <v>46194</v>
      </c>
      <c r="C81" t="s">
        <v>93</v>
      </c>
      <c r="D81" t="s">
        <v>95</v>
      </c>
      <c r="E81">
        <v>427</v>
      </c>
      <c r="F81">
        <v>4</v>
      </c>
      <c r="G81">
        <v>1874</v>
      </c>
      <c r="H81" t="str">
        <f>TEXT(TbDespesas[[#This Row],[data_transacao]], "aaaa-mm")</f>
        <v>2026-06</v>
      </c>
    </row>
    <row r="82" spans="1:8">
      <c r="A82">
        <v>81</v>
      </c>
      <c r="B82" s="1">
        <v>46194</v>
      </c>
      <c r="C82" t="s">
        <v>93</v>
      </c>
      <c r="D82" t="s">
        <v>96</v>
      </c>
      <c r="E82">
        <v>53</v>
      </c>
      <c r="F82">
        <v>67</v>
      </c>
      <c r="G82">
        <v>3552</v>
      </c>
      <c r="H82" t="str">
        <f>TEXT(TbDespesas[[#This Row],[data_transacao]], "aaaa-mm")</f>
        <v>2026-06</v>
      </c>
    </row>
    <row r="83" spans="1:8">
      <c r="A83">
        <v>82</v>
      </c>
      <c r="B83" s="1">
        <v>46177</v>
      </c>
      <c r="C83" t="s">
        <v>97</v>
      </c>
      <c r="D83" t="s">
        <v>64</v>
      </c>
      <c r="E83">
        <v>397</v>
      </c>
      <c r="F83">
        <v>5</v>
      </c>
      <c r="G83">
        <v>2054</v>
      </c>
      <c r="H83" t="str">
        <f>TEXT(TbDespesas[[#This Row],[data_transacao]], "aaaa-mm")</f>
        <v>2026-06</v>
      </c>
    </row>
    <row r="84" spans="1:8">
      <c r="A84">
        <v>83</v>
      </c>
      <c r="B84" s="1">
        <v>46177</v>
      </c>
      <c r="C84" t="s">
        <v>97</v>
      </c>
      <c r="D84" t="s">
        <v>98</v>
      </c>
      <c r="E84">
        <v>475</v>
      </c>
      <c r="F84">
        <v>7</v>
      </c>
      <c r="G84">
        <v>3694</v>
      </c>
      <c r="H84" t="str">
        <f>TEXT(TbDespesas[[#This Row],[data_transacao]], "aaaa-mm")</f>
        <v>2026-06</v>
      </c>
    </row>
    <row r="85" spans="1:8">
      <c r="A85">
        <v>84</v>
      </c>
      <c r="B85" s="1">
        <v>46177</v>
      </c>
      <c r="C85" t="s">
        <v>97</v>
      </c>
      <c r="D85" t="s">
        <v>99</v>
      </c>
      <c r="E85">
        <v>36</v>
      </c>
      <c r="F85">
        <v>48</v>
      </c>
      <c r="G85">
        <v>1736</v>
      </c>
      <c r="H85" t="str">
        <f>TEXT(TbDespesas[[#This Row],[data_transacao]], "aaaa-mm")</f>
        <v>2026-06</v>
      </c>
    </row>
    <row r="86" spans="1:8">
      <c r="A86">
        <v>85</v>
      </c>
      <c r="B86" s="1">
        <v>46177</v>
      </c>
      <c r="C86" t="s">
        <v>97</v>
      </c>
      <c r="D86" t="s">
        <v>100</v>
      </c>
      <c r="E86">
        <v>16</v>
      </c>
      <c r="F86">
        <v>82</v>
      </c>
      <c r="G86">
        <v>1323</v>
      </c>
      <c r="H86" t="str">
        <f>TEXT(TbDespesas[[#This Row],[data_transacao]], "aaaa-mm")</f>
        <v>2026-06</v>
      </c>
    </row>
    <row r="87" spans="1:8">
      <c r="A87">
        <v>86</v>
      </c>
      <c r="B87" s="1">
        <v>46177</v>
      </c>
      <c r="C87" t="s">
        <v>97</v>
      </c>
      <c r="D87" t="s">
        <v>9</v>
      </c>
      <c r="E87">
        <v>200</v>
      </c>
      <c r="F87">
        <v>10</v>
      </c>
      <c r="G87">
        <v>2121</v>
      </c>
      <c r="H87" t="str">
        <f>TEXT(TbDespesas[[#This Row],[data_transacao]], "aaaa-mm")</f>
        <v>2026-06</v>
      </c>
    </row>
    <row r="88" spans="1:8">
      <c r="A88">
        <v>87</v>
      </c>
      <c r="B88" s="1">
        <v>46177</v>
      </c>
      <c r="C88" t="s">
        <v>97</v>
      </c>
      <c r="D88" t="s">
        <v>101</v>
      </c>
      <c r="E88">
        <v>99</v>
      </c>
      <c r="F88">
        <v>26</v>
      </c>
      <c r="G88">
        <v>2657</v>
      </c>
      <c r="H88" t="str">
        <f>TEXT(TbDespesas[[#This Row],[data_transacao]], "aaaa-mm")</f>
        <v>2026-06</v>
      </c>
    </row>
    <row r="89" spans="1:8">
      <c r="A89">
        <v>88</v>
      </c>
      <c r="B89" s="1">
        <v>46177</v>
      </c>
      <c r="C89" t="s">
        <v>97</v>
      </c>
      <c r="D89" t="s">
        <v>102</v>
      </c>
      <c r="E89">
        <v>490</v>
      </c>
      <c r="F89">
        <v>3</v>
      </c>
      <c r="G89">
        <v>1686</v>
      </c>
      <c r="H89" t="str">
        <f>TEXT(TbDespesas[[#This Row],[data_transacao]], "aaaa-mm")</f>
        <v>2026-06</v>
      </c>
    </row>
    <row r="90" spans="1:8">
      <c r="A90">
        <v>89</v>
      </c>
      <c r="B90" s="1">
        <v>45928</v>
      </c>
      <c r="C90" t="s">
        <v>103</v>
      </c>
      <c r="D90" t="s">
        <v>104</v>
      </c>
      <c r="E90">
        <v>429</v>
      </c>
      <c r="F90">
        <v>7</v>
      </c>
      <c r="G90">
        <v>3216</v>
      </c>
      <c r="H90" t="str">
        <f>TEXT(TbDespesas[[#This Row],[data_transacao]], "aaaa-mm")</f>
        <v>2025-09</v>
      </c>
    </row>
    <row r="91" spans="1:8">
      <c r="A91">
        <v>90</v>
      </c>
      <c r="B91" s="1">
        <v>45928</v>
      </c>
      <c r="C91" t="s">
        <v>103</v>
      </c>
      <c r="D91" t="s">
        <v>105</v>
      </c>
      <c r="E91">
        <v>185</v>
      </c>
      <c r="F91">
        <v>21</v>
      </c>
      <c r="G91">
        <v>3989</v>
      </c>
      <c r="H91" t="str">
        <f>TEXT(TbDespesas[[#This Row],[data_transacao]], "aaaa-mm")</f>
        <v>2025-09</v>
      </c>
    </row>
    <row r="92" spans="1:8">
      <c r="A92">
        <v>91</v>
      </c>
      <c r="B92" s="1">
        <v>45928</v>
      </c>
      <c r="C92" t="s">
        <v>103</v>
      </c>
      <c r="D92" t="s">
        <v>106</v>
      </c>
      <c r="E92">
        <v>42</v>
      </c>
      <c r="F92">
        <v>68</v>
      </c>
      <c r="G92">
        <v>2873</v>
      </c>
      <c r="H92" t="str">
        <f>TEXT(TbDespesas[[#This Row],[data_transacao]], "aaaa-mm")</f>
        <v>2025-09</v>
      </c>
    </row>
    <row r="93" spans="1:8">
      <c r="A93">
        <v>92</v>
      </c>
      <c r="B93" s="1">
        <v>45928</v>
      </c>
      <c r="C93" t="s">
        <v>103</v>
      </c>
      <c r="D93" t="s">
        <v>26</v>
      </c>
      <c r="E93">
        <v>394</v>
      </c>
      <c r="F93">
        <v>7</v>
      </c>
      <c r="G93">
        <v>2814</v>
      </c>
      <c r="H93" t="str">
        <f>TEXT(TbDespesas[[#This Row],[data_transacao]], "aaaa-mm")</f>
        <v>2025-09</v>
      </c>
    </row>
    <row r="94" spans="1:8">
      <c r="A94">
        <v>93</v>
      </c>
      <c r="B94" s="1">
        <v>45928</v>
      </c>
      <c r="C94" t="s">
        <v>103</v>
      </c>
      <c r="D94" t="s">
        <v>107</v>
      </c>
      <c r="E94">
        <v>270</v>
      </c>
      <c r="F94">
        <v>6</v>
      </c>
      <c r="G94">
        <v>1800</v>
      </c>
      <c r="H94" t="str">
        <f>TEXT(TbDespesas[[#This Row],[data_transacao]], "aaaa-mm")</f>
        <v>2025-09</v>
      </c>
    </row>
    <row r="95" spans="1:8">
      <c r="A95">
        <v>94</v>
      </c>
      <c r="B95" s="1">
        <v>45928</v>
      </c>
      <c r="C95" t="s">
        <v>103</v>
      </c>
      <c r="D95" t="s">
        <v>108</v>
      </c>
      <c r="E95">
        <v>252</v>
      </c>
      <c r="F95">
        <v>6</v>
      </c>
      <c r="G95">
        <v>1529</v>
      </c>
      <c r="H95" t="str">
        <f>TEXT(TbDespesas[[#This Row],[data_transacao]], "aaaa-mm")</f>
        <v>2025-09</v>
      </c>
    </row>
    <row r="96" spans="1:8">
      <c r="A96">
        <v>95</v>
      </c>
      <c r="B96" s="1">
        <v>45928</v>
      </c>
      <c r="C96" t="s">
        <v>103</v>
      </c>
      <c r="D96" t="s">
        <v>109</v>
      </c>
      <c r="E96">
        <v>306</v>
      </c>
      <c r="F96">
        <v>4</v>
      </c>
      <c r="G96">
        <v>1418</v>
      </c>
      <c r="H96" t="str">
        <f>TEXT(TbDespesas[[#This Row],[data_transacao]], "aaaa-mm")</f>
        <v>2025-09</v>
      </c>
    </row>
    <row r="97" spans="1:8">
      <c r="A97">
        <v>96</v>
      </c>
      <c r="B97" s="1">
        <v>46093</v>
      </c>
      <c r="C97" t="s">
        <v>110</v>
      </c>
      <c r="D97" t="s">
        <v>108</v>
      </c>
      <c r="E97">
        <v>339</v>
      </c>
      <c r="F97">
        <v>2</v>
      </c>
      <c r="G97">
        <v>816</v>
      </c>
      <c r="H97" t="str">
        <f>TEXT(TbDespesas[[#This Row],[data_transacao]], "aaaa-mm")</f>
        <v>2026-03</v>
      </c>
    </row>
    <row r="98" spans="1:8">
      <c r="A98">
        <v>97</v>
      </c>
      <c r="B98" s="1">
        <v>46093</v>
      </c>
      <c r="C98" t="s">
        <v>110</v>
      </c>
      <c r="D98" t="s">
        <v>111</v>
      </c>
      <c r="E98">
        <v>473</v>
      </c>
      <c r="F98">
        <v>4</v>
      </c>
      <c r="G98">
        <v>2129</v>
      </c>
      <c r="H98" t="str">
        <f>TEXT(TbDespesas[[#This Row],[data_transacao]], "aaaa-mm")</f>
        <v>2026-03</v>
      </c>
    </row>
    <row r="99" spans="1:8">
      <c r="A99">
        <v>98</v>
      </c>
      <c r="B99" s="1">
        <v>46093</v>
      </c>
      <c r="C99" t="s">
        <v>110</v>
      </c>
      <c r="D99" t="s">
        <v>112</v>
      </c>
      <c r="E99">
        <v>486</v>
      </c>
      <c r="F99">
        <v>5</v>
      </c>
      <c r="G99">
        <v>2833</v>
      </c>
      <c r="H99" t="str">
        <f>TEXT(TbDespesas[[#This Row],[data_transacao]], "aaaa-mm")</f>
        <v>2026-03</v>
      </c>
    </row>
    <row r="100" spans="1:8">
      <c r="A100">
        <v>99</v>
      </c>
      <c r="B100" s="1">
        <v>46093</v>
      </c>
      <c r="C100" t="s">
        <v>110</v>
      </c>
      <c r="D100" t="s">
        <v>113</v>
      </c>
      <c r="E100">
        <v>372</v>
      </c>
      <c r="F100">
        <v>4</v>
      </c>
      <c r="G100">
        <v>1817</v>
      </c>
      <c r="H100" t="str">
        <f>TEXT(TbDespesas[[#This Row],[data_transacao]], "aaaa-mm")</f>
        <v>2026-03</v>
      </c>
    </row>
    <row r="101" spans="1:8">
      <c r="A101">
        <v>100</v>
      </c>
      <c r="B101" s="1">
        <v>46093</v>
      </c>
      <c r="C101" t="s">
        <v>110</v>
      </c>
      <c r="D101" t="s">
        <v>8</v>
      </c>
      <c r="E101">
        <v>313</v>
      </c>
      <c r="F101">
        <v>4</v>
      </c>
      <c r="G101">
        <v>1507</v>
      </c>
      <c r="H101" t="str">
        <f>TEXT(TbDespesas[[#This Row],[data_transacao]], "aaaa-mm")</f>
        <v>2026-03</v>
      </c>
    </row>
    <row r="102" spans="1:8">
      <c r="A102">
        <v>101</v>
      </c>
      <c r="B102" s="1">
        <v>46093</v>
      </c>
      <c r="C102" t="s">
        <v>110</v>
      </c>
      <c r="D102" t="s">
        <v>71</v>
      </c>
      <c r="E102">
        <v>249</v>
      </c>
      <c r="F102">
        <v>11</v>
      </c>
      <c r="G102">
        <v>2789</v>
      </c>
      <c r="H102" t="str">
        <f>TEXT(TbDespesas[[#This Row],[data_transacao]], "aaaa-mm")</f>
        <v>2026-03</v>
      </c>
    </row>
    <row r="103" spans="1:8">
      <c r="A103">
        <v>102</v>
      </c>
      <c r="B103" s="1">
        <v>46093</v>
      </c>
      <c r="C103" t="s">
        <v>110</v>
      </c>
      <c r="D103" t="s">
        <v>114</v>
      </c>
      <c r="E103">
        <v>165</v>
      </c>
      <c r="F103">
        <v>6</v>
      </c>
      <c r="G103">
        <v>1107</v>
      </c>
      <c r="H103" t="str">
        <f>TEXT(TbDespesas[[#This Row],[data_transacao]], "aaaa-mm")</f>
        <v>2026-03</v>
      </c>
    </row>
    <row r="104" spans="1:8">
      <c r="A104">
        <v>103</v>
      </c>
      <c r="B104" s="1">
        <v>46093</v>
      </c>
      <c r="C104" t="s">
        <v>110</v>
      </c>
      <c r="D104" t="s">
        <v>115</v>
      </c>
      <c r="E104">
        <v>74</v>
      </c>
      <c r="F104">
        <v>41</v>
      </c>
      <c r="G104">
        <v>3093</v>
      </c>
      <c r="H104" t="str">
        <f>TEXT(TbDespesas[[#This Row],[data_transacao]], "aaaa-mm")</f>
        <v>2026-03</v>
      </c>
    </row>
    <row r="105" spans="1:8">
      <c r="A105">
        <v>104</v>
      </c>
      <c r="B105" s="1">
        <v>46093</v>
      </c>
      <c r="C105" t="s">
        <v>110</v>
      </c>
      <c r="D105" t="s">
        <v>116</v>
      </c>
      <c r="E105">
        <v>455</v>
      </c>
      <c r="F105">
        <v>4</v>
      </c>
      <c r="G105">
        <v>2149</v>
      </c>
      <c r="H105" t="str">
        <f>TEXT(TbDespesas[[#This Row],[data_transacao]], "aaaa-mm")</f>
        <v>2026-03</v>
      </c>
    </row>
    <row r="106" spans="1:8">
      <c r="A106">
        <v>105</v>
      </c>
      <c r="B106" s="1">
        <v>46093</v>
      </c>
      <c r="C106" t="s">
        <v>110</v>
      </c>
      <c r="D106" t="s">
        <v>117</v>
      </c>
      <c r="E106">
        <v>141</v>
      </c>
      <c r="F106">
        <v>16</v>
      </c>
      <c r="G106">
        <v>2258</v>
      </c>
      <c r="H106" t="str">
        <f>TEXT(TbDespesas[[#This Row],[data_transacao]], "aaaa-mm")</f>
        <v>2026-03</v>
      </c>
    </row>
    <row r="107" spans="1:8">
      <c r="A107">
        <v>106</v>
      </c>
      <c r="B107" s="1">
        <v>46037</v>
      </c>
      <c r="C107" t="s">
        <v>118</v>
      </c>
      <c r="D107" t="s">
        <v>119</v>
      </c>
      <c r="E107">
        <v>276</v>
      </c>
      <c r="F107">
        <v>6</v>
      </c>
      <c r="G107">
        <v>1759</v>
      </c>
      <c r="H107" t="str">
        <f>TEXT(TbDespesas[[#This Row],[data_transacao]], "aaaa-mm")</f>
        <v>2026-01</v>
      </c>
    </row>
    <row r="108" spans="1:8">
      <c r="A108">
        <v>107</v>
      </c>
      <c r="B108" s="1">
        <v>46037</v>
      </c>
      <c r="C108" t="s">
        <v>118</v>
      </c>
      <c r="D108" t="s">
        <v>120</v>
      </c>
      <c r="E108">
        <v>154</v>
      </c>
      <c r="F108">
        <v>10</v>
      </c>
      <c r="G108">
        <v>1690</v>
      </c>
      <c r="H108" t="str">
        <f>TEXT(TbDespesas[[#This Row],[data_transacao]], "aaaa-mm")</f>
        <v>2026-01</v>
      </c>
    </row>
    <row r="109" spans="1:8">
      <c r="A109">
        <v>108</v>
      </c>
      <c r="B109" s="1">
        <v>46037</v>
      </c>
      <c r="C109" t="s">
        <v>118</v>
      </c>
      <c r="D109" t="s">
        <v>121</v>
      </c>
      <c r="E109">
        <v>172</v>
      </c>
      <c r="F109">
        <v>12</v>
      </c>
      <c r="G109">
        <v>2142</v>
      </c>
      <c r="H109" t="str">
        <f>TEXT(TbDespesas[[#This Row],[data_transacao]], "aaaa-mm")</f>
        <v>2026-01</v>
      </c>
    </row>
    <row r="110" spans="1:8">
      <c r="A110">
        <v>109</v>
      </c>
      <c r="B110" s="1">
        <v>46037</v>
      </c>
      <c r="C110" t="s">
        <v>118</v>
      </c>
      <c r="D110" t="s">
        <v>122</v>
      </c>
      <c r="E110">
        <v>145</v>
      </c>
      <c r="F110">
        <v>6</v>
      </c>
      <c r="G110">
        <v>976</v>
      </c>
      <c r="H110" t="str">
        <f>TEXT(TbDespesas[[#This Row],[data_transacao]], "aaaa-mm")</f>
        <v>2026-01</v>
      </c>
    </row>
    <row r="111" spans="1:8">
      <c r="A111">
        <v>110</v>
      </c>
      <c r="B111" s="1">
        <v>46037</v>
      </c>
      <c r="C111" t="s">
        <v>118</v>
      </c>
      <c r="D111" t="s">
        <v>75</v>
      </c>
      <c r="E111">
        <v>261</v>
      </c>
      <c r="F111">
        <v>8</v>
      </c>
      <c r="G111">
        <v>2334</v>
      </c>
      <c r="H111" t="str">
        <f>TEXT(TbDespesas[[#This Row],[data_transacao]], "aaaa-mm")</f>
        <v>2026-01</v>
      </c>
    </row>
    <row r="112" spans="1:8">
      <c r="A112">
        <v>111</v>
      </c>
      <c r="B112" s="1">
        <v>46037</v>
      </c>
      <c r="C112" t="s">
        <v>118</v>
      </c>
      <c r="D112" t="s">
        <v>123</v>
      </c>
      <c r="E112">
        <v>462</v>
      </c>
      <c r="F112">
        <v>2</v>
      </c>
      <c r="G112">
        <v>1061</v>
      </c>
      <c r="H112" t="str">
        <f>TEXT(TbDespesas[[#This Row],[data_transacao]], "aaaa-mm")</f>
        <v>2026-01</v>
      </c>
    </row>
    <row r="113" spans="1:8">
      <c r="A113">
        <v>112</v>
      </c>
      <c r="B113" s="1">
        <v>46037</v>
      </c>
      <c r="C113" t="s">
        <v>118</v>
      </c>
      <c r="D113" t="s">
        <v>124</v>
      </c>
      <c r="E113">
        <v>395</v>
      </c>
      <c r="F113">
        <v>3</v>
      </c>
      <c r="G113">
        <v>1309</v>
      </c>
      <c r="H113" t="str">
        <f>TEXT(TbDespesas[[#This Row],[data_transacao]], "aaaa-mm")</f>
        <v>2026-01</v>
      </c>
    </row>
    <row r="114" spans="1:8">
      <c r="A114">
        <v>113</v>
      </c>
      <c r="B114" s="1">
        <v>46037</v>
      </c>
      <c r="C114" t="s">
        <v>118</v>
      </c>
      <c r="D114" t="s">
        <v>14</v>
      </c>
      <c r="E114">
        <v>114</v>
      </c>
      <c r="F114">
        <v>14</v>
      </c>
      <c r="G114">
        <v>1605</v>
      </c>
      <c r="H114" t="str">
        <f>TEXT(TbDespesas[[#This Row],[data_transacao]], "aaaa-mm")</f>
        <v>2026-01</v>
      </c>
    </row>
    <row r="115" spans="1:8">
      <c r="A115">
        <v>114</v>
      </c>
      <c r="B115" s="1">
        <v>46037</v>
      </c>
      <c r="C115" t="s">
        <v>118</v>
      </c>
      <c r="D115" t="s">
        <v>125</v>
      </c>
      <c r="E115">
        <v>269</v>
      </c>
      <c r="F115">
        <v>0</v>
      </c>
      <c r="G115">
        <v>155</v>
      </c>
      <c r="H115" t="str">
        <f>TEXT(TbDespesas[[#This Row],[data_transacao]], "aaaa-mm")</f>
        <v>2026-01</v>
      </c>
    </row>
    <row r="116" spans="1:8">
      <c r="A116">
        <v>115</v>
      </c>
      <c r="B116" s="1">
        <v>46037</v>
      </c>
      <c r="C116" t="s">
        <v>118</v>
      </c>
      <c r="D116" t="s">
        <v>126</v>
      </c>
      <c r="E116">
        <v>19</v>
      </c>
      <c r="F116">
        <v>172</v>
      </c>
      <c r="G116">
        <v>3281</v>
      </c>
      <c r="H116" t="str">
        <f>TEXT(TbDespesas[[#This Row],[data_transacao]], "aaaa-mm")</f>
        <v>2026-01</v>
      </c>
    </row>
    <row r="117" spans="1:8">
      <c r="A117">
        <v>116</v>
      </c>
      <c r="B117" s="1">
        <v>46037</v>
      </c>
      <c r="C117" t="s">
        <v>118</v>
      </c>
      <c r="D117" t="s">
        <v>127</v>
      </c>
      <c r="E117">
        <v>405</v>
      </c>
      <c r="F117">
        <v>2</v>
      </c>
      <c r="G117">
        <v>1188</v>
      </c>
      <c r="H117" t="str">
        <f>TEXT(TbDespesas[[#This Row],[data_transacao]], "aaaa-mm")</f>
        <v>2026-01</v>
      </c>
    </row>
    <row r="118" spans="1:8">
      <c r="A118">
        <v>117</v>
      </c>
      <c r="B118" s="1">
        <v>46037</v>
      </c>
      <c r="C118" t="s">
        <v>118</v>
      </c>
      <c r="D118" t="s">
        <v>128</v>
      </c>
      <c r="E118">
        <v>59</v>
      </c>
      <c r="F118">
        <v>19</v>
      </c>
      <c r="G118">
        <v>1129</v>
      </c>
      <c r="H118" t="str">
        <f>TEXT(TbDespesas[[#This Row],[data_transacao]], "aaaa-mm")</f>
        <v>2026-01</v>
      </c>
    </row>
    <row r="119" spans="1:8">
      <c r="A119">
        <v>118</v>
      </c>
      <c r="B119" s="1">
        <v>45934</v>
      </c>
      <c r="C119" t="s">
        <v>129</v>
      </c>
      <c r="D119" t="s">
        <v>130</v>
      </c>
      <c r="E119">
        <v>81</v>
      </c>
      <c r="F119">
        <v>40</v>
      </c>
      <c r="G119">
        <v>3258</v>
      </c>
      <c r="H119" t="str">
        <f>TEXT(TbDespesas[[#This Row],[data_transacao]], "aaaa-mm")</f>
        <v>2025-10</v>
      </c>
    </row>
    <row r="120" spans="1:8">
      <c r="A120">
        <v>119</v>
      </c>
      <c r="B120" s="1">
        <v>45934</v>
      </c>
      <c r="C120" t="s">
        <v>129</v>
      </c>
      <c r="D120" t="s">
        <v>131</v>
      </c>
      <c r="E120">
        <v>292</v>
      </c>
      <c r="F120">
        <v>7</v>
      </c>
      <c r="G120">
        <v>2287</v>
      </c>
      <c r="H120" t="str">
        <f>TEXT(TbDespesas[[#This Row],[data_transacao]], "aaaa-mm")</f>
        <v>2025-10</v>
      </c>
    </row>
    <row r="121" spans="1:8">
      <c r="A121">
        <v>120</v>
      </c>
      <c r="B121" s="1">
        <v>45934</v>
      </c>
      <c r="C121" t="s">
        <v>129</v>
      </c>
      <c r="D121" t="s">
        <v>132</v>
      </c>
      <c r="E121">
        <v>159</v>
      </c>
      <c r="F121">
        <v>14</v>
      </c>
      <c r="G121">
        <v>2276</v>
      </c>
      <c r="H121" t="str">
        <f>TEXT(TbDespesas[[#This Row],[data_transacao]], "aaaa-mm")</f>
        <v>2025-10</v>
      </c>
    </row>
    <row r="122" spans="1:8">
      <c r="A122">
        <v>121</v>
      </c>
      <c r="B122" s="1">
        <v>45934</v>
      </c>
      <c r="C122" t="s">
        <v>129</v>
      </c>
      <c r="D122" t="s">
        <v>133</v>
      </c>
      <c r="E122">
        <v>136</v>
      </c>
      <c r="F122">
        <v>14</v>
      </c>
      <c r="G122">
        <v>2037</v>
      </c>
      <c r="H122" t="str">
        <f>TEXT(TbDespesas[[#This Row],[data_transacao]], "aaaa-mm")</f>
        <v>2025-10</v>
      </c>
    </row>
    <row r="123" spans="1:8">
      <c r="A123">
        <v>122</v>
      </c>
      <c r="B123" s="1">
        <v>45934</v>
      </c>
      <c r="C123" t="s">
        <v>129</v>
      </c>
      <c r="D123" t="s">
        <v>134</v>
      </c>
      <c r="E123">
        <v>94</v>
      </c>
      <c r="F123">
        <v>31</v>
      </c>
      <c r="G123">
        <v>2924</v>
      </c>
      <c r="H123" t="str">
        <f>TEXT(TbDespesas[[#This Row],[data_transacao]], "aaaa-mm")</f>
        <v>2025-10</v>
      </c>
    </row>
    <row r="124" spans="1:8">
      <c r="A124">
        <v>123</v>
      </c>
      <c r="B124" s="1">
        <v>45934</v>
      </c>
      <c r="C124" t="s">
        <v>129</v>
      </c>
      <c r="D124" t="s">
        <v>135</v>
      </c>
      <c r="E124">
        <v>410</v>
      </c>
      <c r="F124">
        <v>2</v>
      </c>
      <c r="G124">
        <v>1069</v>
      </c>
      <c r="H124" t="str">
        <f>TEXT(TbDespesas[[#This Row],[data_transacao]], "aaaa-mm")</f>
        <v>2025-10</v>
      </c>
    </row>
    <row r="125" spans="1:8">
      <c r="A125">
        <v>124</v>
      </c>
      <c r="B125" s="1">
        <v>45934</v>
      </c>
      <c r="C125" t="s">
        <v>129</v>
      </c>
      <c r="D125" t="s">
        <v>136</v>
      </c>
      <c r="E125">
        <v>31</v>
      </c>
      <c r="F125">
        <v>33</v>
      </c>
      <c r="G125">
        <v>1041</v>
      </c>
      <c r="H125" t="str">
        <f>TEXT(TbDespesas[[#This Row],[data_transacao]], "aaaa-mm")</f>
        <v>2025-10</v>
      </c>
    </row>
    <row r="126" spans="1:8">
      <c r="A126">
        <v>125</v>
      </c>
      <c r="B126" s="1">
        <v>46085</v>
      </c>
      <c r="C126" t="s">
        <v>137</v>
      </c>
      <c r="D126" t="s">
        <v>138</v>
      </c>
      <c r="E126">
        <v>227</v>
      </c>
      <c r="F126">
        <v>2</v>
      </c>
      <c r="G126">
        <v>466</v>
      </c>
      <c r="H126" t="str">
        <f>TEXT(TbDespesas[[#This Row],[data_transacao]], "aaaa-mm")</f>
        <v>2026-03</v>
      </c>
    </row>
    <row r="127" spans="1:8">
      <c r="A127">
        <v>126</v>
      </c>
      <c r="B127" s="1">
        <v>46085</v>
      </c>
      <c r="C127" t="s">
        <v>137</v>
      </c>
      <c r="D127" t="s">
        <v>106</v>
      </c>
      <c r="E127">
        <v>479</v>
      </c>
      <c r="F127">
        <v>3</v>
      </c>
      <c r="G127">
        <v>1782</v>
      </c>
      <c r="H127" t="str">
        <f>TEXT(TbDespesas[[#This Row],[data_transacao]], "aaaa-mm")</f>
        <v>2026-03</v>
      </c>
    </row>
    <row r="128" spans="1:8">
      <c r="A128">
        <v>127</v>
      </c>
      <c r="B128" s="1">
        <v>46085</v>
      </c>
      <c r="C128" t="s">
        <v>137</v>
      </c>
      <c r="D128" t="s">
        <v>139</v>
      </c>
      <c r="E128">
        <v>381</v>
      </c>
      <c r="F128">
        <v>4</v>
      </c>
      <c r="G128">
        <v>1556</v>
      </c>
      <c r="H128" t="str">
        <f>TEXT(TbDespesas[[#This Row],[data_transacao]], "aaaa-mm")</f>
        <v>2026-03</v>
      </c>
    </row>
    <row r="129" spans="1:8">
      <c r="A129">
        <v>128</v>
      </c>
      <c r="B129" s="1">
        <v>46085</v>
      </c>
      <c r="C129" t="s">
        <v>137</v>
      </c>
      <c r="D129" t="s">
        <v>140</v>
      </c>
      <c r="E129">
        <v>387</v>
      </c>
      <c r="F129">
        <v>4</v>
      </c>
      <c r="G129">
        <v>1811</v>
      </c>
      <c r="H129" t="str">
        <f>TEXT(TbDespesas[[#This Row],[data_transacao]], "aaaa-mm")</f>
        <v>2026-03</v>
      </c>
    </row>
    <row r="130" spans="1:8">
      <c r="A130">
        <v>129</v>
      </c>
      <c r="B130" s="1">
        <v>46085</v>
      </c>
      <c r="C130" t="s">
        <v>137</v>
      </c>
      <c r="D130" t="s">
        <v>141</v>
      </c>
      <c r="E130">
        <v>251</v>
      </c>
      <c r="F130">
        <v>10</v>
      </c>
      <c r="G130">
        <v>2607</v>
      </c>
      <c r="H130" t="str">
        <f>TEXT(TbDespesas[[#This Row],[data_transacao]], "aaaa-mm")</f>
        <v>2026-03</v>
      </c>
    </row>
    <row r="131" spans="1:8">
      <c r="A131">
        <v>130</v>
      </c>
      <c r="B131" s="1">
        <v>46085</v>
      </c>
      <c r="C131" t="s">
        <v>137</v>
      </c>
      <c r="D131" t="s">
        <v>142</v>
      </c>
      <c r="E131">
        <v>414</v>
      </c>
      <c r="F131">
        <v>8</v>
      </c>
      <c r="G131">
        <v>3348</v>
      </c>
      <c r="H131" t="str">
        <f>TEXT(TbDespesas[[#This Row],[data_transacao]], "aaaa-mm")</f>
        <v>2026-03</v>
      </c>
    </row>
    <row r="132" spans="1:8">
      <c r="A132">
        <v>131</v>
      </c>
      <c r="B132" s="1">
        <v>46251</v>
      </c>
      <c r="C132" t="s">
        <v>143</v>
      </c>
      <c r="D132" t="s">
        <v>144</v>
      </c>
      <c r="E132">
        <v>295</v>
      </c>
      <c r="F132">
        <v>6</v>
      </c>
      <c r="G132">
        <v>1889</v>
      </c>
      <c r="H132" t="str">
        <f>TEXT(TbDespesas[[#This Row],[data_transacao]], "aaaa-mm")</f>
        <v>2026-08</v>
      </c>
    </row>
    <row r="133" spans="1:8">
      <c r="A133">
        <v>132</v>
      </c>
      <c r="B133" s="1">
        <v>46251</v>
      </c>
      <c r="C133" t="s">
        <v>143</v>
      </c>
      <c r="D133" t="s">
        <v>145</v>
      </c>
      <c r="E133">
        <v>320</v>
      </c>
      <c r="F133">
        <v>2</v>
      </c>
      <c r="G133">
        <v>780</v>
      </c>
      <c r="H133" t="str">
        <f>TEXT(TbDespesas[[#This Row],[data_transacao]], "aaaa-mm")</f>
        <v>2026-08</v>
      </c>
    </row>
    <row r="134" spans="1:8">
      <c r="A134">
        <v>133</v>
      </c>
      <c r="B134" s="1">
        <v>46251</v>
      </c>
      <c r="C134" t="s">
        <v>143</v>
      </c>
      <c r="D134" t="s">
        <v>146</v>
      </c>
      <c r="E134">
        <v>438</v>
      </c>
      <c r="F134">
        <v>1</v>
      </c>
      <c r="G134">
        <v>463</v>
      </c>
      <c r="H134" t="str">
        <f>TEXT(TbDespesas[[#This Row],[data_transacao]], "aaaa-mm")</f>
        <v>2026-08</v>
      </c>
    </row>
    <row r="135" spans="1:8">
      <c r="A135">
        <v>134</v>
      </c>
      <c r="B135" s="1">
        <v>46251</v>
      </c>
      <c r="C135" t="s">
        <v>143</v>
      </c>
      <c r="D135" t="s">
        <v>147</v>
      </c>
      <c r="E135">
        <v>300</v>
      </c>
      <c r="F135">
        <v>10</v>
      </c>
      <c r="G135">
        <v>3188</v>
      </c>
      <c r="H135" t="str">
        <f>TEXT(TbDespesas[[#This Row],[data_transacao]], "aaaa-mm")</f>
        <v>2026-08</v>
      </c>
    </row>
    <row r="136" spans="1:8">
      <c r="A136">
        <v>135</v>
      </c>
      <c r="B136" s="1">
        <v>46251</v>
      </c>
      <c r="C136" t="s">
        <v>143</v>
      </c>
      <c r="D136" t="s">
        <v>148</v>
      </c>
      <c r="E136">
        <v>147</v>
      </c>
      <c r="F136">
        <v>22</v>
      </c>
      <c r="G136">
        <v>3273</v>
      </c>
      <c r="H136" t="str">
        <f>TEXT(TbDespesas[[#This Row],[data_transacao]], "aaaa-mm")</f>
        <v>2026-08</v>
      </c>
    </row>
    <row r="137" spans="1:8">
      <c r="A137">
        <v>136</v>
      </c>
      <c r="B137" s="1">
        <v>46251</v>
      </c>
      <c r="C137" t="s">
        <v>143</v>
      </c>
      <c r="D137" t="s">
        <v>149</v>
      </c>
      <c r="E137">
        <v>489</v>
      </c>
      <c r="F137">
        <v>6</v>
      </c>
      <c r="G137">
        <v>3363</v>
      </c>
      <c r="H137" t="str">
        <f>TEXT(TbDespesas[[#This Row],[data_transacao]], "aaaa-mm")</f>
        <v>2026-08</v>
      </c>
    </row>
    <row r="138" spans="1:8">
      <c r="A138">
        <v>137</v>
      </c>
      <c r="B138" s="1">
        <v>46025</v>
      </c>
      <c r="C138" t="s">
        <v>150</v>
      </c>
      <c r="D138" t="s">
        <v>24</v>
      </c>
      <c r="E138">
        <v>236</v>
      </c>
      <c r="F138">
        <v>9</v>
      </c>
      <c r="G138">
        <v>2153</v>
      </c>
      <c r="H138" t="str">
        <f>TEXT(TbDespesas[[#This Row],[data_transacao]], "aaaa-mm")</f>
        <v>2026-01</v>
      </c>
    </row>
    <row r="139" spans="1:8">
      <c r="A139">
        <v>138</v>
      </c>
      <c r="B139" s="1">
        <v>46025</v>
      </c>
      <c r="C139" t="s">
        <v>150</v>
      </c>
      <c r="D139" t="s">
        <v>151</v>
      </c>
      <c r="E139">
        <v>481</v>
      </c>
      <c r="F139">
        <v>7</v>
      </c>
      <c r="G139">
        <v>3643</v>
      </c>
      <c r="H139" t="str">
        <f>TEXT(TbDespesas[[#This Row],[data_transacao]], "aaaa-mm")</f>
        <v>2026-01</v>
      </c>
    </row>
    <row r="140" spans="1:8">
      <c r="A140">
        <v>139</v>
      </c>
      <c r="B140" s="1">
        <v>46025</v>
      </c>
      <c r="C140" t="s">
        <v>150</v>
      </c>
      <c r="D140" t="s">
        <v>76</v>
      </c>
      <c r="E140">
        <v>209</v>
      </c>
      <c r="F140">
        <v>9</v>
      </c>
      <c r="G140">
        <v>1960</v>
      </c>
      <c r="H140" t="str">
        <f>TEXT(TbDespesas[[#This Row],[data_transacao]], "aaaa-mm")</f>
        <v>2026-01</v>
      </c>
    </row>
    <row r="141" spans="1:8">
      <c r="A141">
        <v>140</v>
      </c>
      <c r="B141" s="1">
        <v>46025</v>
      </c>
      <c r="C141" t="s">
        <v>150</v>
      </c>
      <c r="D141" t="s">
        <v>152</v>
      </c>
      <c r="E141">
        <v>84</v>
      </c>
      <c r="F141">
        <v>17</v>
      </c>
      <c r="G141">
        <v>1460</v>
      </c>
      <c r="H141" t="str">
        <f>TEXT(TbDespesas[[#This Row],[data_transacao]], "aaaa-mm")</f>
        <v>2026-01</v>
      </c>
    </row>
    <row r="142" spans="1:8">
      <c r="A142">
        <v>141</v>
      </c>
      <c r="B142" s="1">
        <v>46025</v>
      </c>
      <c r="C142" t="s">
        <v>150</v>
      </c>
      <c r="D142" t="s">
        <v>153</v>
      </c>
      <c r="E142">
        <v>131</v>
      </c>
      <c r="F142">
        <v>6</v>
      </c>
      <c r="G142">
        <v>841</v>
      </c>
      <c r="H142" t="str">
        <f>TEXT(TbDespesas[[#This Row],[data_transacao]], "aaaa-mm")</f>
        <v>2026-01</v>
      </c>
    </row>
    <row r="143" spans="1:8">
      <c r="A143">
        <v>142</v>
      </c>
      <c r="B143" s="1">
        <v>46025</v>
      </c>
      <c r="C143" t="s">
        <v>150</v>
      </c>
      <c r="D143" t="s">
        <v>140</v>
      </c>
      <c r="E143">
        <v>42</v>
      </c>
      <c r="F143">
        <v>24</v>
      </c>
      <c r="G143">
        <v>1040</v>
      </c>
      <c r="H143" t="str">
        <f>TEXT(TbDespesas[[#This Row],[data_transacao]], "aaaa-mm")</f>
        <v>2026-01</v>
      </c>
    </row>
    <row r="144" spans="1:8">
      <c r="A144">
        <v>143</v>
      </c>
      <c r="B144" s="1">
        <v>46115</v>
      </c>
      <c r="C144" t="s">
        <v>154</v>
      </c>
      <c r="D144" t="s">
        <v>155</v>
      </c>
      <c r="E144">
        <v>299</v>
      </c>
      <c r="F144">
        <v>2</v>
      </c>
      <c r="G144">
        <v>800</v>
      </c>
      <c r="H144" t="str">
        <f>TEXT(TbDespesas[[#This Row],[data_transacao]], "aaaa-mm")</f>
        <v>2026-04</v>
      </c>
    </row>
    <row r="145" spans="1:8">
      <c r="A145">
        <v>144</v>
      </c>
      <c r="B145" s="1">
        <v>46115</v>
      </c>
      <c r="C145" t="s">
        <v>154</v>
      </c>
      <c r="D145" t="s">
        <v>156</v>
      </c>
      <c r="E145">
        <v>133</v>
      </c>
      <c r="F145">
        <v>13</v>
      </c>
      <c r="G145">
        <v>1770</v>
      </c>
      <c r="H145" t="str">
        <f>TEXT(TbDespesas[[#This Row],[data_transacao]], "aaaa-mm")</f>
        <v>2026-04</v>
      </c>
    </row>
    <row r="146" spans="1:8">
      <c r="A146">
        <v>145</v>
      </c>
      <c r="B146" s="1">
        <v>46115</v>
      </c>
      <c r="C146" t="s">
        <v>154</v>
      </c>
      <c r="D146" t="s">
        <v>157</v>
      </c>
      <c r="E146">
        <v>332</v>
      </c>
      <c r="F146">
        <v>10</v>
      </c>
      <c r="G146">
        <v>3480</v>
      </c>
      <c r="H146" t="str">
        <f>TEXT(TbDespesas[[#This Row],[data_transacao]], "aaaa-mm")</f>
        <v>2026-04</v>
      </c>
    </row>
    <row r="147" spans="1:8">
      <c r="A147">
        <v>146</v>
      </c>
      <c r="B147" s="1">
        <v>46115</v>
      </c>
      <c r="C147" t="s">
        <v>154</v>
      </c>
      <c r="D147" t="s">
        <v>158</v>
      </c>
      <c r="E147">
        <v>457</v>
      </c>
      <c r="F147">
        <v>0</v>
      </c>
      <c r="G147">
        <v>347</v>
      </c>
      <c r="H147" t="str">
        <f>TEXT(TbDespesas[[#This Row],[data_transacao]], "aaaa-mm")</f>
        <v>2026-04</v>
      </c>
    </row>
    <row r="148" spans="1:8">
      <c r="A148">
        <v>147</v>
      </c>
      <c r="B148" s="1">
        <v>46115</v>
      </c>
      <c r="C148" t="s">
        <v>154</v>
      </c>
      <c r="D148" t="s">
        <v>159</v>
      </c>
      <c r="E148">
        <v>262</v>
      </c>
      <c r="F148">
        <v>8</v>
      </c>
      <c r="G148">
        <v>2190</v>
      </c>
      <c r="H148" t="str">
        <f>TEXT(TbDespesas[[#This Row],[data_transacao]], "aaaa-mm")</f>
        <v>2026-04</v>
      </c>
    </row>
    <row r="149" spans="1:8">
      <c r="A149">
        <v>148</v>
      </c>
      <c r="B149" s="1">
        <v>46115</v>
      </c>
      <c r="C149" t="s">
        <v>154</v>
      </c>
      <c r="D149" t="s">
        <v>160</v>
      </c>
      <c r="E149">
        <v>79</v>
      </c>
      <c r="F149">
        <v>4</v>
      </c>
      <c r="G149">
        <v>390</v>
      </c>
      <c r="H149" t="str">
        <f>TEXT(TbDespesas[[#This Row],[data_transacao]], "aaaa-mm")</f>
        <v>2026-04</v>
      </c>
    </row>
    <row r="150" spans="1:8">
      <c r="A150">
        <v>149</v>
      </c>
      <c r="B150" s="1">
        <v>46115</v>
      </c>
      <c r="C150" t="s">
        <v>154</v>
      </c>
      <c r="D150" t="s">
        <v>67</v>
      </c>
      <c r="E150">
        <v>119</v>
      </c>
      <c r="F150">
        <v>22</v>
      </c>
      <c r="G150">
        <v>2669</v>
      </c>
      <c r="H150" t="str">
        <f>TEXT(TbDespesas[[#This Row],[data_transacao]], "aaaa-mm")</f>
        <v>2026-04</v>
      </c>
    </row>
    <row r="151" spans="1:8">
      <c r="A151">
        <v>150</v>
      </c>
      <c r="B151" s="1">
        <v>46115</v>
      </c>
      <c r="C151" t="s">
        <v>154</v>
      </c>
      <c r="D151" t="s">
        <v>161</v>
      </c>
      <c r="E151">
        <v>342</v>
      </c>
      <c r="F151">
        <v>3</v>
      </c>
      <c r="G151">
        <v>1080</v>
      </c>
      <c r="H151" t="str">
        <f>TEXT(TbDespesas[[#This Row],[data_transacao]], "aaaa-mm")</f>
        <v>2026-04</v>
      </c>
    </row>
    <row r="152" spans="1:8">
      <c r="A152">
        <v>151</v>
      </c>
      <c r="B152" s="1">
        <v>46210</v>
      </c>
      <c r="C152" t="s">
        <v>162</v>
      </c>
      <c r="D152" t="s">
        <v>163</v>
      </c>
      <c r="E152">
        <v>323</v>
      </c>
      <c r="F152">
        <v>0</v>
      </c>
      <c r="G152">
        <v>126</v>
      </c>
      <c r="H152" t="str">
        <f>TEXT(TbDespesas[[#This Row],[data_transacao]], "aaaa-mm")</f>
        <v>2026-07</v>
      </c>
    </row>
    <row r="153" spans="1:8">
      <c r="A153">
        <v>152</v>
      </c>
      <c r="B153" s="1">
        <v>46210</v>
      </c>
      <c r="C153" t="s">
        <v>162</v>
      </c>
      <c r="D153" t="s">
        <v>147</v>
      </c>
      <c r="E153">
        <v>135</v>
      </c>
      <c r="F153">
        <v>7</v>
      </c>
      <c r="G153">
        <v>1070</v>
      </c>
      <c r="H153" t="str">
        <f>TEXT(TbDespesas[[#This Row],[data_transacao]], "aaaa-mm")</f>
        <v>2026-07</v>
      </c>
    </row>
    <row r="154" spans="1:8">
      <c r="A154">
        <v>153</v>
      </c>
      <c r="B154" s="1">
        <v>45978</v>
      </c>
      <c r="C154" t="s">
        <v>164</v>
      </c>
      <c r="D154" t="s">
        <v>165</v>
      </c>
      <c r="E154">
        <v>113</v>
      </c>
      <c r="F154">
        <v>16</v>
      </c>
      <c r="G154">
        <v>1840</v>
      </c>
      <c r="H154" t="str">
        <f>TEXT(TbDespesas[[#This Row],[data_transacao]], "aaaa-mm")</f>
        <v>2025-11</v>
      </c>
    </row>
    <row r="155" spans="1:8">
      <c r="A155">
        <v>154</v>
      </c>
      <c r="B155" s="1">
        <v>45978</v>
      </c>
      <c r="C155" t="s">
        <v>164</v>
      </c>
      <c r="D155" t="s">
        <v>166</v>
      </c>
      <c r="E155">
        <v>237</v>
      </c>
      <c r="F155">
        <v>7</v>
      </c>
      <c r="G155">
        <v>1812</v>
      </c>
      <c r="H155" t="str">
        <f>TEXT(TbDespesas[[#This Row],[data_transacao]], "aaaa-mm")</f>
        <v>2025-11</v>
      </c>
    </row>
    <row r="156" spans="1:8">
      <c r="A156">
        <v>155</v>
      </c>
      <c r="B156" s="1">
        <v>45978</v>
      </c>
      <c r="C156" t="s">
        <v>164</v>
      </c>
      <c r="D156" t="s">
        <v>167</v>
      </c>
      <c r="E156">
        <v>238</v>
      </c>
      <c r="F156">
        <v>5</v>
      </c>
      <c r="G156">
        <v>1287</v>
      </c>
      <c r="H156" t="str">
        <f>TEXT(TbDespesas[[#This Row],[data_transacao]], "aaaa-mm")</f>
        <v>2025-11</v>
      </c>
    </row>
    <row r="157" spans="1:8">
      <c r="A157">
        <v>156</v>
      </c>
      <c r="B157" s="1">
        <v>45978</v>
      </c>
      <c r="C157" t="s">
        <v>164</v>
      </c>
      <c r="D157" t="s">
        <v>168</v>
      </c>
      <c r="E157">
        <v>22</v>
      </c>
      <c r="F157">
        <v>97</v>
      </c>
      <c r="G157">
        <v>2150</v>
      </c>
      <c r="H157" t="str">
        <f>TEXT(TbDespesas[[#This Row],[data_transacao]], "aaaa-mm")</f>
        <v>2025-11</v>
      </c>
    </row>
    <row r="158" spans="1:8">
      <c r="A158">
        <v>157</v>
      </c>
      <c r="B158" s="1">
        <v>46147</v>
      </c>
      <c r="C158" t="s">
        <v>169</v>
      </c>
      <c r="D158" t="s">
        <v>170</v>
      </c>
      <c r="E158">
        <v>109</v>
      </c>
      <c r="F158">
        <v>8</v>
      </c>
      <c r="G158">
        <v>889</v>
      </c>
      <c r="H158" t="str">
        <f>TEXT(TbDespesas[[#This Row],[data_transacao]], "aaaa-mm")</f>
        <v>2026-05</v>
      </c>
    </row>
    <row r="159" spans="1:8">
      <c r="A159">
        <v>158</v>
      </c>
      <c r="B159" s="1">
        <v>46147</v>
      </c>
      <c r="C159" t="s">
        <v>169</v>
      </c>
      <c r="D159" t="s">
        <v>43</v>
      </c>
      <c r="E159">
        <v>165</v>
      </c>
      <c r="F159">
        <v>8</v>
      </c>
      <c r="G159">
        <v>1459</v>
      </c>
      <c r="H159" t="str">
        <f>TEXT(TbDespesas[[#This Row],[data_transacao]], "aaaa-mm")</f>
        <v>2026-05</v>
      </c>
    </row>
    <row r="160" spans="1:8">
      <c r="A160">
        <v>159</v>
      </c>
      <c r="B160" s="1">
        <v>46147</v>
      </c>
      <c r="C160" t="s">
        <v>169</v>
      </c>
      <c r="D160" t="s">
        <v>21</v>
      </c>
      <c r="E160">
        <v>354</v>
      </c>
      <c r="F160">
        <v>7</v>
      </c>
      <c r="G160">
        <v>2701</v>
      </c>
      <c r="H160" t="str">
        <f>TEXT(TbDespesas[[#This Row],[data_transacao]], "aaaa-mm")</f>
        <v>2026-05</v>
      </c>
    </row>
    <row r="161" spans="1:8">
      <c r="A161">
        <v>160</v>
      </c>
      <c r="B161" s="1">
        <v>46147</v>
      </c>
      <c r="C161" t="s">
        <v>169</v>
      </c>
      <c r="D161" t="s">
        <v>171</v>
      </c>
      <c r="E161">
        <v>99</v>
      </c>
      <c r="F161">
        <v>19</v>
      </c>
      <c r="G161">
        <v>1934</v>
      </c>
      <c r="H161" t="str">
        <f>TEXT(TbDespesas[[#This Row],[data_transacao]], "aaaa-mm")</f>
        <v>2026-05</v>
      </c>
    </row>
    <row r="162" spans="1:8">
      <c r="A162">
        <v>161</v>
      </c>
      <c r="B162" s="1">
        <v>46147</v>
      </c>
      <c r="C162" t="s">
        <v>169</v>
      </c>
      <c r="D162" t="s">
        <v>172</v>
      </c>
      <c r="E162">
        <v>372</v>
      </c>
      <c r="F162">
        <v>5</v>
      </c>
      <c r="G162">
        <v>2037</v>
      </c>
      <c r="H162" t="str">
        <f>TEXT(TbDespesas[[#This Row],[data_transacao]], "aaaa-mm")</f>
        <v>2026-05</v>
      </c>
    </row>
    <row r="163" spans="1:8">
      <c r="A163">
        <v>162</v>
      </c>
      <c r="B163" s="1">
        <v>46147</v>
      </c>
      <c r="C163" t="s">
        <v>169</v>
      </c>
      <c r="D163" t="s">
        <v>173</v>
      </c>
      <c r="E163">
        <v>105</v>
      </c>
      <c r="F163">
        <v>24</v>
      </c>
      <c r="G163">
        <v>2579</v>
      </c>
      <c r="H163" t="str">
        <f>TEXT(TbDespesas[[#This Row],[data_transacao]], "aaaa-mm")</f>
        <v>2026-05</v>
      </c>
    </row>
    <row r="164" spans="1:8">
      <c r="A164">
        <v>163</v>
      </c>
      <c r="B164" s="1">
        <v>46147</v>
      </c>
      <c r="C164" t="s">
        <v>169</v>
      </c>
      <c r="D164" t="s">
        <v>174</v>
      </c>
      <c r="E164">
        <v>245</v>
      </c>
      <c r="F164">
        <v>7</v>
      </c>
      <c r="G164">
        <v>1806</v>
      </c>
      <c r="H164" t="str">
        <f>TEXT(TbDespesas[[#This Row],[data_transacao]], "aaaa-mm")</f>
        <v>2026-05</v>
      </c>
    </row>
    <row r="165" spans="1:8">
      <c r="A165">
        <v>164</v>
      </c>
      <c r="B165" s="1">
        <v>46147</v>
      </c>
      <c r="C165" t="s">
        <v>169</v>
      </c>
      <c r="D165" t="s">
        <v>175</v>
      </c>
      <c r="E165">
        <v>446</v>
      </c>
      <c r="F165">
        <v>2</v>
      </c>
      <c r="G165">
        <v>1271</v>
      </c>
      <c r="H165" t="str">
        <f>TEXT(TbDespesas[[#This Row],[data_transacao]], "aaaa-mm")</f>
        <v>2026-05</v>
      </c>
    </row>
    <row r="166" spans="1:8">
      <c r="A166">
        <v>165</v>
      </c>
      <c r="B166" s="1">
        <v>46147</v>
      </c>
      <c r="C166" t="s">
        <v>169</v>
      </c>
      <c r="D166" t="s">
        <v>176</v>
      </c>
      <c r="E166">
        <v>383</v>
      </c>
      <c r="F166">
        <v>2</v>
      </c>
      <c r="G166">
        <v>900</v>
      </c>
      <c r="H166" t="str">
        <f>TEXT(TbDespesas[[#This Row],[data_transacao]], "aaaa-mm")</f>
        <v>2026-05</v>
      </c>
    </row>
    <row r="167" spans="1:8">
      <c r="A167">
        <v>166</v>
      </c>
      <c r="B167" s="1">
        <v>46147</v>
      </c>
      <c r="C167" t="s">
        <v>169</v>
      </c>
      <c r="D167" t="s">
        <v>177</v>
      </c>
      <c r="E167">
        <v>17</v>
      </c>
      <c r="F167">
        <v>90</v>
      </c>
      <c r="G167">
        <v>1533</v>
      </c>
      <c r="H167" t="str">
        <f>TEXT(TbDespesas[[#This Row],[data_transacao]], "aaaa-mm")</f>
        <v>2026-05</v>
      </c>
    </row>
    <row r="168" spans="1:8">
      <c r="A168">
        <v>167</v>
      </c>
      <c r="B168" s="1">
        <v>46147</v>
      </c>
      <c r="C168" t="s">
        <v>169</v>
      </c>
      <c r="D168" t="s">
        <v>178</v>
      </c>
      <c r="E168">
        <v>352</v>
      </c>
      <c r="F168">
        <v>6</v>
      </c>
      <c r="G168">
        <v>2151</v>
      </c>
      <c r="H168" t="str">
        <f>TEXT(TbDespesas[[#This Row],[data_transacao]], "aaaa-mm")</f>
        <v>2026-05</v>
      </c>
    </row>
    <row r="169" spans="1:8">
      <c r="A169">
        <v>168</v>
      </c>
      <c r="B169" s="1">
        <v>46123</v>
      </c>
      <c r="C169" t="s">
        <v>179</v>
      </c>
      <c r="D169" t="s">
        <v>180</v>
      </c>
      <c r="E169">
        <v>34</v>
      </c>
      <c r="F169">
        <v>43</v>
      </c>
      <c r="G169">
        <v>1484</v>
      </c>
      <c r="H169" t="str">
        <f>TEXT(TbDespesas[[#This Row],[data_transacao]], "aaaa-mm")</f>
        <v>2026-04</v>
      </c>
    </row>
    <row r="170" spans="1:8">
      <c r="A170">
        <v>169</v>
      </c>
      <c r="B170" s="1">
        <v>46123</v>
      </c>
      <c r="C170" t="s">
        <v>179</v>
      </c>
      <c r="D170" t="s">
        <v>181</v>
      </c>
      <c r="E170">
        <v>375</v>
      </c>
      <c r="F170">
        <v>2</v>
      </c>
      <c r="G170">
        <v>1117</v>
      </c>
      <c r="H170" t="str">
        <f>TEXT(TbDespesas[[#This Row],[data_transacao]], "aaaa-mm")</f>
        <v>2026-04</v>
      </c>
    </row>
    <row r="171" spans="1:8">
      <c r="A171">
        <v>170</v>
      </c>
      <c r="B171" s="1">
        <v>46123</v>
      </c>
      <c r="C171" t="s">
        <v>179</v>
      </c>
      <c r="D171" t="s">
        <v>148</v>
      </c>
      <c r="E171">
        <v>263</v>
      </c>
      <c r="F171">
        <v>2</v>
      </c>
      <c r="G171">
        <v>750</v>
      </c>
      <c r="H171" t="str">
        <f>TEXT(TbDespesas[[#This Row],[data_transacao]], "aaaa-mm")</f>
        <v>2026-04</v>
      </c>
    </row>
    <row r="172" spans="1:8">
      <c r="A172">
        <v>171</v>
      </c>
      <c r="B172" s="1">
        <v>46123</v>
      </c>
      <c r="C172" t="s">
        <v>179</v>
      </c>
      <c r="D172" t="s">
        <v>182</v>
      </c>
      <c r="E172">
        <v>43</v>
      </c>
      <c r="F172">
        <v>46</v>
      </c>
      <c r="G172">
        <v>1984</v>
      </c>
      <c r="H172" t="str">
        <f>TEXT(TbDespesas[[#This Row],[data_transacao]], "aaaa-mm")</f>
        <v>2026-04</v>
      </c>
    </row>
    <row r="173" spans="1:8">
      <c r="A173">
        <v>172</v>
      </c>
      <c r="B173" s="1">
        <v>46123</v>
      </c>
      <c r="C173" t="s">
        <v>179</v>
      </c>
      <c r="D173" t="s">
        <v>183</v>
      </c>
      <c r="E173">
        <v>28</v>
      </c>
      <c r="F173">
        <v>75</v>
      </c>
      <c r="G173">
        <v>2122</v>
      </c>
      <c r="H173" t="str">
        <f>TEXT(TbDespesas[[#This Row],[data_transacao]], "aaaa-mm")</f>
        <v>2026-04</v>
      </c>
    </row>
    <row r="174" spans="1:8">
      <c r="A174">
        <v>173</v>
      </c>
      <c r="B174" s="1">
        <v>46123</v>
      </c>
      <c r="C174" t="s">
        <v>179</v>
      </c>
      <c r="D174" t="s">
        <v>43</v>
      </c>
      <c r="E174">
        <v>131</v>
      </c>
      <c r="F174">
        <v>28</v>
      </c>
      <c r="G174">
        <v>3723</v>
      </c>
      <c r="H174" t="str">
        <f>TEXT(TbDespesas[[#This Row],[data_transacao]], "aaaa-mm")</f>
        <v>2026-04</v>
      </c>
    </row>
    <row r="175" spans="1:8">
      <c r="A175">
        <v>174</v>
      </c>
      <c r="B175" s="1">
        <v>46123</v>
      </c>
      <c r="C175" t="s">
        <v>179</v>
      </c>
      <c r="D175" t="s">
        <v>184</v>
      </c>
      <c r="E175">
        <v>333</v>
      </c>
      <c r="F175">
        <v>8</v>
      </c>
      <c r="G175">
        <v>2826</v>
      </c>
      <c r="H175" t="str">
        <f>TEXT(TbDespesas[[#This Row],[data_transacao]], "aaaa-mm")</f>
        <v>2026-04</v>
      </c>
    </row>
    <row r="176" spans="1:8">
      <c r="A176">
        <v>175</v>
      </c>
      <c r="B176" s="1">
        <v>46085</v>
      </c>
      <c r="C176" t="s">
        <v>185</v>
      </c>
      <c r="D176" t="s">
        <v>85</v>
      </c>
      <c r="E176">
        <v>418</v>
      </c>
      <c r="F176">
        <v>8</v>
      </c>
      <c r="G176">
        <v>3414</v>
      </c>
      <c r="H176" t="str">
        <f>TEXT(TbDespesas[[#This Row],[data_transacao]], "aaaa-mm")</f>
        <v>2026-03</v>
      </c>
    </row>
    <row r="177" spans="1:8">
      <c r="A177">
        <v>176</v>
      </c>
      <c r="B177" s="1">
        <v>46085</v>
      </c>
      <c r="C177" t="s">
        <v>185</v>
      </c>
      <c r="D177" t="s">
        <v>91</v>
      </c>
      <c r="E177">
        <v>145</v>
      </c>
      <c r="F177">
        <v>11</v>
      </c>
      <c r="G177">
        <v>1649</v>
      </c>
      <c r="H177" t="str">
        <f>TEXT(TbDespesas[[#This Row],[data_transacao]], "aaaa-mm")</f>
        <v>2026-03</v>
      </c>
    </row>
    <row r="178" spans="1:8">
      <c r="A178">
        <v>177</v>
      </c>
      <c r="B178" s="1">
        <v>46085</v>
      </c>
      <c r="C178" t="s">
        <v>185</v>
      </c>
      <c r="D178" t="s">
        <v>105</v>
      </c>
      <c r="E178">
        <v>208</v>
      </c>
      <c r="F178">
        <v>7</v>
      </c>
      <c r="G178">
        <v>1531</v>
      </c>
      <c r="H178" t="str">
        <f>TEXT(TbDespesas[[#This Row],[data_transacao]], "aaaa-mm")</f>
        <v>2026-03</v>
      </c>
    </row>
    <row r="179" spans="1:8">
      <c r="A179">
        <v>178</v>
      </c>
      <c r="B179" s="1">
        <v>46085</v>
      </c>
      <c r="C179" t="s">
        <v>185</v>
      </c>
      <c r="D179" t="s">
        <v>186</v>
      </c>
      <c r="E179">
        <v>74</v>
      </c>
      <c r="F179">
        <v>45</v>
      </c>
      <c r="G179">
        <v>3388</v>
      </c>
      <c r="H179" t="str">
        <f>TEXT(TbDespesas[[#This Row],[data_transacao]], "aaaa-mm")</f>
        <v>2026-03</v>
      </c>
    </row>
    <row r="180" spans="1:8">
      <c r="A180">
        <v>179</v>
      </c>
      <c r="B180" s="1">
        <v>46085</v>
      </c>
      <c r="C180" t="s">
        <v>185</v>
      </c>
      <c r="D180" t="s">
        <v>187</v>
      </c>
      <c r="E180">
        <v>139</v>
      </c>
      <c r="F180">
        <v>0</v>
      </c>
      <c r="G180">
        <v>117</v>
      </c>
      <c r="H180" t="str">
        <f>TEXT(TbDespesas[[#This Row],[data_transacao]], "aaaa-mm")</f>
        <v>2026-03</v>
      </c>
    </row>
    <row r="181" spans="1:8">
      <c r="A181">
        <v>180</v>
      </c>
      <c r="B181" s="1">
        <v>46085</v>
      </c>
      <c r="C181" t="s">
        <v>185</v>
      </c>
      <c r="D181" t="s">
        <v>188</v>
      </c>
      <c r="E181">
        <v>246</v>
      </c>
      <c r="F181">
        <v>3</v>
      </c>
      <c r="G181">
        <v>783</v>
      </c>
      <c r="H181" t="str">
        <f>TEXT(TbDespesas[[#This Row],[data_transacao]], "aaaa-mm")</f>
        <v>2026-03</v>
      </c>
    </row>
    <row r="182" spans="1:8">
      <c r="A182">
        <v>181</v>
      </c>
      <c r="B182" s="1">
        <v>46085</v>
      </c>
      <c r="C182" t="s">
        <v>185</v>
      </c>
      <c r="D182" t="s">
        <v>189</v>
      </c>
      <c r="E182">
        <v>369</v>
      </c>
      <c r="F182">
        <v>6</v>
      </c>
      <c r="G182">
        <v>2424</v>
      </c>
      <c r="H182" t="str">
        <f>TEXT(TbDespesas[[#This Row],[data_transacao]], "aaaa-mm")</f>
        <v>2026-03</v>
      </c>
    </row>
    <row r="183" spans="1:8">
      <c r="A183">
        <v>182</v>
      </c>
      <c r="B183" s="1">
        <v>46085</v>
      </c>
      <c r="C183" t="s">
        <v>185</v>
      </c>
      <c r="D183" t="s">
        <v>100</v>
      </c>
      <c r="E183">
        <v>147</v>
      </c>
      <c r="F183">
        <v>12</v>
      </c>
      <c r="G183">
        <v>1804</v>
      </c>
      <c r="H183" t="str">
        <f>TEXT(TbDespesas[[#This Row],[data_transacao]], "aaaa-mm")</f>
        <v>2026-03</v>
      </c>
    </row>
    <row r="184" spans="1:8">
      <c r="A184">
        <v>183</v>
      </c>
      <c r="B184" s="1">
        <v>46085</v>
      </c>
      <c r="C184" t="s">
        <v>185</v>
      </c>
      <c r="D184" t="s">
        <v>190</v>
      </c>
      <c r="E184">
        <v>302</v>
      </c>
      <c r="F184">
        <v>9</v>
      </c>
      <c r="G184">
        <v>2723</v>
      </c>
      <c r="H184" t="str">
        <f>TEXT(TbDespesas[[#This Row],[data_transacao]], "aaaa-mm")</f>
        <v>2026-03</v>
      </c>
    </row>
    <row r="185" spans="1:8">
      <c r="A185">
        <v>184</v>
      </c>
      <c r="B185" s="1">
        <v>46085</v>
      </c>
      <c r="C185" t="s">
        <v>185</v>
      </c>
      <c r="D185" t="s">
        <v>36</v>
      </c>
      <c r="E185">
        <v>341</v>
      </c>
      <c r="F185">
        <v>6</v>
      </c>
      <c r="G185">
        <v>2265</v>
      </c>
      <c r="H185" t="str">
        <f>TEXT(TbDespesas[[#This Row],[data_transacao]], "aaaa-mm")</f>
        <v>2026-03</v>
      </c>
    </row>
    <row r="186" spans="1:8">
      <c r="A186">
        <v>185</v>
      </c>
      <c r="B186" s="1">
        <v>46085</v>
      </c>
      <c r="C186" t="s">
        <v>185</v>
      </c>
      <c r="D186" t="s">
        <v>67</v>
      </c>
      <c r="E186">
        <v>188</v>
      </c>
      <c r="F186">
        <v>11</v>
      </c>
      <c r="G186">
        <v>2181</v>
      </c>
      <c r="H186" t="str">
        <f>TEXT(TbDespesas[[#This Row],[data_transacao]], "aaaa-mm")</f>
        <v>2026-03</v>
      </c>
    </row>
    <row r="187" spans="1:8">
      <c r="A187">
        <v>186</v>
      </c>
      <c r="B187" s="1">
        <v>46085</v>
      </c>
      <c r="C187" t="s">
        <v>185</v>
      </c>
      <c r="D187" t="s">
        <v>191</v>
      </c>
      <c r="E187">
        <v>431</v>
      </c>
      <c r="F187">
        <v>8</v>
      </c>
      <c r="G187">
        <v>3584</v>
      </c>
      <c r="H187" t="str">
        <f>TEXT(TbDespesas[[#This Row],[data_transacao]], "aaaa-mm")</f>
        <v>2026-03</v>
      </c>
    </row>
    <row r="188" spans="1:8">
      <c r="A188">
        <v>187</v>
      </c>
      <c r="B188" s="1">
        <v>46021</v>
      </c>
      <c r="C188" t="s">
        <v>192</v>
      </c>
      <c r="D188" t="s">
        <v>187</v>
      </c>
      <c r="E188">
        <v>194</v>
      </c>
      <c r="F188">
        <v>14</v>
      </c>
      <c r="G188">
        <v>2827</v>
      </c>
      <c r="H188" t="str">
        <f>TEXT(TbDespesas[[#This Row],[data_transacao]], "aaaa-mm")</f>
        <v>2025-12</v>
      </c>
    </row>
    <row r="189" spans="1:8">
      <c r="A189">
        <v>188</v>
      </c>
      <c r="B189" s="1">
        <v>46021</v>
      </c>
      <c r="C189" t="s">
        <v>192</v>
      </c>
      <c r="D189" t="s">
        <v>193</v>
      </c>
      <c r="E189">
        <v>296</v>
      </c>
      <c r="F189">
        <v>4</v>
      </c>
      <c r="G189">
        <v>1386</v>
      </c>
      <c r="H189" t="str">
        <f>TEXT(TbDespesas[[#This Row],[data_transacao]], "aaaa-mm")</f>
        <v>2025-12</v>
      </c>
    </row>
    <row r="190" spans="1:8">
      <c r="A190">
        <v>189</v>
      </c>
      <c r="B190" s="1">
        <v>46021</v>
      </c>
      <c r="C190" t="s">
        <v>192</v>
      </c>
      <c r="D190" t="s">
        <v>194</v>
      </c>
      <c r="E190">
        <v>417</v>
      </c>
      <c r="F190">
        <v>8</v>
      </c>
      <c r="G190">
        <v>3522</v>
      </c>
      <c r="H190" t="str">
        <f>TEXT(TbDespesas[[#This Row],[data_transacao]], "aaaa-mm")</f>
        <v>2025-12</v>
      </c>
    </row>
    <row r="191" spans="1:8">
      <c r="A191">
        <v>190</v>
      </c>
      <c r="B191" s="1">
        <v>46021</v>
      </c>
      <c r="C191" t="s">
        <v>192</v>
      </c>
      <c r="D191" t="s">
        <v>195</v>
      </c>
      <c r="E191">
        <v>292</v>
      </c>
      <c r="F191">
        <v>9</v>
      </c>
      <c r="G191">
        <v>2649</v>
      </c>
      <c r="H191" t="str">
        <f>TEXT(TbDespesas[[#This Row],[data_transacao]], "aaaa-mm")</f>
        <v>2025-12</v>
      </c>
    </row>
    <row r="192" spans="1:8">
      <c r="A192">
        <v>191</v>
      </c>
      <c r="B192" s="1">
        <v>46021</v>
      </c>
      <c r="C192" t="s">
        <v>192</v>
      </c>
      <c r="D192" t="s">
        <v>127</v>
      </c>
      <c r="E192">
        <v>308</v>
      </c>
      <c r="F192">
        <v>3</v>
      </c>
      <c r="G192">
        <v>951</v>
      </c>
      <c r="H192" t="str">
        <f>TEXT(TbDespesas[[#This Row],[data_transacao]], "aaaa-mm")</f>
        <v>2025-12</v>
      </c>
    </row>
    <row r="193" spans="1:8">
      <c r="A193">
        <v>192</v>
      </c>
      <c r="B193" s="1">
        <v>46021</v>
      </c>
      <c r="C193" t="s">
        <v>192</v>
      </c>
      <c r="D193" t="s">
        <v>196</v>
      </c>
      <c r="E193">
        <v>476</v>
      </c>
      <c r="F193">
        <v>4</v>
      </c>
      <c r="G193">
        <v>2109</v>
      </c>
      <c r="H193" t="str">
        <f>TEXT(TbDespesas[[#This Row],[data_transacao]], "aaaa-mm")</f>
        <v>2025-12</v>
      </c>
    </row>
    <row r="194" spans="1:8">
      <c r="A194">
        <v>193</v>
      </c>
      <c r="B194" s="1">
        <v>46021</v>
      </c>
      <c r="C194" t="s">
        <v>192</v>
      </c>
      <c r="D194" t="s">
        <v>71</v>
      </c>
      <c r="E194">
        <v>419</v>
      </c>
      <c r="F194">
        <v>13</v>
      </c>
      <c r="G194">
        <v>5470</v>
      </c>
      <c r="H194" t="str">
        <f>TEXT(TbDespesas[[#This Row],[data_transacao]], "aaaa-mm")</f>
        <v>2025-12</v>
      </c>
    </row>
    <row r="195" spans="1:8">
      <c r="A195">
        <v>194</v>
      </c>
      <c r="B195" s="1">
        <v>46021</v>
      </c>
      <c r="C195" t="s">
        <v>192</v>
      </c>
      <c r="D195" t="s">
        <v>197</v>
      </c>
      <c r="E195">
        <v>454</v>
      </c>
      <c r="F195">
        <v>3</v>
      </c>
      <c r="G195">
        <v>1580</v>
      </c>
      <c r="H195" t="str">
        <f>TEXT(TbDespesas[[#This Row],[data_transacao]], "aaaa-mm")</f>
        <v>2025-12</v>
      </c>
    </row>
    <row r="196" spans="1:8">
      <c r="A196">
        <v>195</v>
      </c>
      <c r="B196" s="1">
        <v>46021</v>
      </c>
      <c r="C196" t="s">
        <v>192</v>
      </c>
      <c r="D196" t="s">
        <v>198</v>
      </c>
      <c r="E196">
        <v>382</v>
      </c>
      <c r="F196">
        <v>7</v>
      </c>
      <c r="G196">
        <v>2747</v>
      </c>
      <c r="H196" t="str">
        <f>TEXT(TbDespesas[[#This Row],[data_transacao]], "aaaa-mm")</f>
        <v>2025-12</v>
      </c>
    </row>
    <row r="197" spans="1:8">
      <c r="A197">
        <v>196</v>
      </c>
      <c r="B197" s="1">
        <v>46021</v>
      </c>
      <c r="C197" t="s">
        <v>192</v>
      </c>
      <c r="D197" t="s">
        <v>199</v>
      </c>
      <c r="E197">
        <v>371</v>
      </c>
      <c r="F197">
        <v>8</v>
      </c>
      <c r="G197">
        <v>3087</v>
      </c>
      <c r="H197" t="str">
        <f>TEXT(TbDespesas[[#This Row],[data_transacao]], "aaaa-mm")</f>
        <v>2025-12</v>
      </c>
    </row>
    <row r="198" spans="1:8">
      <c r="A198">
        <v>197</v>
      </c>
      <c r="B198" s="1">
        <v>46216</v>
      </c>
      <c r="C198" t="s">
        <v>200</v>
      </c>
      <c r="D198" t="s">
        <v>201</v>
      </c>
      <c r="E198">
        <v>298</v>
      </c>
      <c r="F198">
        <v>7</v>
      </c>
      <c r="G198">
        <v>2186</v>
      </c>
      <c r="H198" t="str">
        <f>TEXT(TbDespesas[[#This Row],[data_transacao]], "aaaa-mm")</f>
        <v>2026-07</v>
      </c>
    </row>
    <row r="199" spans="1:8">
      <c r="A199">
        <v>198</v>
      </c>
      <c r="B199" s="1">
        <v>46216</v>
      </c>
      <c r="C199" t="s">
        <v>200</v>
      </c>
      <c r="D199" t="s">
        <v>59</v>
      </c>
      <c r="E199">
        <v>374</v>
      </c>
      <c r="F199">
        <v>2</v>
      </c>
      <c r="G199">
        <v>1022</v>
      </c>
      <c r="H199" t="str">
        <f>TEXT(TbDespesas[[#This Row],[data_transacao]], "aaaa-mm")</f>
        <v>2026-07</v>
      </c>
    </row>
    <row r="200" spans="1:8">
      <c r="A200">
        <v>199</v>
      </c>
      <c r="B200" s="1">
        <v>46216</v>
      </c>
      <c r="C200" t="s">
        <v>200</v>
      </c>
      <c r="D200" t="s">
        <v>202</v>
      </c>
      <c r="E200">
        <v>312</v>
      </c>
      <c r="F200">
        <v>7</v>
      </c>
      <c r="G200">
        <v>2285</v>
      </c>
      <c r="H200" t="str">
        <f>TEXT(TbDespesas[[#This Row],[data_transacao]], "aaaa-mm")</f>
        <v>2026-07</v>
      </c>
    </row>
    <row r="201" spans="1:8">
      <c r="A201">
        <v>200</v>
      </c>
      <c r="B201" s="1">
        <v>46216</v>
      </c>
      <c r="C201" t="s">
        <v>200</v>
      </c>
      <c r="D201" t="s">
        <v>203</v>
      </c>
      <c r="E201">
        <v>392</v>
      </c>
      <c r="F201">
        <v>2</v>
      </c>
      <c r="G201">
        <v>822</v>
      </c>
      <c r="H201" t="str">
        <f>TEXT(TbDespesas[[#This Row],[data_transacao]], "aaaa-mm")</f>
        <v>2026-07</v>
      </c>
    </row>
    <row r="202" spans="1:8">
      <c r="A202">
        <v>201</v>
      </c>
      <c r="B202" s="1">
        <v>46216</v>
      </c>
      <c r="C202" t="s">
        <v>200</v>
      </c>
      <c r="D202" t="s">
        <v>204</v>
      </c>
      <c r="E202">
        <v>203</v>
      </c>
      <c r="F202">
        <v>3</v>
      </c>
      <c r="G202">
        <v>736</v>
      </c>
      <c r="H202" t="str">
        <f>TEXT(TbDespesas[[#This Row],[data_transacao]], "aaaa-mm")</f>
        <v>2026-07</v>
      </c>
    </row>
    <row r="203" spans="1:8">
      <c r="A203">
        <v>202</v>
      </c>
      <c r="B203" s="1">
        <v>46216</v>
      </c>
      <c r="C203" t="s">
        <v>200</v>
      </c>
      <c r="D203" t="s">
        <v>16</v>
      </c>
      <c r="E203">
        <v>419</v>
      </c>
      <c r="F203">
        <v>8</v>
      </c>
      <c r="G203">
        <v>3469</v>
      </c>
      <c r="H203" t="str">
        <f>TEXT(TbDespesas[[#This Row],[data_transacao]], "aaaa-mm")</f>
        <v>2026-07</v>
      </c>
    </row>
    <row r="204" spans="1:8">
      <c r="A204">
        <v>203</v>
      </c>
      <c r="B204" s="1">
        <v>46216</v>
      </c>
      <c r="C204" t="s">
        <v>200</v>
      </c>
      <c r="D204" t="s">
        <v>37</v>
      </c>
      <c r="E204">
        <v>200</v>
      </c>
      <c r="F204">
        <v>7</v>
      </c>
      <c r="G204">
        <v>1570</v>
      </c>
      <c r="H204" t="str">
        <f>TEXT(TbDespesas[[#This Row],[data_transacao]], "aaaa-mm")</f>
        <v>2026-07</v>
      </c>
    </row>
    <row r="205" spans="1:8">
      <c r="A205">
        <v>204</v>
      </c>
      <c r="B205" s="1">
        <v>46216</v>
      </c>
      <c r="C205" t="s">
        <v>200</v>
      </c>
      <c r="D205" t="s">
        <v>205</v>
      </c>
      <c r="E205">
        <v>165</v>
      </c>
      <c r="F205">
        <v>13</v>
      </c>
      <c r="G205">
        <v>2263</v>
      </c>
      <c r="H205" t="str">
        <f>TEXT(TbDespesas[[#This Row],[data_transacao]], "aaaa-mm")</f>
        <v>2026-07</v>
      </c>
    </row>
    <row r="206" spans="1:8">
      <c r="A206">
        <v>205</v>
      </c>
      <c r="B206" s="1">
        <v>45955</v>
      </c>
      <c r="C206" t="s">
        <v>206</v>
      </c>
      <c r="D206" t="s">
        <v>199</v>
      </c>
      <c r="E206">
        <v>241</v>
      </c>
      <c r="F206">
        <v>15</v>
      </c>
      <c r="G206">
        <v>3676</v>
      </c>
      <c r="H206" t="str">
        <f>TEXT(TbDespesas[[#This Row],[data_transacao]], "aaaa-mm")</f>
        <v>2025-10</v>
      </c>
    </row>
    <row r="207" spans="1:8">
      <c r="A207">
        <v>206</v>
      </c>
      <c r="B207" s="1">
        <v>45955</v>
      </c>
      <c r="C207" t="s">
        <v>206</v>
      </c>
      <c r="D207" t="s">
        <v>207</v>
      </c>
      <c r="E207">
        <v>254</v>
      </c>
      <c r="F207">
        <v>7</v>
      </c>
      <c r="G207">
        <v>1786</v>
      </c>
      <c r="H207" t="str">
        <f>TEXT(TbDespesas[[#This Row],[data_transacao]], "aaaa-mm")</f>
        <v>2025-10</v>
      </c>
    </row>
    <row r="208" spans="1:8">
      <c r="A208">
        <v>207</v>
      </c>
      <c r="B208" s="1">
        <v>45955</v>
      </c>
      <c r="C208" t="s">
        <v>206</v>
      </c>
      <c r="D208" t="s">
        <v>208</v>
      </c>
      <c r="E208">
        <v>18</v>
      </c>
      <c r="F208">
        <v>21</v>
      </c>
      <c r="G208">
        <v>390</v>
      </c>
      <c r="H208" t="str">
        <f>TEXT(TbDespesas[[#This Row],[data_transacao]], "aaaa-mm")</f>
        <v>2025-10</v>
      </c>
    </row>
    <row r="209" spans="1:8">
      <c r="A209">
        <v>208</v>
      </c>
      <c r="B209" s="1">
        <v>45955</v>
      </c>
      <c r="C209" t="s">
        <v>206</v>
      </c>
      <c r="D209" t="s">
        <v>209</v>
      </c>
      <c r="E209">
        <v>497</v>
      </c>
      <c r="F209">
        <v>1</v>
      </c>
      <c r="G209">
        <v>807</v>
      </c>
      <c r="H209" t="str">
        <f>TEXT(TbDespesas[[#This Row],[data_transacao]], "aaaa-mm")</f>
        <v>2025-10</v>
      </c>
    </row>
    <row r="210" spans="1:8">
      <c r="A210">
        <v>209</v>
      </c>
      <c r="B210" s="1">
        <v>46185</v>
      </c>
      <c r="C210" t="s">
        <v>210</v>
      </c>
      <c r="D210" t="s">
        <v>20</v>
      </c>
      <c r="E210">
        <v>243</v>
      </c>
      <c r="F210">
        <v>8</v>
      </c>
      <c r="G210">
        <v>2036</v>
      </c>
      <c r="H210" t="str">
        <f>TEXT(TbDespesas[[#This Row],[data_transacao]], "aaaa-mm")</f>
        <v>2026-06</v>
      </c>
    </row>
    <row r="211" spans="1:8">
      <c r="A211">
        <v>210</v>
      </c>
      <c r="B211" s="1">
        <v>46185</v>
      </c>
      <c r="C211" t="s">
        <v>210</v>
      </c>
      <c r="D211" t="s">
        <v>199</v>
      </c>
      <c r="E211">
        <v>159</v>
      </c>
      <c r="F211">
        <v>14</v>
      </c>
      <c r="G211">
        <v>2310</v>
      </c>
      <c r="H211" t="str">
        <f>TEXT(TbDespesas[[#This Row],[data_transacao]], "aaaa-mm")</f>
        <v>2026-06</v>
      </c>
    </row>
    <row r="212" spans="1:8">
      <c r="A212">
        <v>211</v>
      </c>
      <c r="B212" s="1">
        <v>46185</v>
      </c>
      <c r="C212" t="s">
        <v>210</v>
      </c>
      <c r="D212" t="s">
        <v>211</v>
      </c>
      <c r="E212">
        <v>370</v>
      </c>
      <c r="F212">
        <v>2</v>
      </c>
      <c r="G212">
        <v>875</v>
      </c>
      <c r="H212" t="str">
        <f>TEXT(TbDespesas[[#This Row],[data_transacao]], "aaaa-mm")</f>
        <v>2026-06</v>
      </c>
    </row>
    <row r="213" spans="1:8">
      <c r="A213">
        <v>212</v>
      </c>
      <c r="B213" s="1">
        <v>46185</v>
      </c>
      <c r="C213" t="s">
        <v>210</v>
      </c>
      <c r="D213" t="s">
        <v>212</v>
      </c>
      <c r="E213">
        <v>101</v>
      </c>
      <c r="F213">
        <v>30</v>
      </c>
      <c r="G213">
        <v>3040</v>
      </c>
      <c r="H213" t="str">
        <f>TEXT(TbDespesas[[#This Row],[data_transacao]], "aaaa-mm")</f>
        <v>2026-06</v>
      </c>
    </row>
    <row r="214" spans="1:8">
      <c r="A214">
        <v>213</v>
      </c>
      <c r="B214" s="1">
        <v>46185</v>
      </c>
      <c r="C214" t="s">
        <v>210</v>
      </c>
      <c r="D214" t="s">
        <v>60</v>
      </c>
      <c r="E214">
        <v>125</v>
      </c>
      <c r="F214">
        <v>14</v>
      </c>
      <c r="G214">
        <v>1836</v>
      </c>
      <c r="H214" t="str">
        <f>TEXT(TbDespesas[[#This Row],[data_transacao]], "aaaa-mm")</f>
        <v>2026-06</v>
      </c>
    </row>
    <row r="215" spans="1:8">
      <c r="A215">
        <v>214</v>
      </c>
      <c r="B215" s="1">
        <v>46185</v>
      </c>
      <c r="C215" t="s">
        <v>210</v>
      </c>
      <c r="D215" t="s">
        <v>213</v>
      </c>
      <c r="E215">
        <v>314</v>
      </c>
      <c r="F215">
        <v>7</v>
      </c>
      <c r="G215">
        <v>2292</v>
      </c>
      <c r="H215" t="str">
        <f>TEXT(TbDespesas[[#This Row],[data_transacao]], "aaaa-mm")</f>
        <v>2026-06</v>
      </c>
    </row>
    <row r="216" spans="1:8">
      <c r="A216">
        <v>215</v>
      </c>
      <c r="B216" s="1">
        <v>46185</v>
      </c>
      <c r="C216" t="s">
        <v>210</v>
      </c>
      <c r="D216" t="s">
        <v>214</v>
      </c>
      <c r="E216">
        <v>18</v>
      </c>
      <c r="F216">
        <v>106</v>
      </c>
      <c r="G216">
        <v>1913</v>
      </c>
      <c r="H216" t="str">
        <f>TEXT(TbDespesas[[#This Row],[data_transacao]], "aaaa-mm")</f>
        <v>2026-06</v>
      </c>
    </row>
    <row r="217" spans="1:8">
      <c r="A217">
        <v>216</v>
      </c>
      <c r="B217" s="1">
        <v>46185</v>
      </c>
      <c r="C217" t="s">
        <v>210</v>
      </c>
      <c r="D217" t="s">
        <v>215</v>
      </c>
      <c r="E217">
        <v>347</v>
      </c>
      <c r="F217">
        <v>4</v>
      </c>
      <c r="G217">
        <v>1629</v>
      </c>
      <c r="H217" t="str">
        <f>TEXT(TbDespesas[[#This Row],[data_transacao]], "aaaa-mm")</f>
        <v>2026-06</v>
      </c>
    </row>
    <row r="218" spans="1:8">
      <c r="A218">
        <v>217</v>
      </c>
      <c r="B218" s="1">
        <v>46185</v>
      </c>
      <c r="C218" t="s">
        <v>210</v>
      </c>
      <c r="D218" t="s">
        <v>216</v>
      </c>
      <c r="E218">
        <v>259</v>
      </c>
      <c r="F218">
        <v>9</v>
      </c>
      <c r="G218">
        <v>2470</v>
      </c>
      <c r="H218" t="str">
        <f>TEXT(TbDespesas[[#This Row],[data_transacao]], "aaaa-mm")</f>
        <v>2026-06</v>
      </c>
    </row>
    <row r="219" spans="1:8">
      <c r="A219">
        <v>218</v>
      </c>
      <c r="B219" s="1">
        <v>46185</v>
      </c>
      <c r="C219" t="s">
        <v>210</v>
      </c>
      <c r="D219" t="s">
        <v>217</v>
      </c>
      <c r="E219">
        <v>249</v>
      </c>
      <c r="F219">
        <v>6</v>
      </c>
      <c r="G219">
        <v>1699</v>
      </c>
      <c r="H219" t="str">
        <f>TEXT(TbDespesas[[#This Row],[data_transacao]], "aaaa-mm")</f>
        <v>2026-06</v>
      </c>
    </row>
    <row r="220" spans="1:8">
      <c r="A220">
        <v>219</v>
      </c>
      <c r="B220" s="1">
        <v>46185</v>
      </c>
      <c r="C220" t="s">
        <v>210</v>
      </c>
      <c r="D220" t="s">
        <v>87</v>
      </c>
      <c r="E220">
        <v>377</v>
      </c>
      <c r="F220">
        <v>9</v>
      </c>
      <c r="G220">
        <v>3448</v>
      </c>
      <c r="H220" t="str">
        <f>TEXT(TbDespesas[[#This Row],[data_transacao]], "aaaa-mm")</f>
        <v>2026-06</v>
      </c>
    </row>
    <row r="221" spans="1:8">
      <c r="A221">
        <v>220</v>
      </c>
      <c r="B221" s="1">
        <v>45924</v>
      </c>
      <c r="C221" t="s">
        <v>218</v>
      </c>
      <c r="D221" t="s">
        <v>25</v>
      </c>
      <c r="E221">
        <v>293</v>
      </c>
      <c r="F221">
        <v>11</v>
      </c>
      <c r="G221">
        <v>3248</v>
      </c>
      <c r="H221" t="str">
        <f>TEXT(TbDespesas[[#This Row],[data_transacao]], "aaaa-mm")</f>
        <v>2025-09</v>
      </c>
    </row>
    <row r="222" spans="1:8">
      <c r="A222">
        <v>221</v>
      </c>
      <c r="B222" s="1">
        <v>45924</v>
      </c>
      <c r="C222" t="s">
        <v>218</v>
      </c>
      <c r="D222" t="s">
        <v>219</v>
      </c>
      <c r="E222">
        <v>307</v>
      </c>
      <c r="F222">
        <v>6</v>
      </c>
      <c r="G222">
        <v>1994</v>
      </c>
      <c r="H222" t="str">
        <f>TEXT(TbDespesas[[#This Row],[data_transacao]], "aaaa-mm")</f>
        <v>2025-09</v>
      </c>
    </row>
    <row r="223" spans="1:8">
      <c r="A223">
        <v>222</v>
      </c>
      <c r="B223" s="1">
        <v>45924</v>
      </c>
      <c r="C223" t="s">
        <v>218</v>
      </c>
      <c r="D223" t="s">
        <v>95</v>
      </c>
      <c r="E223">
        <v>93</v>
      </c>
      <c r="F223">
        <v>27</v>
      </c>
      <c r="G223">
        <v>2547</v>
      </c>
      <c r="H223" t="str">
        <f>TEXT(TbDespesas[[#This Row],[data_transacao]], "aaaa-mm")</f>
        <v>2025-09</v>
      </c>
    </row>
    <row r="224" spans="1:8">
      <c r="A224">
        <v>223</v>
      </c>
      <c r="B224" s="1">
        <v>45924</v>
      </c>
      <c r="C224" t="s">
        <v>218</v>
      </c>
      <c r="D224" t="s">
        <v>220</v>
      </c>
      <c r="E224">
        <v>84</v>
      </c>
      <c r="F224">
        <v>50</v>
      </c>
      <c r="G224">
        <v>4273</v>
      </c>
      <c r="H224" t="str">
        <f>TEXT(TbDespesas[[#This Row],[data_transacao]], "aaaa-mm")</f>
        <v>2025-09</v>
      </c>
    </row>
    <row r="225" spans="1:8">
      <c r="A225">
        <v>224</v>
      </c>
      <c r="B225" s="1">
        <v>45924</v>
      </c>
      <c r="C225" t="s">
        <v>218</v>
      </c>
      <c r="D225" t="s">
        <v>87</v>
      </c>
      <c r="E225">
        <v>180</v>
      </c>
      <c r="F225">
        <v>18</v>
      </c>
      <c r="G225">
        <v>3295</v>
      </c>
      <c r="H225" t="str">
        <f>TEXT(TbDespesas[[#This Row],[data_transacao]], "aaaa-mm")</f>
        <v>2025-09</v>
      </c>
    </row>
    <row r="226" spans="1:8">
      <c r="A226">
        <v>225</v>
      </c>
      <c r="B226" s="1">
        <v>45998</v>
      </c>
      <c r="C226" t="s">
        <v>221</v>
      </c>
      <c r="D226" t="s">
        <v>222</v>
      </c>
      <c r="E226">
        <v>231</v>
      </c>
      <c r="F226">
        <v>9</v>
      </c>
      <c r="G226">
        <v>2213</v>
      </c>
      <c r="H226" t="str">
        <f>TEXT(TbDespesas[[#This Row],[data_transacao]], "aaaa-mm")</f>
        <v>2025-12</v>
      </c>
    </row>
    <row r="227" spans="1:8">
      <c r="A227">
        <v>226</v>
      </c>
      <c r="B227" s="1">
        <v>45998</v>
      </c>
      <c r="C227" t="s">
        <v>221</v>
      </c>
      <c r="D227" t="s">
        <v>175</v>
      </c>
      <c r="E227">
        <v>488</v>
      </c>
      <c r="F227">
        <v>4</v>
      </c>
      <c r="G227">
        <v>1964</v>
      </c>
      <c r="H227" t="str">
        <f>TEXT(TbDespesas[[#This Row],[data_transacao]], "aaaa-mm")</f>
        <v>2025-12</v>
      </c>
    </row>
    <row r="228" spans="1:8">
      <c r="A228">
        <v>227</v>
      </c>
      <c r="B228" s="1">
        <v>45998</v>
      </c>
      <c r="C228" t="s">
        <v>221</v>
      </c>
      <c r="D228" t="s">
        <v>197</v>
      </c>
      <c r="E228">
        <v>374</v>
      </c>
      <c r="F228">
        <v>4</v>
      </c>
      <c r="G228">
        <v>1517</v>
      </c>
      <c r="H228" t="str">
        <f>TEXT(TbDespesas[[#This Row],[data_transacao]], "aaaa-mm")</f>
        <v>2025-12</v>
      </c>
    </row>
    <row r="229" spans="1:8">
      <c r="A229">
        <v>228</v>
      </c>
      <c r="B229" s="1">
        <v>45998</v>
      </c>
      <c r="C229" t="s">
        <v>221</v>
      </c>
      <c r="D229" t="s">
        <v>158</v>
      </c>
      <c r="E229">
        <v>152</v>
      </c>
      <c r="F229">
        <v>7</v>
      </c>
      <c r="G229">
        <v>1175</v>
      </c>
      <c r="H229" t="str">
        <f>TEXT(TbDespesas[[#This Row],[data_transacao]], "aaaa-mm")</f>
        <v>2025-12</v>
      </c>
    </row>
    <row r="230" spans="1:8">
      <c r="A230">
        <v>229</v>
      </c>
      <c r="B230" s="1">
        <v>45998</v>
      </c>
      <c r="C230" t="s">
        <v>221</v>
      </c>
      <c r="D230" t="s">
        <v>39</v>
      </c>
      <c r="E230">
        <v>211</v>
      </c>
      <c r="F230">
        <v>8</v>
      </c>
      <c r="G230">
        <v>1782</v>
      </c>
      <c r="H230" t="str">
        <f>TEXT(TbDespesas[[#This Row],[data_transacao]], "aaaa-mm")</f>
        <v>2025-12</v>
      </c>
    </row>
    <row r="231" spans="1:8">
      <c r="A231">
        <v>230</v>
      </c>
      <c r="B231" s="1">
        <v>46123</v>
      </c>
      <c r="C231" t="s">
        <v>223</v>
      </c>
      <c r="D231" t="s">
        <v>224</v>
      </c>
      <c r="E231">
        <v>38</v>
      </c>
      <c r="F231">
        <v>59</v>
      </c>
      <c r="G231">
        <v>2268</v>
      </c>
      <c r="H231" t="str">
        <f>TEXT(TbDespesas[[#This Row],[data_transacao]], "aaaa-mm")</f>
        <v>2026-04</v>
      </c>
    </row>
    <row r="232" spans="1:8">
      <c r="A232">
        <v>231</v>
      </c>
      <c r="B232" s="1">
        <v>46123</v>
      </c>
      <c r="C232" t="s">
        <v>223</v>
      </c>
      <c r="D232" t="s">
        <v>225</v>
      </c>
      <c r="E232">
        <v>191</v>
      </c>
      <c r="F232">
        <v>7</v>
      </c>
      <c r="G232">
        <v>1518</v>
      </c>
      <c r="H232" t="str">
        <f>TEXT(TbDespesas[[#This Row],[data_transacao]], "aaaa-mm")</f>
        <v>2026-04</v>
      </c>
    </row>
    <row r="233" spans="1:8">
      <c r="A233">
        <v>232</v>
      </c>
      <c r="B233" s="1">
        <v>46123</v>
      </c>
      <c r="C233" t="s">
        <v>223</v>
      </c>
      <c r="D233" t="s">
        <v>226</v>
      </c>
      <c r="E233">
        <v>372</v>
      </c>
      <c r="F233">
        <v>8</v>
      </c>
      <c r="G233">
        <v>3305</v>
      </c>
      <c r="H233" t="str">
        <f>TEXT(TbDespesas[[#This Row],[data_transacao]], "aaaa-mm")</f>
        <v>2026-04</v>
      </c>
    </row>
    <row r="234" spans="1:8">
      <c r="A234">
        <v>233</v>
      </c>
      <c r="B234" s="1">
        <v>46123</v>
      </c>
      <c r="C234" t="s">
        <v>223</v>
      </c>
      <c r="D234" t="s">
        <v>227</v>
      </c>
      <c r="E234">
        <v>433</v>
      </c>
      <c r="F234">
        <v>1</v>
      </c>
      <c r="G234">
        <v>763</v>
      </c>
      <c r="H234" t="str">
        <f>TEXT(TbDespesas[[#This Row],[data_transacao]], "aaaa-mm")</f>
        <v>2026-04</v>
      </c>
    </row>
    <row r="235" spans="1:8">
      <c r="A235">
        <v>234</v>
      </c>
      <c r="B235" s="1">
        <v>46123</v>
      </c>
      <c r="C235" t="s">
        <v>223</v>
      </c>
      <c r="D235" t="s">
        <v>228</v>
      </c>
      <c r="E235">
        <v>437</v>
      </c>
      <c r="F235">
        <v>8</v>
      </c>
      <c r="G235">
        <v>3666</v>
      </c>
      <c r="H235" t="str">
        <f>TEXT(TbDespesas[[#This Row],[data_transacao]], "aaaa-mm")</f>
        <v>2026-04</v>
      </c>
    </row>
    <row r="236" spans="1:8">
      <c r="A236">
        <v>235</v>
      </c>
      <c r="B236" s="1">
        <v>46123</v>
      </c>
      <c r="C236" t="s">
        <v>223</v>
      </c>
      <c r="D236" t="s">
        <v>229</v>
      </c>
      <c r="E236">
        <v>335</v>
      </c>
      <c r="F236">
        <v>13</v>
      </c>
      <c r="G236">
        <v>4474</v>
      </c>
      <c r="H236" t="str">
        <f>TEXT(TbDespesas[[#This Row],[data_transacao]], "aaaa-mm")</f>
        <v>2026-04</v>
      </c>
    </row>
    <row r="237" spans="1:8">
      <c r="A237">
        <v>236</v>
      </c>
      <c r="B237" s="1">
        <v>46123</v>
      </c>
      <c r="C237" t="s">
        <v>223</v>
      </c>
      <c r="D237" t="s">
        <v>230</v>
      </c>
      <c r="E237">
        <v>323</v>
      </c>
      <c r="F237">
        <v>5</v>
      </c>
      <c r="G237">
        <v>1619</v>
      </c>
      <c r="H237" t="str">
        <f>TEXT(TbDespesas[[#This Row],[data_transacao]], "aaaa-mm")</f>
        <v>2026-04</v>
      </c>
    </row>
    <row r="238" spans="1:8">
      <c r="A238">
        <v>237</v>
      </c>
      <c r="B238" s="1">
        <v>46123</v>
      </c>
      <c r="C238" t="s">
        <v>223</v>
      </c>
      <c r="D238" t="s">
        <v>231</v>
      </c>
      <c r="E238">
        <v>152</v>
      </c>
      <c r="F238">
        <v>14</v>
      </c>
      <c r="G238">
        <v>2188</v>
      </c>
      <c r="H238" t="str">
        <f>TEXT(TbDespesas[[#This Row],[data_transacao]], "aaaa-mm")</f>
        <v>2026-04</v>
      </c>
    </row>
    <row r="239" spans="1:8">
      <c r="A239">
        <v>238</v>
      </c>
      <c r="B239" s="1">
        <v>46123</v>
      </c>
      <c r="C239" t="s">
        <v>223</v>
      </c>
      <c r="D239" t="s">
        <v>232</v>
      </c>
      <c r="E239">
        <v>55</v>
      </c>
      <c r="F239">
        <v>62</v>
      </c>
      <c r="G239">
        <v>3411</v>
      </c>
      <c r="H239" t="str">
        <f>TEXT(TbDespesas[[#This Row],[data_transacao]], "aaaa-mm")</f>
        <v>2026-04</v>
      </c>
    </row>
    <row r="240" spans="1:8">
      <c r="A240">
        <v>239</v>
      </c>
      <c r="B240" s="1">
        <v>46123</v>
      </c>
      <c r="C240" t="s">
        <v>223</v>
      </c>
      <c r="D240" t="s">
        <v>79</v>
      </c>
      <c r="E240">
        <v>327</v>
      </c>
      <c r="F240">
        <v>5</v>
      </c>
      <c r="G240">
        <v>1879</v>
      </c>
      <c r="H240" t="str">
        <f>TEXT(TbDespesas[[#This Row],[data_transacao]], "aaaa-mm")</f>
        <v>2026-04</v>
      </c>
    </row>
    <row r="241" spans="1:8">
      <c r="A241">
        <v>240</v>
      </c>
      <c r="B241" s="1">
        <v>46123</v>
      </c>
      <c r="C241" t="s">
        <v>223</v>
      </c>
      <c r="D241" t="s">
        <v>66</v>
      </c>
      <c r="E241">
        <v>21</v>
      </c>
      <c r="F241">
        <v>147</v>
      </c>
      <c r="G241">
        <v>3102</v>
      </c>
      <c r="H241" t="str">
        <f>TEXT(TbDespesas[[#This Row],[data_transacao]], "aaaa-mm")</f>
        <v>2026-04</v>
      </c>
    </row>
    <row r="242" spans="1:8">
      <c r="A242">
        <v>241</v>
      </c>
      <c r="B242" s="1">
        <v>46123</v>
      </c>
      <c r="C242" t="s">
        <v>223</v>
      </c>
      <c r="D242" t="s">
        <v>233</v>
      </c>
      <c r="E242">
        <v>15</v>
      </c>
      <c r="F242">
        <v>163</v>
      </c>
      <c r="G242">
        <v>2453</v>
      </c>
      <c r="H242" t="str">
        <f>TEXT(TbDespesas[[#This Row],[data_transacao]], "aaaa-mm")</f>
        <v>2026-04</v>
      </c>
    </row>
    <row r="243" spans="1:8">
      <c r="A243">
        <v>242</v>
      </c>
      <c r="B243" s="1">
        <v>46210</v>
      </c>
      <c r="C243" t="s">
        <v>234</v>
      </c>
      <c r="D243" t="s">
        <v>56</v>
      </c>
      <c r="E243">
        <v>43</v>
      </c>
      <c r="F243">
        <v>13</v>
      </c>
      <c r="G243">
        <v>570</v>
      </c>
      <c r="H243" t="str">
        <f>TEXT(TbDespesas[[#This Row],[data_transacao]], "aaaa-mm")</f>
        <v>2026-07</v>
      </c>
    </row>
    <row r="244" spans="1:8">
      <c r="A244">
        <v>243</v>
      </c>
      <c r="B244" s="1">
        <v>46210</v>
      </c>
      <c r="C244" t="s">
        <v>234</v>
      </c>
      <c r="D244" t="s">
        <v>33</v>
      </c>
      <c r="E244">
        <v>378</v>
      </c>
      <c r="F244">
        <v>8</v>
      </c>
      <c r="G244">
        <v>3285</v>
      </c>
      <c r="H244" t="str">
        <f>TEXT(TbDespesas[[#This Row],[data_transacao]], "aaaa-mm")</f>
        <v>2026-07</v>
      </c>
    </row>
    <row r="245" spans="1:8">
      <c r="A245">
        <v>244</v>
      </c>
      <c r="B245" s="1">
        <v>46210</v>
      </c>
      <c r="C245" t="s">
        <v>234</v>
      </c>
      <c r="D245" t="s">
        <v>235</v>
      </c>
      <c r="E245">
        <v>461</v>
      </c>
      <c r="F245">
        <v>1</v>
      </c>
      <c r="G245">
        <v>865</v>
      </c>
      <c r="H245" t="str">
        <f>TEXT(TbDespesas[[#This Row],[data_transacao]], "aaaa-mm")</f>
        <v>2026-07</v>
      </c>
    </row>
    <row r="246" spans="1:8">
      <c r="A246">
        <v>245</v>
      </c>
      <c r="B246" s="1">
        <v>46210</v>
      </c>
      <c r="C246" t="s">
        <v>234</v>
      </c>
      <c r="D246" t="s">
        <v>88</v>
      </c>
      <c r="E246">
        <v>213</v>
      </c>
      <c r="F246">
        <v>8</v>
      </c>
      <c r="G246">
        <v>1905</v>
      </c>
      <c r="H246" t="str">
        <f>TEXT(TbDespesas[[#This Row],[data_transacao]], "aaaa-mm")</f>
        <v>2026-07</v>
      </c>
    </row>
    <row r="247" spans="1:8">
      <c r="A247">
        <v>246</v>
      </c>
      <c r="B247" s="1">
        <v>46210</v>
      </c>
      <c r="C247" t="s">
        <v>234</v>
      </c>
      <c r="D247" t="s">
        <v>149</v>
      </c>
      <c r="E247">
        <v>451</v>
      </c>
      <c r="F247">
        <v>5</v>
      </c>
      <c r="G247">
        <v>2299</v>
      </c>
      <c r="H247" t="str">
        <f>TEXT(TbDespesas[[#This Row],[data_transacao]], "aaaa-mm")</f>
        <v>2026-07</v>
      </c>
    </row>
    <row r="248" spans="1:8">
      <c r="A248">
        <v>247</v>
      </c>
      <c r="B248" s="1">
        <v>46210</v>
      </c>
      <c r="C248" t="s">
        <v>234</v>
      </c>
      <c r="D248" t="s">
        <v>236</v>
      </c>
      <c r="E248">
        <v>33</v>
      </c>
      <c r="F248">
        <v>48</v>
      </c>
      <c r="G248">
        <v>1597</v>
      </c>
      <c r="H248" t="str">
        <f>TEXT(TbDespesas[[#This Row],[data_transacao]], "aaaa-mm")</f>
        <v>2026-07</v>
      </c>
    </row>
    <row r="249" spans="1:8">
      <c r="A249">
        <v>248</v>
      </c>
      <c r="B249" s="1">
        <v>46210</v>
      </c>
      <c r="C249" t="s">
        <v>234</v>
      </c>
      <c r="D249" t="s">
        <v>9</v>
      </c>
      <c r="E249">
        <v>99</v>
      </c>
      <c r="F249">
        <v>18</v>
      </c>
      <c r="G249">
        <v>1853</v>
      </c>
      <c r="H249" t="str">
        <f>TEXT(TbDespesas[[#This Row],[data_transacao]], "aaaa-mm")</f>
        <v>2026-07</v>
      </c>
    </row>
    <row r="250" spans="1:8">
      <c r="A250">
        <v>249</v>
      </c>
      <c r="B250" s="1">
        <v>46210</v>
      </c>
      <c r="C250" t="s">
        <v>234</v>
      </c>
      <c r="D250" t="s">
        <v>79</v>
      </c>
      <c r="E250">
        <v>465</v>
      </c>
      <c r="F250">
        <v>6</v>
      </c>
      <c r="G250">
        <v>3208</v>
      </c>
      <c r="H250" t="str">
        <f>TEXT(TbDespesas[[#This Row],[data_transacao]], "aaaa-mm")</f>
        <v>2026-07</v>
      </c>
    </row>
    <row r="251" spans="1:8">
      <c r="A251">
        <v>250</v>
      </c>
      <c r="B251" s="1">
        <v>46196</v>
      </c>
      <c r="C251" t="s">
        <v>237</v>
      </c>
      <c r="D251" t="s">
        <v>145</v>
      </c>
      <c r="E251">
        <v>76</v>
      </c>
      <c r="F251">
        <v>27</v>
      </c>
      <c r="G251">
        <v>2078</v>
      </c>
      <c r="H251" t="str">
        <f>TEXT(TbDespesas[[#This Row],[data_transacao]], "aaaa-mm")</f>
        <v>2026-06</v>
      </c>
    </row>
    <row r="252" spans="1:8">
      <c r="A252">
        <v>251</v>
      </c>
      <c r="B252" s="1">
        <v>46196</v>
      </c>
      <c r="C252" t="s">
        <v>237</v>
      </c>
      <c r="D252" t="s">
        <v>238</v>
      </c>
      <c r="E252">
        <v>166</v>
      </c>
      <c r="F252">
        <v>14</v>
      </c>
      <c r="G252">
        <v>2445</v>
      </c>
      <c r="H252" t="str">
        <f>TEXT(TbDespesas[[#This Row],[data_transacao]], "aaaa-mm")</f>
        <v>2026-06</v>
      </c>
    </row>
    <row r="253" spans="1:8">
      <c r="A253">
        <v>252</v>
      </c>
      <c r="B253" s="1">
        <v>46196</v>
      </c>
      <c r="C253" t="s">
        <v>237</v>
      </c>
      <c r="D253" t="s">
        <v>239</v>
      </c>
      <c r="E253">
        <v>201</v>
      </c>
      <c r="F253">
        <v>3</v>
      </c>
      <c r="G253">
        <v>685</v>
      </c>
      <c r="H253" t="str">
        <f>TEXT(TbDespesas[[#This Row],[data_transacao]], "aaaa-mm")</f>
        <v>2026-06</v>
      </c>
    </row>
    <row r="254" spans="1:8">
      <c r="A254">
        <v>253</v>
      </c>
      <c r="B254" s="1">
        <v>46196</v>
      </c>
      <c r="C254" t="s">
        <v>237</v>
      </c>
      <c r="D254" t="s">
        <v>240</v>
      </c>
      <c r="E254">
        <v>452</v>
      </c>
      <c r="F254">
        <v>7</v>
      </c>
      <c r="G254">
        <v>3293</v>
      </c>
      <c r="H254" t="str">
        <f>TEXT(TbDespesas[[#This Row],[data_transacao]], "aaaa-mm")</f>
        <v>2026-06</v>
      </c>
    </row>
    <row r="255" spans="1:8">
      <c r="A255">
        <v>254</v>
      </c>
      <c r="B255" s="1">
        <v>46196</v>
      </c>
      <c r="C255" t="s">
        <v>237</v>
      </c>
      <c r="D255" t="s">
        <v>241</v>
      </c>
      <c r="E255">
        <v>203</v>
      </c>
      <c r="F255">
        <v>12</v>
      </c>
      <c r="G255">
        <v>2442</v>
      </c>
      <c r="H255" t="str">
        <f>TEXT(TbDespesas[[#This Row],[data_transacao]], "aaaa-mm")</f>
        <v>2026-06</v>
      </c>
    </row>
    <row r="256" spans="1:8">
      <c r="A256">
        <v>255</v>
      </c>
      <c r="B256" s="1">
        <v>46196</v>
      </c>
      <c r="C256" t="s">
        <v>237</v>
      </c>
      <c r="D256" t="s">
        <v>242</v>
      </c>
      <c r="E256">
        <v>29</v>
      </c>
      <c r="F256">
        <v>52</v>
      </c>
      <c r="G256">
        <v>1532</v>
      </c>
      <c r="H256" t="str">
        <f>TEXT(TbDespesas[[#This Row],[data_transacao]], "aaaa-mm")</f>
        <v>2026-06</v>
      </c>
    </row>
    <row r="257" spans="1:8">
      <c r="A257">
        <v>256</v>
      </c>
      <c r="B257" s="1">
        <v>46196</v>
      </c>
      <c r="C257" t="s">
        <v>237</v>
      </c>
      <c r="D257" t="s">
        <v>243</v>
      </c>
      <c r="E257">
        <v>99</v>
      </c>
      <c r="F257">
        <v>33</v>
      </c>
      <c r="G257">
        <v>3303</v>
      </c>
      <c r="H257" t="str">
        <f>TEXT(TbDespesas[[#This Row],[data_transacao]], "aaaa-mm")</f>
        <v>2026-06</v>
      </c>
    </row>
    <row r="258" spans="1:8">
      <c r="A258">
        <v>257</v>
      </c>
      <c r="B258" s="1">
        <v>46087</v>
      </c>
      <c r="C258" t="s">
        <v>244</v>
      </c>
      <c r="D258" t="s">
        <v>26</v>
      </c>
      <c r="E258">
        <v>144</v>
      </c>
      <c r="F258">
        <v>12</v>
      </c>
      <c r="G258">
        <v>1807</v>
      </c>
      <c r="H258" t="str">
        <f>TEXT(TbDespesas[[#This Row],[data_transacao]], "aaaa-mm")</f>
        <v>2026-03</v>
      </c>
    </row>
    <row r="259" spans="1:8">
      <c r="A259">
        <v>258</v>
      </c>
      <c r="B259" s="1">
        <v>46194</v>
      </c>
      <c r="C259" t="s">
        <v>245</v>
      </c>
      <c r="D259" t="s">
        <v>126</v>
      </c>
      <c r="E259">
        <v>98</v>
      </c>
      <c r="F259">
        <v>16</v>
      </c>
      <c r="G259">
        <v>1631</v>
      </c>
      <c r="H259" t="str">
        <f>TEXT(TbDespesas[[#This Row],[data_transacao]], "aaaa-mm")</f>
        <v>2026-06</v>
      </c>
    </row>
    <row r="260" spans="1:8">
      <c r="A260">
        <v>259</v>
      </c>
      <c r="B260" s="1">
        <v>46194</v>
      </c>
      <c r="C260" t="s">
        <v>245</v>
      </c>
      <c r="D260" t="s">
        <v>174</v>
      </c>
      <c r="E260">
        <v>190</v>
      </c>
      <c r="F260">
        <v>7</v>
      </c>
      <c r="G260">
        <v>1449</v>
      </c>
      <c r="H260" t="str">
        <f>TEXT(TbDespesas[[#This Row],[data_transacao]], "aaaa-mm")</f>
        <v>2026-06</v>
      </c>
    </row>
    <row r="261" spans="1:8">
      <c r="A261">
        <v>260</v>
      </c>
      <c r="B261" s="1">
        <v>46194</v>
      </c>
      <c r="C261" t="s">
        <v>245</v>
      </c>
      <c r="D261" t="s">
        <v>246</v>
      </c>
      <c r="E261">
        <v>146</v>
      </c>
      <c r="F261">
        <v>1</v>
      </c>
      <c r="G261">
        <v>182</v>
      </c>
      <c r="H261" t="str">
        <f>TEXT(TbDespesas[[#This Row],[data_transacao]], "aaaa-mm")</f>
        <v>2026-06</v>
      </c>
    </row>
    <row r="262" spans="1:8">
      <c r="A262">
        <v>261</v>
      </c>
      <c r="B262" s="1">
        <v>46073</v>
      </c>
      <c r="C262" t="s">
        <v>247</v>
      </c>
      <c r="D262" t="s">
        <v>181</v>
      </c>
      <c r="E262">
        <v>409</v>
      </c>
      <c r="F262">
        <v>3</v>
      </c>
      <c r="G262">
        <v>1546</v>
      </c>
      <c r="H262" t="str">
        <f>TEXT(TbDespesas[[#This Row],[data_transacao]], "aaaa-mm")</f>
        <v>2026-02</v>
      </c>
    </row>
    <row r="263" spans="1:8">
      <c r="A263">
        <v>262</v>
      </c>
      <c r="B263" s="1">
        <v>46073</v>
      </c>
      <c r="C263" t="s">
        <v>247</v>
      </c>
      <c r="D263" t="s">
        <v>248</v>
      </c>
      <c r="E263">
        <v>19</v>
      </c>
      <c r="F263">
        <v>34</v>
      </c>
      <c r="G263">
        <v>647</v>
      </c>
      <c r="H263" t="str">
        <f>TEXT(TbDespesas[[#This Row],[data_transacao]], "aaaa-mm")</f>
        <v>2026-02</v>
      </c>
    </row>
    <row r="264" spans="1:8">
      <c r="A264">
        <v>263</v>
      </c>
      <c r="B264" s="1">
        <v>46073</v>
      </c>
      <c r="C264" t="s">
        <v>247</v>
      </c>
      <c r="D264" t="s">
        <v>249</v>
      </c>
      <c r="E264">
        <v>408</v>
      </c>
      <c r="F264">
        <v>4</v>
      </c>
      <c r="G264">
        <v>1844</v>
      </c>
      <c r="H264" t="str">
        <f>TEXT(TbDespesas[[#This Row],[data_transacao]], "aaaa-mm")</f>
        <v>2026-02</v>
      </c>
    </row>
    <row r="265" spans="1:8">
      <c r="A265">
        <v>264</v>
      </c>
      <c r="B265" s="1">
        <v>46073</v>
      </c>
      <c r="C265" t="s">
        <v>247</v>
      </c>
      <c r="D265" t="s">
        <v>250</v>
      </c>
      <c r="E265">
        <v>328</v>
      </c>
      <c r="F265">
        <v>7</v>
      </c>
      <c r="G265">
        <v>2612</v>
      </c>
      <c r="H265" t="str">
        <f>TEXT(TbDespesas[[#This Row],[data_transacao]], "aaaa-mm")</f>
        <v>2026-02</v>
      </c>
    </row>
    <row r="266" spans="1:8">
      <c r="A266">
        <v>265</v>
      </c>
      <c r="B266" s="1">
        <v>46073</v>
      </c>
      <c r="C266" t="s">
        <v>247</v>
      </c>
      <c r="D266" t="s">
        <v>251</v>
      </c>
      <c r="E266">
        <v>276</v>
      </c>
      <c r="F266">
        <v>8</v>
      </c>
      <c r="G266">
        <v>2395</v>
      </c>
      <c r="H266" t="str">
        <f>TEXT(TbDespesas[[#This Row],[data_transacao]], "aaaa-mm")</f>
        <v>2026-02</v>
      </c>
    </row>
    <row r="267" spans="1:8">
      <c r="A267">
        <v>266</v>
      </c>
      <c r="B267" s="1">
        <v>46073</v>
      </c>
      <c r="C267" t="s">
        <v>247</v>
      </c>
      <c r="D267" t="s">
        <v>43</v>
      </c>
      <c r="E267">
        <v>189</v>
      </c>
      <c r="F267">
        <v>3</v>
      </c>
      <c r="G267">
        <v>706</v>
      </c>
      <c r="H267" t="str">
        <f>TEXT(TbDespesas[[#This Row],[data_transacao]], "aaaa-mm")</f>
        <v>2026-02</v>
      </c>
    </row>
    <row r="268" spans="1:8">
      <c r="A268">
        <v>267</v>
      </c>
      <c r="B268" s="1">
        <v>46073</v>
      </c>
      <c r="C268" t="s">
        <v>247</v>
      </c>
      <c r="D268" t="s">
        <v>252</v>
      </c>
      <c r="E268">
        <v>475</v>
      </c>
      <c r="F268">
        <v>0</v>
      </c>
      <c r="G268">
        <v>361</v>
      </c>
      <c r="H268" t="str">
        <f>TEXT(TbDespesas[[#This Row],[data_transacao]], "aaaa-mm")</f>
        <v>2026-02</v>
      </c>
    </row>
    <row r="269" spans="1:8">
      <c r="A269">
        <v>268</v>
      </c>
      <c r="B269" s="1">
        <v>46073</v>
      </c>
      <c r="C269" t="s">
        <v>247</v>
      </c>
      <c r="D269" t="s">
        <v>10</v>
      </c>
      <c r="E269">
        <v>306</v>
      </c>
      <c r="F269">
        <v>10</v>
      </c>
      <c r="G269">
        <v>3225</v>
      </c>
      <c r="H269" t="str">
        <f>TEXT(TbDespesas[[#This Row],[data_transacao]], "aaaa-mm")</f>
        <v>2026-02</v>
      </c>
    </row>
    <row r="270" spans="1:8">
      <c r="A270">
        <v>269</v>
      </c>
      <c r="B270" s="1">
        <v>46073</v>
      </c>
      <c r="C270" t="s">
        <v>247</v>
      </c>
      <c r="D270" t="s">
        <v>253</v>
      </c>
      <c r="E270">
        <v>293</v>
      </c>
      <c r="F270">
        <v>5</v>
      </c>
      <c r="G270">
        <v>1593</v>
      </c>
      <c r="H270" t="str">
        <f>TEXT(TbDespesas[[#This Row],[data_transacao]], "aaaa-mm")</f>
        <v>2026-02</v>
      </c>
    </row>
    <row r="271" spans="1:8">
      <c r="A271">
        <v>270</v>
      </c>
      <c r="B271" s="1">
        <v>46110</v>
      </c>
      <c r="C271" t="s">
        <v>28</v>
      </c>
      <c r="D271" t="s">
        <v>254</v>
      </c>
      <c r="E271">
        <v>104</v>
      </c>
      <c r="F271">
        <v>19</v>
      </c>
      <c r="G271">
        <v>2054</v>
      </c>
      <c r="H271" t="str">
        <f>TEXT(TbDespesas[[#This Row],[data_transacao]], "aaaa-mm")</f>
        <v>2026-03</v>
      </c>
    </row>
    <row r="272" spans="1:8">
      <c r="A272">
        <v>271</v>
      </c>
      <c r="B272" s="1">
        <v>46110</v>
      </c>
      <c r="C272" t="s">
        <v>28</v>
      </c>
      <c r="D272" t="s">
        <v>148</v>
      </c>
      <c r="E272">
        <v>352</v>
      </c>
      <c r="F272">
        <v>3</v>
      </c>
      <c r="G272">
        <v>1371</v>
      </c>
      <c r="H272" t="str">
        <f>TEXT(TbDespesas[[#This Row],[data_transacao]], "aaaa-mm")</f>
        <v>2026-03</v>
      </c>
    </row>
    <row r="273" spans="1:8">
      <c r="A273">
        <v>272</v>
      </c>
      <c r="B273" s="1">
        <v>46110</v>
      </c>
      <c r="C273" t="s">
        <v>28</v>
      </c>
      <c r="D273" t="s">
        <v>127</v>
      </c>
      <c r="E273">
        <v>133</v>
      </c>
      <c r="F273">
        <v>16</v>
      </c>
      <c r="G273">
        <v>2216</v>
      </c>
      <c r="H273" t="str">
        <f>TEXT(TbDespesas[[#This Row],[data_transacao]], "aaaa-mm")</f>
        <v>2026-03</v>
      </c>
    </row>
    <row r="274" spans="1:8">
      <c r="A274">
        <v>273</v>
      </c>
      <c r="B274" s="1">
        <v>46179</v>
      </c>
      <c r="C274" t="s">
        <v>223</v>
      </c>
      <c r="D274" t="s">
        <v>255</v>
      </c>
      <c r="E274">
        <v>194</v>
      </c>
      <c r="F274">
        <v>9</v>
      </c>
      <c r="G274">
        <v>1786</v>
      </c>
      <c r="H274" t="str">
        <f>TEXT(TbDespesas[[#This Row],[data_transacao]], "aaaa-mm")</f>
        <v>2026-06</v>
      </c>
    </row>
    <row r="275" spans="1:8">
      <c r="A275">
        <v>274</v>
      </c>
      <c r="B275" s="1">
        <v>46179</v>
      </c>
      <c r="C275" t="s">
        <v>223</v>
      </c>
      <c r="D275" t="s">
        <v>91</v>
      </c>
      <c r="E275">
        <v>241</v>
      </c>
      <c r="F275">
        <v>8</v>
      </c>
      <c r="G275">
        <v>2147</v>
      </c>
      <c r="H275" t="str">
        <f>TEXT(TbDespesas[[#This Row],[data_transacao]], "aaaa-mm")</f>
        <v>2026-06</v>
      </c>
    </row>
    <row r="276" spans="1:8">
      <c r="A276">
        <v>275</v>
      </c>
      <c r="B276" s="1">
        <v>46179</v>
      </c>
      <c r="C276" t="s">
        <v>223</v>
      </c>
      <c r="D276" t="s">
        <v>256</v>
      </c>
      <c r="E276">
        <v>122</v>
      </c>
      <c r="F276">
        <v>16</v>
      </c>
      <c r="G276">
        <v>1967</v>
      </c>
      <c r="H276" t="str">
        <f>TEXT(TbDespesas[[#This Row],[data_transacao]], "aaaa-mm")</f>
        <v>2026-06</v>
      </c>
    </row>
    <row r="277" spans="1:8">
      <c r="A277">
        <v>276</v>
      </c>
      <c r="B277" s="1">
        <v>46179</v>
      </c>
      <c r="C277" t="s">
        <v>223</v>
      </c>
      <c r="D277" t="s">
        <v>257</v>
      </c>
      <c r="E277">
        <v>425</v>
      </c>
      <c r="F277">
        <v>2</v>
      </c>
      <c r="G277">
        <v>1236</v>
      </c>
      <c r="H277" t="str">
        <f>TEXT(TbDespesas[[#This Row],[data_transacao]], "aaaa-mm")</f>
        <v>2026-06</v>
      </c>
    </row>
    <row r="278" spans="1:8">
      <c r="A278">
        <v>277</v>
      </c>
      <c r="B278" s="1">
        <v>46179</v>
      </c>
      <c r="C278" t="s">
        <v>223</v>
      </c>
      <c r="D278" t="s">
        <v>258</v>
      </c>
      <c r="E278">
        <v>458</v>
      </c>
      <c r="F278">
        <v>2</v>
      </c>
      <c r="G278">
        <v>1170</v>
      </c>
      <c r="H278" t="str">
        <f>TEXT(TbDespesas[[#This Row],[data_transacao]], "aaaa-mm")</f>
        <v>2026-06</v>
      </c>
    </row>
    <row r="279" spans="1:8">
      <c r="A279">
        <v>278</v>
      </c>
      <c r="B279" s="1">
        <v>46179</v>
      </c>
      <c r="C279" t="s">
        <v>223</v>
      </c>
      <c r="D279" t="s">
        <v>259</v>
      </c>
      <c r="E279">
        <v>20</v>
      </c>
      <c r="F279">
        <v>24</v>
      </c>
      <c r="G279">
        <v>495</v>
      </c>
      <c r="H279" t="str">
        <f>TEXT(TbDespesas[[#This Row],[data_transacao]], "aaaa-mm")</f>
        <v>2026-06</v>
      </c>
    </row>
    <row r="280" spans="1:8">
      <c r="A280">
        <v>279</v>
      </c>
      <c r="B280" s="1">
        <v>46220</v>
      </c>
      <c r="C280" t="s">
        <v>13</v>
      </c>
      <c r="D280" t="s">
        <v>35</v>
      </c>
      <c r="E280">
        <v>362</v>
      </c>
      <c r="F280">
        <v>3</v>
      </c>
      <c r="G280">
        <v>1405</v>
      </c>
      <c r="H280" t="str">
        <f>TEXT(TbDespesas[[#This Row],[data_transacao]], "aaaa-mm")</f>
        <v>2026-07</v>
      </c>
    </row>
    <row r="281" spans="1:8">
      <c r="A281">
        <v>280</v>
      </c>
      <c r="B281" s="1">
        <v>46220</v>
      </c>
      <c r="C281" t="s">
        <v>13</v>
      </c>
      <c r="D281" t="s">
        <v>260</v>
      </c>
      <c r="E281">
        <v>289</v>
      </c>
      <c r="F281">
        <v>6</v>
      </c>
      <c r="G281">
        <v>1839</v>
      </c>
      <c r="H281" t="str">
        <f>TEXT(TbDespesas[[#This Row],[data_transacao]], "aaaa-mm")</f>
        <v>2026-07</v>
      </c>
    </row>
    <row r="282" spans="1:8">
      <c r="A282">
        <v>281</v>
      </c>
      <c r="B282" s="1">
        <v>46220</v>
      </c>
      <c r="C282" t="s">
        <v>13</v>
      </c>
      <c r="D282" t="s">
        <v>181</v>
      </c>
      <c r="E282">
        <v>445</v>
      </c>
      <c r="F282">
        <v>7</v>
      </c>
      <c r="G282">
        <v>3427</v>
      </c>
      <c r="H282" t="str">
        <f>TEXT(TbDespesas[[#This Row],[data_transacao]], "aaaa-mm")</f>
        <v>2026-07</v>
      </c>
    </row>
    <row r="283" spans="1:8">
      <c r="A283">
        <v>282</v>
      </c>
      <c r="B283" s="1">
        <v>46220</v>
      </c>
      <c r="C283" t="s">
        <v>13</v>
      </c>
      <c r="D283" t="s">
        <v>261</v>
      </c>
      <c r="E283">
        <v>58</v>
      </c>
      <c r="F283">
        <v>8</v>
      </c>
      <c r="G283">
        <v>475</v>
      </c>
      <c r="H283" t="str">
        <f>TEXT(TbDespesas[[#This Row],[data_transacao]], "aaaa-mm")</f>
        <v>2026-07</v>
      </c>
    </row>
    <row r="284" spans="1:8">
      <c r="A284">
        <v>283</v>
      </c>
      <c r="B284" s="1">
        <v>46220</v>
      </c>
      <c r="C284" t="s">
        <v>13</v>
      </c>
      <c r="D284" t="s">
        <v>173</v>
      </c>
      <c r="E284">
        <v>235</v>
      </c>
      <c r="F284">
        <v>11</v>
      </c>
      <c r="G284">
        <v>2700</v>
      </c>
      <c r="H284" t="str">
        <f>TEXT(TbDespesas[[#This Row],[data_transacao]], "aaaa-mm")</f>
        <v>2026-07</v>
      </c>
    </row>
    <row r="285" spans="1:8">
      <c r="A285">
        <v>284</v>
      </c>
      <c r="B285" s="1">
        <v>46220</v>
      </c>
      <c r="C285" t="s">
        <v>13</v>
      </c>
      <c r="D285" t="s">
        <v>262</v>
      </c>
      <c r="E285">
        <v>140</v>
      </c>
      <c r="F285">
        <v>20</v>
      </c>
      <c r="G285">
        <v>2918</v>
      </c>
      <c r="H285" t="str">
        <f>TEXT(TbDespesas[[#This Row],[data_transacao]], "aaaa-mm")</f>
        <v>2026-07</v>
      </c>
    </row>
    <row r="286" spans="1:8">
      <c r="A286">
        <v>285</v>
      </c>
      <c r="B286" s="1">
        <v>46220</v>
      </c>
      <c r="C286" t="s">
        <v>13</v>
      </c>
      <c r="D286" t="s">
        <v>59</v>
      </c>
      <c r="E286">
        <v>363</v>
      </c>
      <c r="F286">
        <v>6</v>
      </c>
      <c r="G286">
        <v>2362</v>
      </c>
      <c r="H286" t="str">
        <f>TEXT(TbDespesas[[#This Row],[data_transacao]], "aaaa-mm")</f>
        <v>2026-07</v>
      </c>
    </row>
    <row r="287" spans="1:8">
      <c r="A287">
        <v>286</v>
      </c>
      <c r="B287" s="1">
        <v>46220</v>
      </c>
      <c r="C287" t="s">
        <v>13</v>
      </c>
      <c r="D287" t="s">
        <v>263</v>
      </c>
      <c r="E287">
        <v>359</v>
      </c>
      <c r="F287">
        <v>10</v>
      </c>
      <c r="G287">
        <v>3756</v>
      </c>
      <c r="H287" t="str">
        <f>TEXT(TbDespesas[[#This Row],[data_transacao]], "aaaa-mm")</f>
        <v>2026-07</v>
      </c>
    </row>
    <row r="288" spans="1:8">
      <c r="A288">
        <v>287</v>
      </c>
      <c r="B288" s="1">
        <v>46220</v>
      </c>
      <c r="C288" t="s">
        <v>13</v>
      </c>
      <c r="D288" t="s">
        <v>264</v>
      </c>
      <c r="E288">
        <v>276</v>
      </c>
      <c r="F288">
        <v>16</v>
      </c>
      <c r="G288">
        <v>4591</v>
      </c>
      <c r="H288" t="str">
        <f>TEXT(TbDespesas[[#This Row],[data_transacao]], "aaaa-mm")</f>
        <v>2026-07</v>
      </c>
    </row>
    <row r="289" spans="1:8">
      <c r="A289">
        <v>288</v>
      </c>
      <c r="B289" s="1">
        <v>46220</v>
      </c>
      <c r="C289" t="s">
        <v>13</v>
      </c>
      <c r="D289" t="s">
        <v>265</v>
      </c>
      <c r="E289">
        <v>227</v>
      </c>
      <c r="F289">
        <v>6</v>
      </c>
      <c r="G289">
        <v>1487</v>
      </c>
      <c r="H289" t="str">
        <f>TEXT(TbDespesas[[#This Row],[data_transacao]], "aaaa-mm")</f>
        <v>2026-07</v>
      </c>
    </row>
    <row r="290" spans="1:8">
      <c r="A290">
        <v>289</v>
      </c>
      <c r="B290" s="1">
        <v>45931</v>
      </c>
      <c r="C290" t="s">
        <v>266</v>
      </c>
      <c r="D290" t="s">
        <v>60</v>
      </c>
      <c r="E290">
        <v>269</v>
      </c>
      <c r="F290">
        <v>1</v>
      </c>
      <c r="G290">
        <v>383</v>
      </c>
      <c r="H290" t="str">
        <f>TEXT(TbDespesas[[#This Row],[data_transacao]], "aaaa-mm")</f>
        <v>2025-10</v>
      </c>
    </row>
    <row r="291" spans="1:8">
      <c r="A291">
        <v>290</v>
      </c>
      <c r="B291" s="1">
        <v>45931</v>
      </c>
      <c r="C291" t="s">
        <v>266</v>
      </c>
      <c r="D291" t="s">
        <v>267</v>
      </c>
      <c r="E291">
        <v>188</v>
      </c>
      <c r="F291">
        <v>10</v>
      </c>
      <c r="G291">
        <v>1927</v>
      </c>
      <c r="H291" t="str">
        <f>TEXT(TbDespesas[[#This Row],[data_transacao]], "aaaa-mm")</f>
        <v>2025-10</v>
      </c>
    </row>
    <row r="292" spans="1:8">
      <c r="A292">
        <v>291</v>
      </c>
      <c r="B292" s="1">
        <v>45931</v>
      </c>
      <c r="C292" t="s">
        <v>266</v>
      </c>
      <c r="D292" t="s">
        <v>268</v>
      </c>
      <c r="E292">
        <v>365</v>
      </c>
      <c r="F292">
        <v>5</v>
      </c>
      <c r="G292">
        <v>2019</v>
      </c>
      <c r="H292" t="str">
        <f>TEXT(TbDespesas[[#This Row],[data_transacao]], "aaaa-mm")</f>
        <v>2025-10</v>
      </c>
    </row>
    <row r="293" spans="1:8">
      <c r="A293">
        <v>292</v>
      </c>
      <c r="B293" s="1">
        <v>45931</v>
      </c>
      <c r="C293" t="s">
        <v>266</v>
      </c>
      <c r="D293" t="s">
        <v>269</v>
      </c>
      <c r="E293">
        <v>302</v>
      </c>
      <c r="F293">
        <v>4</v>
      </c>
      <c r="G293">
        <v>1487</v>
      </c>
      <c r="H293" t="str">
        <f>TEXT(TbDespesas[[#This Row],[data_transacao]], "aaaa-mm")</f>
        <v>2025-10</v>
      </c>
    </row>
    <row r="294" spans="1:8">
      <c r="A294">
        <v>293</v>
      </c>
      <c r="B294" s="1">
        <v>45931</v>
      </c>
      <c r="C294" t="s">
        <v>266</v>
      </c>
      <c r="D294" t="s">
        <v>8</v>
      </c>
      <c r="E294">
        <v>22</v>
      </c>
      <c r="F294">
        <v>161</v>
      </c>
      <c r="G294">
        <v>3547</v>
      </c>
      <c r="H294" t="str">
        <f>TEXT(TbDespesas[[#This Row],[data_transacao]], "aaaa-mm")</f>
        <v>2025-10</v>
      </c>
    </row>
    <row r="295" spans="1:8">
      <c r="A295">
        <v>294</v>
      </c>
      <c r="B295" s="1">
        <v>45931</v>
      </c>
      <c r="C295" t="s">
        <v>266</v>
      </c>
      <c r="D295" t="s">
        <v>270</v>
      </c>
      <c r="E295">
        <v>225</v>
      </c>
      <c r="F295">
        <v>9</v>
      </c>
      <c r="G295">
        <v>2223</v>
      </c>
      <c r="H295" t="str">
        <f>TEXT(TbDespesas[[#This Row],[data_transacao]], "aaaa-mm")</f>
        <v>2025-10</v>
      </c>
    </row>
    <row r="296" spans="1:8">
      <c r="A296">
        <v>295</v>
      </c>
      <c r="B296" s="1">
        <v>45931</v>
      </c>
      <c r="C296" t="s">
        <v>266</v>
      </c>
      <c r="D296" t="s">
        <v>271</v>
      </c>
      <c r="E296">
        <v>199</v>
      </c>
      <c r="F296">
        <v>13</v>
      </c>
      <c r="G296">
        <v>2780</v>
      </c>
      <c r="H296" t="str">
        <f>TEXT(TbDespesas[[#This Row],[data_transacao]], "aaaa-mm")</f>
        <v>2025-10</v>
      </c>
    </row>
    <row r="297" spans="1:8">
      <c r="A297">
        <v>296</v>
      </c>
      <c r="B297" s="1">
        <v>45931</v>
      </c>
      <c r="C297" t="s">
        <v>266</v>
      </c>
      <c r="D297" t="s">
        <v>272</v>
      </c>
      <c r="E297">
        <v>135</v>
      </c>
      <c r="F297">
        <v>17</v>
      </c>
      <c r="G297">
        <v>2389</v>
      </c>
      <c r="H297" t="str">
        <f>TEXT(TbDespesas[[#This Row],[data_transacao]], "aaaa-mm")</f>
        <v>2025-10</v>
      </c>
    </row>
    <row r="298" spans="1:8">
      <c r="A298">
        <v>297</v>
      </c>
      <c r="B298" s="1">
        <v>45931</v>
      </c>
      <c r="C298" t="s">
        <v>266</v>
      </c>
      <c r="D298" t="s">
        <v>273</v>
      </c>
      <c r="E298">
        <v>424</v>
      </c>
      <c r="F298">
        <v>5</v>
      </c>
      <c r="G298">
        <v>2261</v>
      </c>
      <c r="H298" t="str">
        <f>TEXT(TbDespesas[[#This Row],[data_transacao]], "aaaa-mm")</f>
        <v>2025-10</v>
      </c>
    </row>
    <row r="299" spans="1:8">
      <c r="A299">
        <v>298</v>
      </c>
      <c r="B299" s="1">
        <v>45931</v>
      </c>
      <c r="C299" t="s">
        <v>266</v>
      </c>
      <c r="D299" t="s">
        <v>274</v>
      </c>
      <c r="E299">
        <v>30</v>
      </c>
      <c r="F299">
        <v>76</v>
      </c>
      <c r="G299">
        <v>2296</v>
      </c>
      <c r="H299" t="str">
        <f>TEXT(TbDespesas[[#This Row],[data_transacao]], "aaaa-mm")</f>
        <v>2025-10</v>
      </c>
    </row>
    <row r="300" spans="1:8">
      <c r="A300">
        <v>299</v>
      </c>
      <c r="B300" s="1">
        <v>45918</v>
      </c>
      <c r="C300" t="s">
        <v>245</v>
      </c>
      <c r="D300" t="s">
        <v>275</v>
      </c>
      <c r="E300">
        <v>111</v>
      </c>
      <c r="F300">
        <v>10</v>
      </c>
      <c r="G300">
        <v>1132</v>
      </c>
      <c r="H300" t="str">
        <f>TEXT(TbDespesas[[#This Row],[data_transacao]], "aaaa-mm")</f>
        <v>2025-09</v>
      </c>
    </row>
    <row r="301" spans="1:8">
      <c r="A301">
        <v>300</v>
      </c>
      <c r="B301" s="1">
        <v>45918</v>
      </c>
      <c r="C301" t="s">
        <v>245</v>
      </c>
      <c r="D301" t="s">
        <v>276</v>
      </c>
      <c r="E301">
        <v>48</v>
      </c>
      <c r="F301">
        <v>22</v>
      </c>
      <c r="G301">
        <v>1076</v>
      </c>
      <c r="H301" t="str">
        <f>TEXT(TbDespesas[[#This Row],[data_transacao]], "aaaa-mm")</f>
        <v>2025-09</v>
      </c>
    </row>
    <row r="302" spans="1:8">
      <c r="A302">
        <v>301</v>
      </c>
      <c r="B302" s="1">
        <v>45918</v>
      </c>
      <c r="C302" t="s">
        <v>245</v>
      </c>
      <c r="D302" t="s">
        <v>277</v>
      </c>
      <c r="E302">
        <v>378</v>
      </c>
      <c r="F302">
        <v>6</v>
      </c>
      <c r="G302">
        <v>2559</v>
      </c>
      <c r="H302" t="str">
        <f>TEXT(TbDespesas[[#This Row],[data_transacao]], "aaaa-mm")</f>
        <v>2025-09</v>
      </c>
    </row>
    <row r="303" spans="1:8">
      <c r="A303">
        <v>302</v>
      </c>
      <c r="B303" s="1">
        <v>45918</v>
      </c>
      <c r="C303" t="s">
        <v>245</v>
      </c>
      <c r="D303" t="s">
        <v>278</v>
      </c>
      <c r="E303">
        <v>431</v>
      </c>
      <c r="F303">
        <v>4</v>
      </c>
      <c r="G303">
        <v>2133</v>
      </c>
      <c r="H303" t="str">
        <f>TEXT(TbDespesas[[#This Row],[data_transacao]], "aaaa-mm")</f>
        <v>2025-09</v>
      </c>
    </row>
    <row r="304" spans="1:8">
      <c r="A304">
        <v>303</v>
      </c>
      <c r="B304" s="1">
        <v>45918</v>
      </c>
      <c r="C304" t="s">
        <v>245</v>
      </c>
      <c r="D304" t="s">
        <v>39</v>
      </c>
      <c r="E304">
        <v>227</v>
      </c>
      <c r="F304">
        <v>11</v>
      </c>
      <c r="G304">
        <v>2717</v>
      </c>
      <c r="H304" t="str">
        <f>TEXT(TbDespesas[[#This Row],[data_transacao]], "aaaa-mm")</f>
        <v>2025-09</v>
      </c>
    </row>
    <row r="305" spans="1:8">
      <c r="A305">
        <v>304</v>
      </c>
      <c r="B305" s="1">
        <v>46121</v>
      </c>
      <c r="C305" t="s">
        <v>279</v>
      </c>
      <c r="D305" t="s">
        <v>193</v>
      </c>
      <c r="E305">
        <v>460</v>
      </c>
      <c r="F305">
        <v>4</v>
      </c>
      <c r="G305">
        <v>2002</v>
      </c>
      <c r="H305" t="str">
        <f>TEXT(TbDespesas[[#This Row],[data_transacao]], "aaaa-mm")</f>
        <v>2026-04</v>
      </c>
    </row>
    <row r="306" spans="1:8">
      <c r="A306">
        <v>305</v>
      </c>
      <c r="B306" s="1">
        <v>46121</v>
      </c>
      <c r="C306" t="s">
        <v>279</v>
      </c>
      <c r="D306" t="s">
        <v>113</v>
      </c>
      <c r="E306">
        <v>214</v>
      </c>
      <c r="F306">
        <v>10</v>
      </c>
      <c r="G306">
        <v>2342</v>
      </c>
      <c r="H306" t="str">
        <f>TEXT(TbDespesas[[#This Row],[data_transacao]], "aaaa-mm")</f>
        <v>2026-04</v>
      </c>
    </row>
    <row r="307" spans="1:8">
      <c r="A307">
        <v>306</v>
      </c>
      <c r="B307" s="1">
        <v>46121</v>
      </c>
      <c r="C307" t="s">
        <v>279</v>
      </c>
      <c r="D307" t="s">
        <v>280</v>
      </c>
      <c r="E307">
        <v>200</v>
      </c>
      <c r="F307">
        <v>3</v>
      </c>
      <c r="G307">
        <v>633</v>
      </c>
      <c r="H307" t="str">
        <f>TEXT(TbDespesas[[#This Row],[data_transacao]], "aaaa-mm")</f>
        <v>2026-04</v>
      </c>
    </row>
    <row r="308" spans="1:8">
      <c r="A308">
        <v>307</v>
      </c>
      <c r="B308" s="1">
        <v>46121</v>
      </c>
      <c r="C308" t="s">
        <v>279</v>
      </c>
      <c r="D308" t="s">
        <v>152</v>
      </c>
      <c r="E308">
        <v>223</v>
      </c>
      <c r="F308">
        <v>1</v>
      </c>
      <c r="G308">
        <v>422</v>
      </c>
      <c r="H308" t="str">
        <f>TEXT(TbDespesas[[#This Row],[data_transacao]], "aaaa-mm")</f>
        <v>2026-04</v>
      </c>
    </row>
    <row r="309" spans="1:8">
      <c r="A309">
        <v>308</v>
      </c>
      <c r="B309" s="1">
        <v>46121</v>
      </c>
      <c r="C309" t="s">
        <v>279</v>
      </c>
      <c r="D309" t="s">
        <v>281</v>
      </c>
      <c r="E309">
        <v>412</v>
      </c>
      <c r="F309">
        <v>3</v>
      </c>
      <c r="G309">
        <v>1570</v>
      </c>
      <c r="H309" t="str">
        <f>TEXT(TbDespesas[[#This Row],[data_transacao]], "aaaa-mm")</f>
        <v>2026-04</v>
      </c>
    </row>
    <row r="310" spans="1:8">
      <c r="A310">
        <v>309</v>
      </c>
      <c r="B310" s="1">
        <v>46121</v>
      </c>
      <c r="C310" t="s">
        <v>279</v>
      </c>
      <c r="D310" t="s">
        <v>282</v>
      </c>
      <c r="E310">
        <v>380</v>
      </c>
      <c r="F310">
        <v>7</v>
      </c>
      <c r="G310">
        <v>2736</v>
      </c>
      <c r="H310" t="str">
        <f>TEXT(TbDespesas[[#This Row],[data_transacao]], "aaaa-mm")</f>
        <v>2026-04</v>
      </c>
    </row>
    <row r="311" spans="1:8">
      <c r="A311">
        <v>310</v>
      </c>
      <c r="B311" s="1">
        <v>46121</v>
      </c>
      <c r="C311" t="s">
        <v>279</v>
      </c>
      <c r="D311" t="s">
        <v>283</v>
      </c>
      <c r="E311">
        <v>145</v>
      </c>
      <c r="F311">
        <v>11</v>
      </c>
      <c r="G311">
        <v>1667</v>
      </c>
      <c r="H311" t="str">
        <f>TEXT(TbDespesas[[#This Row],[data_transacao]], "aaaa-mm")</f>
        <v>2026-04</v>
      </c>
    </row>
    <row r="312" spans="1:8">
      <c r="A312">
        <v>311</v>
      </c>
      <c r="B312" s="1">
        <v>46121</v>
      </c>
      <c r="C312" t="s">
        <v>279</v>
      </c>
      <c r="D312" t="s">
        <v>284</v>
      </c>
      <c r="E312">
        <v>263</v>
      </c>
      <c r="F312">
        <v>9</v>
      </c>
      <c r="G312">
        <v>2597</v>
      </c>
      <c r="H312" t="str">
        <f>TEXT(TbDespesas[[#This Row],[data_transacao]], "aaaa-mm")</f>
        <v>2026-04</v>
      </c>
    </row>
    <row r="313" spans="1:8">
      <c r="A313">
        <v>312</v>
      </c>
      <c r="B313" s="1">
        <v>46121</v>
      </c>
      <c r="C313" t="s">
        <v>279</v>
      </c>
      <c r="D313" t="s">
        <v>285</v>
      </c>
      <c r="E313">
        <v>450</v>
      </c>
      <c r="F313">
        <v>8</v>
      </c>
      <c r="G313">
        <v>3635</v>
      </c>
      <c r="H313" t="str">
        <f>TEXT(TbDespesas[[#This Row],[data_transacao]], "aaaa-mm")</f>
        <v>2026-04</v>
      </c>
    </row>
    <row r="314" spans="1:8">
      <c r="A314">
        <v>313</v>
      </c>
      <c r="B314" s="1">
        <v>46121</v>
      </c>
      <c r="C314" t="s">
        <v>279</v>
      </c>
      <c r="D314" t="s">
        <v>286</v>
      </c>
      <c r="E314">
        <v>441</v>
      </c>
      <c r="F314">
        <v>10</v>
      </c>
      <c r="G314">
        <v>4849</v>
      </c>
      <c r="H314" t="str">
        <f>TEXT(TbDespesas[[#This Row],[data_transacao]], "aaaa-mm")</f>
        <v>2026-04</v>
      </c>
    </row>
    <row r="315" spans="1:8">
      <c r="A315">
        <v>314</v>
      </c>
      <c r="B315" s="1">
        <v>45924</v>
      </c>
      <c r="C315" t="s">
        <v>287</v>
      </c>
      <c r="D315" t="s">
        <v>151</v>
      </c>
      <c r="E315">
        <v>77</v>
      </c>
      <c r="F315">
        <v>40</v>
      </c>
      <c r="G315">
        <v>3139</v>
      </c>
      <c r="H315" t="str">
        <f>TEXT(TbDespesas[[#This Row],[data_transacao]], "aaaa-mm")</f>
        <v>2025-09</v>
      </c>
    </row>
    <row r="316" spans="1:8">
      <c r="A316">
        <v>315</v>
      </c>
      <c r="B316" s="1">
        <v>45924</v>
      </c>
      <c r="C316" t="s">
        <v>287</v>
      </c>
      <c r="D316" t="s">
        <v>288</v>
      </c>
      <c r="E316">
        <v>312</v>
      </c>
      <c r="F316">
        <v>7</v>
      </c>
      <c r="G316">
        <v>2218</v>
      </c>
      <c r="H316" t="str">
        <f>TEXT(TbDespesas[[#This Row],[data_transacao]], "aaaa-mm")</f>
        <v>2025-09</v>
      </c>
    </row>
    <row r="317" spans="1:8">
      <c r="A317">
        <v>316</v>
      </c>
      <c r="B317" s="1">
        <v>46101</v>
      </c>
      <c r="C317" t="s">
        <v>289</v>
      </c>
      <c r="D317" t="s">
        <v>83</v>
      </c>
      <c r="E317">
        <v>86</v>
      </c>
      <c r="F317">
        <v>28</v>
      </c>
      <c r="G317">
        <v>2480</v>
      </c>
      <c r="H317" t="str">
        <f>TEXT(TbDespesas[[#This Row],[data_transacao]], "aaaa-mm")</f>
        <v>2026-03</v>
      </c>
    </row>
    <row r="318" spans="1:8">
      <c r="A318">
        <v>317</v>
      </c>
      <c r="B318" s="1">
        <v>46101</v>
      </c>
      <c r="C318" t="s">
        <v>289</v>
      </c>
      <c r="D318" t="s">
        <v>290</v>
      </c>
      <c r="E318">
        <v>480</v>
      </c>
      <c r="F318">
        <v>4</v>
      </c>
      <c r="G318">
        <v>2155</v>
      </c>
      <c r="H318" t="str">
        <f>TEXT(TbDespesas[[#This Row],[data_transacao]], "aaaa-mm")</f>
        <v>2026-03</v>
      </c>
    </row>
    <row r="319" spans="1:8">
      <c r="A319">
        <v>318</v>
      </c>
      <c r="B319" s="1">
        <v>46101</v>
      </c>
      <c r="C319" t="s">
        <v>289</v>
      </c>
      <c r="D319" t="s">
        <v>291</v>
      </c>
      <c r="E319">
        <v>443</v>
      </c>
      <c r="F319">
        <v>7</v>
      </c>
      <c r="G319">
        <v>3104</v>
      </c>
      <c r="H319" t="str">
        <f>TEXT(TbDespesas[[#This Row],[data_transacao]], "aaaa-mm")</f>
        <v>2026-03</v>
      </c>
    </row>
    <row r="320" spans="1:8">
      <c r="A320">
        <v>319</v>
      </c>
      <c r="B320" s="1">
        <v>46101</v>
      </c>
      <c r="C320" t="s">
        <v>289</v>
      </c>
      <c r="D320" t="s">
        <v>292</v>
      </c>
      <c r="E320">
        <v>128</v>
      </c>
      <c r="F320">
        <v>5</v>
      </c>
      <c r="G320">
        <v>753</v>
      </c>
      <c r="H320" t="str">
        <f>TEXT(TbDespesas[[#This Row],[data_transacao]], "aaaa-mm")</f>
        <v>2026-03</v>
      </c>
    </row>
    <row r="321" spans="1:8">
      <c r="A321">
        <v>320</v>
      </c>
      <c r="B321" s="1">
        <v>46101</v>
      </c>
      <c r="C321" t="s">
        <v>289</v>
      </c>
      <c r="D321" t="s">
        <v>293</v>
      </c>
      <c r="E321">
        <v>120</v>
      </c>
      <c r="F321">
        <v>20</v>
      </c>
      <c r="G321">
        <v>2420</v>
      </c>
      <c r="H321" t="str">
        <f>TEXT(TbDespesas[[#This Row],[data_transacao]], "aaaa-mm")</f>
        <v>2026-03</v>
      </c>
    </row>
    <row r="322" spans="1:8">
      <c r="A322">
        <v>321</v>
      </c>
      <c r="B322" s="1">
        <v>46101</v>
      </c>
      <c r="C322" t="s">
        <v>289</v>
      </c>
      <c r="D322" t="s">
        <v>294</v>
      </c>
      <c r="E322">
        <v>71</v>
      </c>
      <c r="F322">
        <v>44</v>
      </c>
      <c r="G322">
        <v>3131</v>
      </c>
      <c r="H322" t="str">
        <f>TEXT(TbDespesas[[#This Row],[data_transacao]], "aaaa-mm")</f>
        <v>2026-03</v>
      </c>
    </row>
    <row r="323" spans="1:8">
      <c r="A323">
        <v>322</v>
      </c>
      <c r="B323" s="1">
        <v>46101</v>
      </c>
      <c r="C323" t="s">
        <v>289</v>
      </c>
      <c r="D323" t="s">
        <v>263</v>
      </c>
      <c r="E323">
        <v>200</v>
      </c>
      <c r="F323">
        <v>14</v>
      </c>
      <c r="G323">
        <v>2830</v>
      </c>
      <c r="H323" t="str">
        <f>TEXT(TbDespesas[[#This Row],[data_transacao]], "aaaa-mm")</f>
        <v>2026-03</v>
      </c>
    </row>
    <row r="324" spans="1:8">
      <c r="A324">
        <v>323</v>
      </c>
      <c r="B324" s="1">
        <v>46101</v>
      </c>
      <c r="C324" t="s">
        <v>289</v>
      </c>
      <c r="D324" t="s">
        <v>295</v>
      </c>
      <c r="E324">
        <v>104</v>
      </c>
      <c r="F324">
        <v>22</v>
      </c>
      <c r="G324">
        <v>2324</v>
      </c>
      <c r="H324" t="str">
        <f>TEXT(TbDespesas[[#This Row],[data_transacao]], "aaaa-mm")</f>
        <v>2026-03</v>
      </c>
    </row>
    <row r="325" spans="1:8">
      <c r="A325">
        <v>324</v>
      </c>
      <c r="B325" s="1">
        <v>46101</v>
      </c>
      <c r="C325" t="s">
        <v>289</v>
      </c>
      <c r="D325" t="s">
        <v>296</v>
      </c>
      <c r="E325">
        <v>330</v>
      </c>
      <c r="F325">
        <v>0</v>
      </c>
      <c r="G325">
        <v>301</v>
      </c>
      <c r="H325" t="str">
        <f>TEXT(TbDespesas[[#This Row],[data_transacao]], "aaaa-mm")</f>
        <v>2026-03</v>
      </c>
    </row>
    <row r="326" spans="1:8">
      <c r="A326">
        <v>325</v>
      </c>
      <c r="B326" s="1">
        <v>46101</v>
      </c>
      <c r="C326" t="s">
        <v>289</v>
      </c>
      <c r="D326" t="s">
        <v>297</v>
      </c>
      <c r="E326">
        <v>135</v>
      </c>
      <c r="F326">
        <v>7</v>
      </c>
      <c r="G326">
        <v>1024</v>
      </c>
      <c r="H326" t="str">
        <f>TEXT(TbDespesas[[#This Row],[data_transacao]], "aaaa-mm")</f>
        <v>2026-03</v>
      </c>
    </row>
    <row r="327" spans="1:8">
      <c r="A327">
        <v>326</v>
      </c>
      <c r="B327" s="1">
        <v>46101</v>
      </c>
      <c r="C327" t="s">
        <v>289</v>
      </c>
      <c r="D327" t="s">
        <v>171</v>
      </c>
      <c r="E327">
        <v>430</v>
      </c>
      <c r="F327">
        <v>8</v>
      </c>
      <c r="G327">
        <v>3494</v>
      </c>
      <c r="H327" t="str">
        <f>TEXT(TbDespesas[[#This Row],[data_transacao]], "aaaa-mm")</f>
        <v>2026-03</v>
      </c>
    </row>
    <row r="328" spans="1:8">
      <c r="A328">
        <v>327</v>
      </c>
      <c r="B328" s="1">
        <v>46101</v>
      </c>
      <c r="C328" t="s">
        <v>289</v>
      </c>
      <c r="D328" t="s">
        <v>298</v>
      </c>
      <c r="E328">
        <v>11</v>
      </c>
      <c r="F328">
        <v>242</v>
      </c>
      <c r="G328">
        <v>2663</v>
      </c>
      <c r="H328" t="str">
        <f>TEXT(TbDespesas[[#This Row],[data_transacao]], "aaaa-mm")</f>
        <v>2026-03</v>
      </c>
    </row>
    <row r="329" spans="1:8">
      <c r="A329">
        <v>328</v>
      </c>
      <c r="B329" s="1">
        <v>46224</v>
      </c>
      <c r="C329" t="s">
        <v>223</v>
      </c>
      <c r="D329" t="s">
        <v>299</v>
      </c>
      <c r="E329">
        <v>376</v>
      </c>
      <c r="F329">
        <v>5</v>
      </c>
      <c r="G329">
        <v>2159</v>
      </c>
      <c r="H329" t="str">
        <f>TEXT(TbDespesas[[#This Row],[data_transacao]], "aaaa-mm")</f>
        <v>2026-07</v>
      </c>
    </row>
    <row r="330" spans="1:8">
      <c r="A330">
        <v>329</v>
      </c>
      <c r="B330" s="1">
        <v>46224</v>
      </c>
      <c r="C330" t="s">
        <v>223</v>
      </c>
      <c r="D330" t="s">
        <v>300</v>
      </c>
      <c r="E330">
        <v>62</v>
      </c>
      <c r="F330">
        <v>39</v>
      </c>
      <c r="G330">
        <v>2426</v>
      </c>
      <c r="H330" t="str">
        <f>TEXT(TbDespesas[[#This Row],[data_transacao]], "aaaa-mm")</f>
        <v>2026-07</v>
      </c>
    </row>
    <row r="331" spans="1:8">
      <c r="A331">
        <v>330</v>
      </c>
      <c r="B331" s="1">
        <v>46224</v>
      </c>
      <c r="C331" t="s">
        <v>223</v>
      </c>
      <c r="D331" t="s">
        <v>92</v>
      </c>
      <c r="E331">
        <v>230</v>
      </c>
      <c r="F331">
        <v>1</v>
      </c>
      <c r="G331">
        <v>424</v>
      </c>
      <c r="H331" t="str">
        <f>TEXT(TbDespesas[[#This Row],[data_transacao]], "aaaa-mm")</f>
        <v>2026-07</v>
      </c>
    </row>
    <row r="332" spans="1:8">
      <c r="A332">
        <v>331</v>
      </c>
      <c r="B332" s="1">
        <v>46224</v>
      </c>
      <c r="C332" t="s">
        <v>223</v>
      </c>
      <c r="D332" t="s">
        <v>301</v>
      </c>
      <c r="E332">
        <v>194</v>
      </c>
      <c r="F332">
        <v>1</v>
      </c>
      <c r="G332">
        <v>202</v>
      </c>
      <c r="H332" t="str">
        <f>TEXT(TbDespesas[[#This Row],[data_transacao]], "aaaa-mm")</f>
        <v>2026-07</v>
      </c>
    </row>
    <row r="333" spans="1:8">
      <c r="A333">
        <v>332</v>
      </c>
      <c r="B333" s="1">
        <v>46224</v>
      </c>
      <c r="C333" t="s">
        <v>223</v>
      </c>
      <c r="D333" t="s">
        <v>302</v>
      </c>
      <c r="E333">
        <v>334</v>
      </c>
      <c r="F333">
        <v>0</v>
      </c>
      <c r="G333">
        <v>63</v>
      </c>
      <c r="H333" t="str">
        <f>TEXT(TbDespesas[[#This Row],[data_transacao]], "aaaa-mm")</f>
        <v>2026-07</v>
      </c>
    </row>
    <row r="334" spans="1:8">
      <c r="A334">
        <v>333</v>
      </c>
      <c r="B334" s="1">
        <v>45923</v>
      </c>
      <c r="C334" t="s">
        <v>303</v>
      </c>
      <c r="D334" t="s">
        <v>304</v>
      </c>
      <c r="E334">
        <v>238</v>
      </c>
      <c r="F334">
        <v>4</v>
      </c>
      <c r="G334">
        <v>1080</v>
      </c>
      <c r="H334" t="str">
        <f>TEXT(TbDespesas[[#This Row],[data_transacao]], "aaaa-mm")</f>
        <v>2025-09</v>
      </c>
    </row>
    <row r="335" spans="1:8">
      <c r="A335">
        <v>334</v>
      </c>
      <c r="B335" s="1">
        <v>46275</v>
      </c>
      <c r="C335" t="s">
        <v>305</v>
      </c>
      <c r="D335" t="s">
        <v>231</v>
      </c>
      <c r="E335">
        <v>167</v>
      </c>
      <c r="F335">
        <v>5</v>
      </c>
      <c r="G335">
        <v>841</v>
      </c>
      <c r="H335" t="str">
        <f>TEXT(TbDespesas[[#This Row],[data_transacao]], "aaaa-mm")</f>
        <v>2026-09</v>
      </c>
    </row>
    <row r="336" spans="1:8">
      <c r="A336">
        <v>335</v>
      </c>
      <c r="B336" s="1">
        <v>46275</v>
      </c>
      <c r="C336" t="s">
        <v>305</v>
      </c>
      <c r="D336" t="s">
        <v>278</v>
      </c>
      <c r="E336">
        <v>325</v>
      </c>
      <c r="F336">
        <v>3</v>
      </c>
      <c r="G336">
        <v>1098</v>
      </c>
      <c r="H336" t="str">
        <f>TEXT(TbDespesas[[#This Row],[data_transacao]], "aaaa-mm")</f>
        <v>2026-09</v>
      </c>
    </row>
    <row r="337" spans="1:8">
      <c r="A337">
        <v>336</v>
      </c>
      <c r="B337" s="1">
        <v>46275</v>
      </c>
      <c r="C337" t="s">
        <v>305</v>
      </c>
      <c r="D337" t="s">
        <v>36</v>
      </c>
      <c r="E337">
        <v>392</v>
      </c>
      <c r="F337">
        <v>5</v>
      </c>
      <c r="G337">
        <v>2141</v>
      </c>
      <c r="H337" t="str">
        <f>TEXT(TbDespesas[[#This Row],[data_transacao]], "aaaa-mm")</f>
        <v>2026-09</v>
      </c>
    </row>
    <row r="338" spans="1:8">
      <c r="A338">
        <v>337</v>
      </c>
      <c r="B338" s="1">
        <v>46275</v>
      </c>
      <c r="C338" t="s">
        <v>305</v>
      </c>
      <c r="D338" t="s">
        <v>306</v>
      </c>
      <c r="E338">
        <v>353</v>
      </c>
      <c r="F338">
        <v>10</v>
      </c>
      <c r="G338">
        <v>3650</v>
      </c>
      <c r="H338" t="str">
        <f>TEXT(TbDespesas[[#This Row],[data_transacao]], "aaaa-mm")</f>
        <v>2026-09</v>
      </c>
    </row>
    <row r="339" spans="1:8">
      <c r="A339">
        <v>338</v>
      </c>
      <c r="B339" s="1">
        <v>46275</v>
      </c>
      <c r="C339" t="s">
        <v>305</v>
      </c>
      <c r="D339" t="s">
        <v>111</v>
      </c>
      <c r="E339">
        <v>116</v>
      </c>
      <c r="F339">
        <v>17</v>
      </c>
      <c r="G339">
        <v>2021</v>
      </c>
      <c r="H339" t="str">
        <f>TEXT(TbDespesas[[#This Row],[data_transacao]], "aaaa-mm")</f>
        <v>2026-09</v>
      </c>
    </row>
    <row r="340" spans="1:8">
      <c r="A340">
        <v>339</v>
      </c>
      <c r="B340" s="1">
        <v>46275</v>
      </c>
      <c r="C340" t="s">
        <v>305</v>
      </c>
      <c r="D340" t="s">
        <v>196</v>
      </c>
      <c r="E340">
        <v>169</v>
      </c>
      <c r="F340">
        <v>9</v>
      </c>
      <c r="G340">
        <v>1643</v>
      </c>
      <c r="H340" t="str">
        <f>TEXT(TbDespesas[[#This Row],[data_transacao]], "aaaa-mm")</f>
        <v>2026-09</v>
      </c>
    </row>
    <row r="341" spans="1:8">
      <c r="A341">
        <v>340</v>
      </c>
      <c r="B341" s="1">
        <v>46275</v>
      </c>
      <c r="C341" t="s">
        <v>305</v>
      </c>
      <c r="D341" t="s">
        <v>307</v>
      </c>
      <c r="E341">
        <v>337</v>
      </c>
      <c r="F341">
        <v>0</v>
      </c>
      <c r="G341">
        <v>126</v>
      </c>
      <c r="H341" t="str">
        <f>TEXT(TbDespesas[[#This Row],[data_transacao]], "aaaa-mm")</f>
        <v>2026-09</v>
      </c>
    </row>
    <row r="342" spans="1:8">
      <c r="A342">
        <v>341</v>
      </c>
      <c r="B342" s="1">
        <v>46275</v>
      </c>
      <c r="C342" t="s">
        <v>305</v>
      </c>
      <c r="D342" t="s">
        <v>203</v>
      </c>
      <c r="E342">
        <v>44</v>
      </c>
      <c r="F342">
        <v>17</v>
      </c>
      <c r="G342">
        <v>781</v>
      </c>
      <c r="H342" t="str">
        <f>TEXT(TbDespesas[[#This Row],[data_transacao]], "aaaa-mm")</f>
        <v>2026-09</v>
      </c>
    </row>
    <row r="343" spans="1:8">
      <c r="A343">
        <v>342</v>
      </c>
      <c r="B343" s="1">
        <v>46275</v>
      </c>
      <c r="C343" t="s">
        <v>305</v>
      </c>
      <c r="D343" t="s">
        <v>216</v>
      </c>
      <c r="E343">
        <v>34</v>
      </c>
      <c r="F343">
        <v>80</v>
      </c>
      <c r="G343">
        <v>2721</v>
      </c>
      <c r="H343" t="str">
        <f>TEXT(TbDespesas[[#This Row],[data_transacao]], "aaaa-mm")</f>
        <v>2026-09</v>
      </c>
    </row>
    <row r="344" spans="1:8">
      <c r="A344">
        <v>343</v>
      </c>
      <c r="B344" s="1">
        <v>46275</v>
      </c>
      <c r="C344" t="s">
        <v>305</v>
      </c>
      <c r="D344" t="s">
        <v>308</v>
      </c>
      <c r="E344">
        <v>106</v>
      </c>
      <c r="F344">
        <v>16</v>
      </c>
      <c r="G344">
        <v>1725</v>
      </c>
      <c r="H344" t="str">
        <f>TEXT(TbDespesas[[#This Row],[data_transacao]], "aaaa-mm")</f>
        <v>2026-09</v>
      </c>
    </row>
    <row r="345" spans="1:8">
      <c r="A345">
        <v>344</v>
      </c>
      <c r="B345" s="1">
        <v>46275</v>
      </c>
      <c r="C345" t="s">
        <v>305</v>
      </c>
      <c r="D345" t="s">
        <v>309</v>
      </c>
      <c r="E345">
        <v>454</v>
      </c>
      <c r="F345">
        <v>5</v>
      </c>
      <c r="G345">
        <v>2487</v>
      </c>
      <c r="H345" t="str">
        <f>TEXT(TbDespesas[[#This Row],[data_transacao]], "aaaa-mm")</f>
        <v>2026-09</v>
      </c>
    </row>
    <row r="346" spans="1:8">
      <c r="A346">
        <v>345</v>
      </c>
      <c r="B346" s="1">
        <v>46261</v>
      </c>
      <c r="C346" t="s">
        <v>310</v>
      </c>
      <c r="D346" t="s">
        <v>262</v>
      </c>
      <c r="E346">
        <v>485</v>
      </c>
      <c r="F346">
        <v>4</v>
      </c>
      <c r="G346">
        <v>2026</v>
      </c>
      <c r="H346" t="str">
        <f>TEXT(TbDespesas[[#This Row],[data_transacao]], "aaaa-mm")</f>
        <v>2026-08</v>
      </c>
    </row>
    <row r="347" spans="1:8">
      <c r="A347">
        <v>346</v>
      </c>
      <c r="B347" s="1">
        <v>46261</v>
      </c>
      <c r="C347" t="s">
        <v>310</v>
      </c>
      <c r="D347" t="s">
        <v>236</v>
      </c>
      <c r="E347">
        <v>467</v>
      </c>
      <c r="F347">
        <v>2</v>
      </c>
      <c r="G347">
        <v>1019</v>
      </c>
      <c r="H347" t="str">
        <f>TEXT(TbDespesas[[#This Row],[data_transacao]], "aaaa-mm")</f>
        <v>2026-08</v>
      </c>
    </row>
    <row r="348" spans="1:8">
      <c r="A348">
        <v>347</v>
      </c>
      <c r="B348" s="1">
        <v>46261</v>
      </c>
      <c r="C348" t="s">
        <v>310</v>
      </c>
      <c r="D348" t="s">
        <v>311</v>
      </c>
      <c r="E348">
        <v>344</v>
      </c>
      <c r="F348">
        <v>2</v>
      </c>
      <c r="G348">
        <v>957</v>
      </c>
      <c r="H348" t="str">
        <f>TEXT(TbDespesas[[#This Row],[data_transacao]], "aaaa-mm")</f>
        <v>2026-08</v>
      </c>
    </row>
    <row r="349" spans="1:8">
      <c r="A349">
        <v>348</v>
      </c>
      <c r="B349" s="1">
        <v>46261</v>
      </c>
      <c r="C349" t="s">
        <v>310</v>
      </c>
      <c r="D349" t="s">
        <v>295</v>
      </c>
      <c r="E349">
        <v>211</v>
      </c>
      <c r="F349">
        <v>9</v>
      </c>
      <c r="G349">
        <v>1937</v>
      </c>
      <c r="H349" t="str">
        <f>TEXT(TbDespesas[[#This Row],[data_transacao]], "aaaa-mm")</f>
        <v>2026-08</v>
      </c>
    </row>
    <row r="350" spans="1:8">
      <c r="A350">
        <v>349</v>
      </c>
      <c r="B350" s="1">
        <v>46261</v>
      </c>
      <c r="C350" t="s">
        <v>310</v>
      </c>
      <c r="D350" t="s">
        <v>312</v>
      </c>
      <c r="E350">
        <v>90</v>
      </c>
      <c r="F350">
        <v>41</v>
      </c>
      <c r="G350">
        <v>3708</v>
      </c>
      <c r="H350" t="str">
        <f>TEXT(TbDespesas[[#This Row],[data_transacao]], "aaaa-mm")</f>
        <v>2026-08</v>
      </c>
    </row>
    <row r="351" spans="1:8">
      <c r="A351">
        <v>350</v>
      </c>
      <c r="B351" s="1">
        <v>46261</v>
      </c>
      <c r="C351" t="s">
        <v>310</v>
      </c>
      <c r="D351" t="s">
        <v>313</v>
      </c>
      <c r="E351">
        <v>237</v>
      </c>
      <c r="F351">
        <v>6</v>
      </c>
      <c r="G351">
        <v>1610</v>
      </c>
      <c r="H351" t="str">
        <f>TEXT(TbDespesas[[#This Row],[data_transacao]], "aaaa-mm")</f>
        <v>2026-08</v>
      </c>
    </row>
    <row r="352" spans="1:8">
      <c r="A352">
        <v>351</v>
      </c>
      <c r="B352" s="1">
        <v>46093</v>
      </c>
      <c r="C352" t="s">
        <v>314</v>
      </c>
      <c r="D352" t="s">
        <v>204</v>
      </c>
      <c r="E352">
        <v>170</v>
      </c>
      <c r="F352">
        <v>14</v>
      </c>
      <c r="G352">
        <v>2456</v>
      </c>
      <c r="H352" t="str">
        <f>TEXT(TbDespesas[[#This Row],[data_transacao]], "aaaa-mm")</f>
        <v>2026-03</v>
      </c>
    </row>
    <row r="353" spans="1:8">
      <c r="A353">
        <v>352</v>
      </c>
      <c r="B353" s="1">
        <v>46093</v>
      </c>
      <c r="C353" t="s">
        <v>314</v>
      </c>
      <c r="D353" t="s">
        <v>315</v>
      </c>
      <c r="E353">
        <v>188</v>
      </c>
      <c r="F353">
        <v>3</v>
      </c>
      <c r="G353">
        <v>636</v>
      </c>
      <c r="H353" t="str">
        <f>TEXT(TbDespesas[[#This Row],[data_transacao]], "aaaa-mm")</f>
        <v>2026-03</v>
      </c>
    </row>
    <row r="354" spans="1:8">
      <c r="A354">
        <v>353</v>
      </c>
      <c r="B354" s="1">
        <v>46093</v>
      </c>
      <c r="C354" t="s">
        <v>314</v>
      </c>
      <c r="D354" t="s">
        <v>288</v>
      </c>
      <c r="E354">
        <v>437</v>
      </c>
      <c r="F354">
        <v>3</v>
      </c>
      <c r="G354">
        <v>1319</v>
      </c>
      <c r="H354" t="str">
        <f>TEXT(TbDespesas[[#This Row],[data_transacao]], "aaaa-mm")</f>
        <v>2026-03</v>
      </c>
    </row>
    <row r="355" spans="1:8">
      <c r="A355">
        <v>354</v>
      </c>
      <c r="B355" s="1">
        <v>46093</v>
      </c>
      <c r="C355" t="s">
        <v>314</v>
      </c>
      <c r="D355" t="s">
        <v>316</v>
      </c>
      <c r="E355">
        <v>389</v>
      </c>
      <c r="F355">
        <v>8</v>
      </c>
      <c r="G355">
        <v>3156</v>
      </c>
      <c r="H355" t="str">
        <f>TEXT(TbDespesas[[#This Row],[data_transacao]], "aaaa-mm")</f>
        <v>2026-03</v>
      </c>
    </row>
    <row r="356" spans="1:8">
      <c r="A356">
        <v>355</v>
      </c>
      <c r="B356" s="1">
        <v>46093</v>
      </c>
      <c r="C356" t="s">
        <v>314</v>
      </c>
      <c r="D356" t="s">
        <v>317</v>
      </c>
      <c r="E356">
        <v>90</v>
      </c>
      <c r="F356">
        <v>28</v>
      </c>
      <c r="G356">
        <v>2547</v>
      </c>
      <c r="H356" t="str">
        <f>TEXT(TbDespesas[[#This Row],[data_transacao]], "aaaa-mm")</f>
        <v>2026-03</v>
      </c>
    </row>
    <row r="357" spans="1:8">
      <c r="A357">
        <v>356</v>
      </c>
      <c r="B357" s="1">
        <v>46093</v>
      </c>
      <c r="C357" t="s">
        <v>314</v>
      </c>
      <c r="D357" t="s">
        <v>191</v>
      </c>
      <c r="E357">
        <v>273</v>
      </c>
      <c r="F357">
        <v>3</v>
      </c>
      <c r="G357">
        <v>1069</v>
      </c>
      <c r="H357" t="str">
        <f>TEXT(TbDespesas[[#This Row],[data_transacao]], "aaaa-mm")</f>
        <v>2026-03</v>
      </c>
    </row>
    <row r="358" spans="1:8">
      <c r="A358">
        <v>357</v>
      </c>
      <c r="B358" s="1">
        <v>46093</v>
      </c>
      <c r="C358" t="s">
        <v>314</v>
      </c>
      <c r="D358" t="s">
        <v>318</v>
      </c>
      <c r="E358">
        <v>272</v>
      </c>
      <c r="F358">
        <v>13</v>
      </c>
      <c r="G358">
        <v>3557</v>
      </c>
      <c r="H358" t="str">
        <f>TEXT(TbDespesas[[#This Row],[data_transacao]], "aaaa-mm")</f>
        <v>2026-03</v>
      </c>
    </row>
    <row r="359" spans="1:8">
      <c r="A359">
        <v>358</v>
      </c>
      <c r="B359" s="1">
        <v>46145</v>
      </c>
      <c r="C359" t="s">
        <v>319</v>
      </c>
      <c r="D359" t="s">
        <v>152</v>
      </c>
      <c r="E359">
        <v>46</v>
      </c>
      <c r="F359">
        <v>49</v>
      </c>
      <c r="G359">
        <v>2273</v>
      </c>
      <c r="H359" t="str">
        <f>TEXT(TbDespesas[[#This Row],[data_transacao]], "aaaa-mm")</f>
        <v>2026-05</v>
      </c>
    </row>
    <row r="360" spans="1:8">
      <c r="A360">
        <v>359</v>
      </c>
      <c r="B360" s="1">
        <v>46145</v>
      </c>
      <c r="C360" t="s">
        <v>319</v>
      </c>
      <c r="D360" t="s">
        <v>320</v>
      </c>
      <c r="E360">
        <v>237</v>
      </c>
      <c r="F360">
        <v>5</v>
      </c>
      <c r="G360">
        <v>1249</v>
      </c>
      <c r="H360" t="str">
        <f>TEXT(TbDespesas[[#This Row],[data_transacao]], "aaaa-mm")</f>
        <v>2026-05</v>
      </c>
    </row>
    <row r="361" spans="1:8">
      <c r="A361">
        <v>360</v>
      </c>
      <c r="B361" s="1">
        <v>46145</v>
      </c>
      <c r="C361" t="s">
        <v>319</v>
      </c>
      <c r="D361" t="s">
        <v>9</v>
      </c>
      <c r="E361">
        <v>411</v>
      </c>
      <c r="F361">
        <v>7</v>
      </c>
      <c r="G361">
        <v>3276</v>
      </c>
      <c r="H361" t="str">
        <f>TEXT(TbDespesas[[#This Row],[data_transacao]], "aaaa-mm")</f>
        <v>2026-05</v>
      </c>
    </row>
    <row r="362" spans="1:8">
      <c r="A362">
        <v>361</v>
      </c>
      <c r="B362" s="1">
        <v>46145</v>
      </c>
      <c r="C362" t="s">
        <v>319</v>
      </c>
      <c r="D362" t="s">
        <v>321</v>
      </c>
      <c r="E362">
        <v>132</v>
      </c>
      <c r="F362">
        <v>16</v>
      </c>
      <c r="G362">
        <v>2139</v>
      </c>
      <c r="H362" t="str">
        <f>TEXT(TbDespesas[[#This Row],[data_transacao]], "aaaa-mm")</f>
        <v>2026-05</v>
      </c>
    </row>
    <row r="363" spans="1:8">
      <c r="A363">
        <v>362</v>
      </c>
      <c r="B363" s="1">
        <v>46145</v>
      </c>
      <c r="C363" t="s">
        <v>319</v>
      </c>
      <c r="D363" t="s">
        <v>322</v>
      </c>
      <c r="E363">
        <v>205</v>
      </c>
      <c r="F363">
        <v>7</v>
      </c>
      <c r="G363">
        <v>1481</v>
      </c>
      <c r="H363" t="str">
        <f>TEXT(TbDespesas[[#This Row],[data_transacao]], "aaaa-mm")</f>
        <v>2026-05</v>
      </c>
    </row>
    <row r="364" spans="1:8">
      <c r="A364">
        <v>363</v>
      </c>
      <c r="B364" s="1">
        <v>46145</v>
      </c>
      <c r="C364" t="s">
        <v>319</v>
      </c>
      <c r="D364" t="s">
        <v>323</v>
      </c>
      <c r="E364">
        <v>287</v>
      </c>
      <c r="F364">
        <v>7</v>
      </c>
      <c r="G364">
        <v>2077</v>
      </c>
      <c r="H364" t="str">
        <f>TEXT(TbDespesas[[#This Row],[data_transacao]], "aaaa-mm")</f>
        <v>2026-05</v>
      </c>
    </row>
    <row r="365" spans="1:8">
      <c r="A365">
        <v>364</v>
      </c>
      <c r="B365" s="1">
        <v>46145</v>
      </c>
      <c r="C365" t="s">
        <v>319</v>
      </c>
      <c r="D365" t="s">
        <v>324</v>
      </c>
      <c r="E365">
        <v>317</v>
      </c>
      <c r="F365">
        <v>5</v>
      </c>
      <c r="G365">
        <v>1623</v>
      </c>
      <c r="H365" t="str">
        <f>TEXT(TbDespesas[[#This Row],[data_transacao]], "aaaa-mm")</f>
        <v>2026-05</v>
      </c>
    </row>
    <row r="366" spans="1:8">
      <c r="A366">
        <v>365</v>
      </c>
      <c r="B366" s="1">
        <v>46145</v>
      </c>
      <c r="C366" t="s">
        <v>319</v>
      </c>
      <c r="D366" t="s">
        <v>155</v>
      </c>
      <c r="E366">
        <v>283</v>
      </c>
      <c r="F366">
        <v>5</v>
      </c>
      <c r="G366">
        <v>1582</v>
      </c>
      <c r="H366" t="str">
        <f>TEXT(TbDespesas[[#This Row],[data_transacao]], "aaaa-mm")</f>
        <v>2026-05</v>
      </c>
    </row>
    <row r="367" spans="1:8">
      <c r="A367">
        <v>366</v>
      </c>
      <c r="B367" s="1">
        <v>46145</v>
      </c>
      <c r="C367" t="s">
        <v>319</v>
      </c>
      <c r="D367" t="s">
        <v>325</v>
      </c>
      <c r="E367">
        <v>68</v>
      </c>
      <c r="F367">
        <v>25</v>
      </c>
      <c r="G367">
        <v>1731</v>
      </c>
      <c r="H367" t="str">
        <f>TEXT(TbDespesas[[#This Row],[data_transacao]], "aaaa-mm")</f>
        <v>2026-05</v>
      </c>
    </row>
    <row r="368" spans="1:8">
      <c r="A368">
        <v>367</v>
      </c>
      <c r="B368" s="1">
        <v>46145</v>
      </c>
      <c r="C368" t="s">
        <v>319</v>
      </c>
      <c r="D368" t="s">
        <v>70</v>
      </c>
      <c r="E368">
        <v>355</v>
      </c>
      <c r="F368">
        <v>8</v>
      </c>
      <c r="G368">
        <v>2954</v>
      </c>
      <c r="H368" t="str">
        <f>TEXT(TbDespesas[[#This Row],[data_transacao]], "aaaa-mm")</f>
        <v>2026-05</v>
      </c>
    </row>
    <row r="369" spans="1:8">
      <c r="A369">
        <v>368</v>
      </c>
      <c r="B369" s="1">
        <v>46229</v>
      </c>
      <c r="C369" t="s">
        <v>73</v>
      </c>
      <c r="D369" t="s">
        <v>188</v>
      </c>
      <c r="E369">
        <v>290</v>
      </c>
      <c r="F369">
        <v>10</v>
      </c>
      <c r="G369">
        <v>2901</v>
      </c>
      <c r="H369" t="str">
        <f>TEXT(TbDespesas[[#This Row],[data_transacao]], "aaaa-mm")</f>
        <v>2026-07</v>
      </c>
    </row>
    <row r="370" spans="1:8">
      <c r="A370">
        <v>369</v>
      </c>
      <c r="B370" s="1">
        <v>46229</v>
      </c>
      <c r="C370" t="s">
        <v>73</v>
      </c>
      <c r="D370" t="s">
        <v>270</v>
      </c>
      <c r="E370">
        <v>426</v>
      </c>
      <c r="F370">
        <v>4</v>
      </c>
      <c r="G370">
        <v>2012</v>
      </c>
      <c r="H370" t="str">
        <f>TEXT(TbDespesas[[#This Row],[data_transacao]], "aaaa-mm")</f>
        <v>2026-07</v>
      </c>
    </row>
    <row r="371" spans="1:8">
      <c r="A371">
        <v>370</v>
      </c>
      <c r="B371" s="1">
        <v>46229</v>
      </c>
      <c r="C371" t="s">
        <v>73</v>
      </c>
      <c r="D371" t="s">
        <v>193</v>
      </c>
      <c r="E371">
        <v>469</v>
      </c>
      <c r="F371">
        <v>5</v>
      </c>
      <c r="G371">
        <v>2638</v>
      </c>
      <c r="H371" t="str">
        <f>TEXT(TbDespesas[[#This Row],[data_transacao]], "aaaa-mm")</f>
        <v>2026-07</v>
      </c>
    </row>
    <row r="372" spans="1:8">
      <c r="A372">
        <v>371</v>
      </c>
      <c r="B372" s="1">
        <v>46229</v>
      </c>
      <c r="C372" t="s">
        <v>73</v>
      </c>
      <c r="D372" t="s">
        <v>87</v>
      </c>
      <c r="E372">
        <v>487</v>
      </c>
      <c r="F372">
        <v>4</v>
      </c>
      <c r="G372">
        <v>2215</v>
      </c>
      <c r="H372" t="str">
        <f>TEXT(TbDespesas[[#This Row],[data_transacao]], "aaaa-mm")</f>
        <v>2026-07</v>
      </c>
    </row>
    <row r="373" spans="1:8">
      <c r="A373">
        <v>372</v>
      </c>
      <c r="B373" s="1">
        <v>46229</v>
      </c>
      <c r="C373" t="s">
        <v>73</v>
      </c>
      <c r="D373" t="s">
        <v>174</v>
      </c>
      <c r="E373">
        <v>98</v>
      </c>
      <c r="F373">
        <v>18</v>
      </c>
      <c r="G373">
        <v>1857</v>
      </c>
      <c r="H373" t="str">
        <f>TEXT(TbDespesas[[#This Row],[data_transacao]], "aaaa-mm")</f>
        <v>2026-07</v>
      </c>
    </row>
    <row r="374" spans="1:8">
      <c r="A374">
        <v>373</v>
      </c>
      <c r="B374" s="1">
        <v>46229</v>
      </c>
      <c r="C374" t="s">
        <v>73</v>
      </c>
      <c r="D374" t="s">
        <v>321</v>
      </c>
      <c r="E374">
        <v>84</v>
      </c>
      <c r="F374">
        <v>11</v>
      </c>
      <c r="G374">
        <v>972</v>
      </c>
      <c r="H374" t="str">
        <f>TEXT(TbDespesas[[#This Row],[data_transacao]], "aaaa-mm")</f>
        <v>2026-07</v>
      </c>
    </row>
    <row r="375" spans="1:8">
      <c r="A375">
        <v>374</v>
      </c>
      <c r="B375" s="1">
        <v>46229</v>
      </c>
      <c r="C375" t="s">
        <v>73</v>
      </c>
      <c r="D375" t="s">
        <v>326</v>
      </c>
      <c r="E375">
        <v>21</v>
      </c>
      <c r="F375">
        <v>150</v>
      </c>
      <c r="G375">
        <v>3151</v>
      </c>
      <c r="H375" t="str">
        <f>TEXT(TbDespesas[[#This Row],[data_transacao]], "aaaa-mm")</f>
        <v>2026-07</v>
      </c>
    </row>
    <row r="376" spans="1:8">
      <c r="A376">
        <v>375</v>
      </c>
      <c r="B376" s="1">
        <v>46229</v>
      </c>
      <c r="C376" t="s">
        <v>73</v>
      </c>
      <c r="D376" t="s">
        <v>327</v>
      </c>
      <c r="E376">
        <v>66</v>
      </c>
      <c r="F376">
        <v>9</v>
      </c>
      <c r="G376">
        <v>605</v>
      </c>
      <c r="H376" t="str">
        <f>TEXT(TbDespesas[[#This Row],[data_transacao]], "aaaa-mm")</f>
        <v>2026-07</v>
      </c>
    </row>
    <row r="377" spans="1:8">
      <c r="A377">
        <v>376</v>
      </c>
      <c r="B377" s="1">
        <v>46229</v>
      </c>
      <c r="C377" t="s">
        <v>73</v>
      </c>
      <c r="D377" t="s">
        <v>328</v>
      </c>
      <c r="E377">
        <v>282</v>
      </c>
      <c r="F377">
        <v>6</v>
      </c>
      <c r="G377">
        <v>1700</v>
      </c>
      <c r="H377" t="str">
        <f>TEXT(TbDespesas[[#This Row],[data_transacao]], "aaaa-mm")</f>
        <v>2026-07</v>
      </c>
    </row>
    <row r="378" spans="1:8">
      <c r="A378">
        <v>377</v>
      </c>
      <c r="B378" s="1">
        <v>46188</v>
      </c>
      <c r="C378" t="s">
        <v>329</v>
      </c>
      <c r="D378" t="s">
        <v>272</v>
      </c>
      <c r="E378">
        <v>32</v>
      </c>
      <c r="F378">
        <v>3</v>
      </c>
      <c r="G378">
        <v>121</v>
      </c>
      <c r="H378" t="str">
        <f>TEXT(TbDespesas[[#This Row],[data_transacao]], "aaaa-mm")</f>
        <v>2026-06</v>
      </c>
    </row>
    <row r="379" spans="1:8">
      <c r="A379">
        <v>378</v>
      </c>
      <c r="B379" s="1">
        <v>46188</v>
      </c>
      <c r="C379" t="s">
        <v>329</v>
      </c>
      <c r="D379" t="s">
        <v>182</v>
      </c>
      <c r="E379">
        <v>439</v>
      </c>
      <c r="F379">
        <v>9</v>
      </c>
      <c r="G379">
        <v>4011</v>
      </c>
      <c r="H379" t="str">
        <f>TEXT(TbDespesas[[#This Row],[data_transacao]], "aaaa-mm")</f>
        <v>2026-06</v>
      </c>
    </row>
    <row r="380" spans="1:8">
      <c r="A380">
        <v>379</v>
      </c>
      <c r="B380" s="1">
        <v>46124</v>
      </c>
      <c r="C380" t="s">
        <v>330</v>
      </c>
      <c r="D380" t="s">
        <v>311</v>
      </c>
      <c r="E380">
        <v>96</v>
      </c>
      <c r="F380">
        <v>24</v>
      </c>
      <c r="G380">
        <v>2364</v>
      </c>
      <c r="H380" t="str">
        <f>TEXT(TbDespesas[[#This Row],[data_transacao]], "aaaa-mm")</f>
        <v>2026-04</v>
      </c>
    </row>
    <row r="381" spans="1:8">
      <c r="A381">
        <v>380</v>
      </c>
      <c r="B381" s="1">
        <v>46124</v>
      </c>
      <c r="C381" t="s">
        <v>330</v>
      </c>
      <c r="D381" t="s">
        <v>331</v>
      </c>
      <c r="E381">
        <v>21</v>
      </c>
      <c r="F381">
        <v>68</v>
      </c>
      <c r="G381">
        <v>1433</v>
      </c>
      <c r="H381" t="str">
        <f>TEXT(TbDespesas[[#This Row],[data_transacao]], "aaaa-mm")</f>
        <v>2026-04</v>
      </c>
    </row>
    <row r="382" spans="1:8">
      <c r="A382">
        <v>381</v>
      </c>
      <c r="B382" s="1">
        <v>46210</v>
      </c>
      <c r="C382" t="s">
        <v>310</v>
      </c>
      <c r="D382" t="s">
        <v>332</v>
      </c>
      <c r="E382">
        <v>496</v>
      </c>
      <c r="F382">
        <v>7</v>
      </c>
      <c r="G382">
        <v>3828</v>
      </c>
      <c r="H382" t="str">
        <f>TEXT(TbDespesas[[#This Row],[data_transacao]], "aaaa-mm")</f>
        <v>2026-07</v>
      </c>
    </row>
    <row r="383" spans="1:8">
      <c r="A383">
        <v>382</v>
      </c>
      <c r="B383" s="1">
        <v>46210</v>
      </c>
      <c r="C383" t="s">
        <v>310</v>
      </c>
      <c r="D383" t="s">
        <v>183</v>
      </c>
      <c r="E383">
        <v>402</v>
      </c>
      <c r="F383">
        <v>8</v>
      </c>
      <c r="G383">
        <v>3407</v>
      </c>
      <c r="H383" t="str">
        <f>TEXT(TbDespesas[[#This Row],[data_transacao]], "aaaa-mm")</f>
        <v>2026-07</v>
      </c>
    </row>
    <row r="384" spans="1:8">
      <c r="A384">
        <v>383</v>
      </c>
      <c r="B384" s="1">
        <v>46210</v>
      </c>
      <c r="C384" t="s">
        <v>310</v>
      </c>
      <c r="D384" t="s">
        <v>333</v>
      </c>
      <c r="E384">
        <v>292</v>
      </c>
      <c r="F384">
        <v>2</v>
      </c>
      <c r="G384">
        <v>806</v>
      </c>
      <c r="H384" t="str">
        <f>TEXT(TbDespesas[[#This Row],[data_transacao]], "aaaa-mm")</f>
        <v>2026-07</v>
      </c>
    </row>
    <row r="385" spans="1:8">
      <c r="A385">
        <v>384</v>
      </c>
      <c r="B385" s="1">
        <v>46210</v>
      </c>
      <c r="C385" t="s">
        <v>310</v>
      </c>
      <c r="D385" t="s">
        <v>334</v>
      </c>
      <c r="E385">
        <v>116</v>
      </c>
      <c r="F385">
        <v>11</v>
      </c>
      <c r="G385">
        <v>1286</v>
      </c>
      <c r="H385" t="str">
        <f>TEXT(TbDespesas[[#This Row],[data_transacao]], "aaaa-mm")</f>
        <v>2026-07</v>
      </c>
    </row>
    <row r="386" spans="1:8">
      <c r="A386">
        <v>385</v>
      </c>
      <c r="B386" s="1">
        <v>46210</v>
      </c>
      <c r="C386" t="s">
        <v>310</v>
      </c>
      <c r="D386" t="s">
        <v>335</v>
      </c>
      <c r="E386">
        <v>57</v>
      </c>
      <c r="F386">
        <v>48</v>
      </c>
      <c r="G386">
        <v>2753</v>
      </c>
      <c r="H386" t="str">
        <f>TEXT(TbDespesas[[#This Row],[data_transacao]], "aaaa-mm")</f>
        <v>2026-07</v>
      </c>
    </row>
    <row r="387" spans="1:8">
      <c r="A387">
        <v>386</v>
      </c>
      <c r="B387" s="1">
        <v>46210</v>
      </c>
      <c r="C387" t="s">
        <v>310</v>
      </c>
      <c r="D387" t="s">
        <v>336</v>
      </c>
      <c r="E387">
        <v>72</v>
      </c>
      <c r="F387">
        <v>35</v>
      </c>
      <c r="G387">
        <v>2591</v>
      </c>
      <c r="H387" t="str">
        <f>TEXT(TbDespesas[[#This Row],[data_transacao]], "aaaa-mm")</f>
        <v>2026-07</v>
      </c>
    </row>
    <row r="388" spans="1:8">
      <c r="A388">
        <v>387</v>
      </c>
      <c r="B388" s="1">
        <v>46210</v>
      </c>
      <c r="C388" t="s">
        <v>310</v>
      </c>
      <c r="D388" t="s">
        <v>275</v>
      </c>
      <c r="E388">
        <v>459</v>
      </c>
      <c r="F388">
        <v>3</v>
      </c>
      <c r="G388">
        <v>1595</v>
      </c>
      <c r="H388" t="str">
        <f>TEXT(TbDespesas[[#This Row],[data_transacao]], "aaaa-mm")</f>
        <v>2026-07</v>
      </c>
    </row>
    <row r="389" spans="1:8">
      <c r="A389">
        <v>388</v>
      </c>
      <c r="B389" s="1">
        <v>46210</v>
      </c>
      <c r="C389" t="s">
        <v>310</v>
      </c>
      <c r="D389" t="s">
        <v>325</v>
      </c>
      <c r="E389">
        <v>237</v>
      </c>
      <c r="F389">
        <v>10</v>
      </c>
      <c r="G389">
        <v>2469</v>
      </c>
      <c r="H389" t="str">
        <f>TEXT(TbDespesas[[#This Row],[data_transacao]], "aaaa-mm")</f>
        <v>2026-07</v>
      </c>
    </row>
    <row r="390" spans="1:8">
      <c r="A390">
        <v>389</v>
      </c>
      <c r="B390" s="1">
        <v>46210</v>
      </c>
      <c r="C390" t="s">
        <v>310</v>
      </c>
      <c r="D390" t="s">
        <v>160</v>
      </c>
      <c r="E390">
        <v>256</v>
      </c>
      <c r="F390">
        <v>7</v>
      </c>
      <c r="G390">
        <v>1859</v>
      </c>
      <c r="H390" t="str">
        <f>TEXT(TbDespesas[[#This Row],[data_transacao]], "aaaa-mm")</f>
        <v>2026-07</v>
      </c>
    </row>
    <row r="391" spans="1:8">
      <c r="A391">
        <v>390</v>
      </c>
      <c r="B391" s="1">
        <v>46065</v>
      </c>
      <c r="C391" t="s">
        <v>210</v>
      </c>
      <c r="D391" t="s">
        <v>337</v>
      </c>
      <c r="E391">
        <v>32</v>
      </c>
      <c r="F391">
        <v>109</v>
      </c>
      <c r="G391">
        <v>3493</v>
      </c>
      <c r="H391" t="str">
        <f>TEXT(TbDespesas[[#This Row],[data_transacao]], "aaaa-mm")</f>
        <v>2026-02</v>
      </c>
    </row>
    <row r="392" spans="1:8">
      <c r="A392">
        <v>391</v>
      </c>
      <c r="B392" s="1">
        <v>46065</v>
      </c>
      <c r="C392" t="s">
        <v>210</v>
      </c>
      <c r="D392" t="s">
        <v>120</v>
      </c>
      <c r="E392">
        <v>297</v>
      </c>
      <c r="F392">
        <v>3</v>
      </c>
      <c r="G392">
        <v>1176</v>
      </c>
      <c r="H392" t="str">
        <f>TEXT(TbDespesas[[#This Row],[data_transacao]], "aaaa-mm")</f>
        <v>2026-02</v>
      </c>
    </row>
    <row r="393" spans="1:8">
      <c r="A393">
        <v>392</v>
      </c>
      <c r="B393" s="1">
        <v>46065</v>
      </c>
      <c r="C393" t="s">
        <v>210</v>
      </c>
      <c r="D393" t="s">
        <v>338</v>
      </c>
      <c r="E393">
        <v>423</v>
      </c>
      <c r="F393">
        <v>2</v>
      </c>
      <c r="G393">
        <v>1202</v>
      </c>
      <c r="H393" t="str">
        <f>TEXT(TbDespesas[[#This Row],[data_transacao]], "aaaa-mm")</f>
        <v>2026-02</v>
      </c>
    </row>
    <row r="394" spans="1:8">
      <c r="A394">
        <v>393</v>
      </c>
      <c r="B394" s="1">
        <v>46065</v>
      </c>
      <c r="C394" t="s">
        <v>210</v>
      </c>
      <c r="D394" t="s">
        <v>339</v>
      </c>
      <c r="E394">
        <v>359</v>
      </c>
      <c r="F394">
        <v>5</v>
      </c>
      <c r="G394">
        <v>1922</v>
      </c>
      <c r="H394" t="str">
        <f>TEXT(TbDespesas[[#This Row],[data_transacao]], "aaaa-mm")</f>
        <v>2026-02</v>
      </c>
    </row>
    <row r="395" spans="1:8">
      <c r="A395">
        <v>394</v>
      </c>
      <c r="B395" s="1">
        <v>46065</v>
      </c>
      <c r="C395" t="s">
        <v>210</v>
      </c>
      <c r="D395" t="s">
        <v>340</v>
      </c>
      <c r="E395">
        <v>381</v>
      </c>
      <c r="F395">
        <v>6</v>
      </c>
      <c r="G395">
        <v>2320</v>
      </c>
      <c r="H395" t="str">
        <f>TEXT(TbDespesas[[#This Row],[data_transacao]], "aaaa-mm")</f>
        <v>2026-02</v>
      </c>
    </row>
    <row r="396" spans="1:8">
      <c r="A396">
        <v>395</v>
      </c>
      <c r="B396" s="1">
        <v>46065</v>
      </c>
      <c r="C396" t="s">
        <v>210</v>
      </c>
      <c r="D396" t="s">
        <v>341</v>
      </c>
      <c r="E396">
        <v>145</v>
      </c>
      <c r="F396">
        <v>7</v>
      </c>
      <c r="G396">
        <v>1043</v>
      </c>
      <c r="H396" t="str">
        <f>TEXT(TbDespesas[[#This Row],[data_transacao]], "aaaa-mm")</f>
        <v>2026-02</v>
      </c>
    </row>
    <row r="397" spans="1:8">
      <c r="A397">
        <v>396</v>
      </c>
      <c r="B397" s="1">
        <v>46065</v>
      </c>
      <c r="C397" t="s">
        <v>210</v>
      </c>
      <c r="D397" t="s">
        <v>342</v>
      </c>
      <c r="E397">
        <v>201</v>
      </c>
      <c r="F397">
        <v>0</v>
      </c>
      <c r="G397">
        <v>181</v>
      </c>
      <c r="H397" t="str">
        <f>TEXT(TbDespesas[[#This Row],[data_transacao]], "aaaa-mm")</f>
        <v>2026-02</v>
      </c>
    </row>
    <row r="398" spans="1:8">
      <c r="A398">
        <v>397</v>
      </c>
      <c r="B398" s="1">
        <v>46065</v>
      </c>
      <c r="C398" t="s">
        <v>210</v>
      </c>
      <c r="D398" t="s">
        <v>29</v>
      </c>
      <c r="E398">
        <v>125</v>
      </c>
      <c r="F398">
        <v>9</v>
      </c>
      <c r="G398">
        <v>1170</v>
      </c>
      <c r="H398" t="str">
        <f>TEXT(TbDespesas[[#This Row],[data_transacao]], "aaaa-mm")</f>
        <v>2026-02</v>
      </c>
    </row>
    <row r="399" spans="1:8">
      <c r="A399">
        <v>398</v>
      </c>
      <c r="B399" s="1">
        <v>46065</v>
      </c>
      <c r="C399" t="s">
        <v>210</v>
      </c>
      <c r="D399" t="s">
        <v>228</v>
      </c>
      <c r="E399">
        <v>500</v>
      </c>
      <c r="F399">
        <v>1</v>
      </c>
      <c r="G399">
        <v>864</v>
      </c>
      <c r="H399" t="str">
        <f>TEXT(TbDespesas[[#This Row],[data_transacao]], "aaaa-mm")</f>
        <v>2026-02</v>
      </c>
    </row>
    <row r="400" spans="1:8">
      <c r="A400">
        <v>399</v>
      </c>
      <c r="B400" s="1">
        <v>46065</v>
      </c>
      <c r="C400" t="s">
        <v>210</v>
      </c>
      <c r="D400" t="s">
        <v>149</v>
      </c>
      <c r="E400">
        <v>433</v>
      </c>
      <c r="F400">
        <v>4</v>
      </c>
      <c r="G400">
        <v>2059</v>
      </c>
      <c r="H400" t="str">
        <f>TEXT(TbDespesas[[#This Row],[data_transacao]], "aaaa-mm")</f>
        <v>2026-02</v>
      </c>
    </row>
    <row r="401" spans="1:8">
      <c r="A401">
        <v>400</v>
      </c>
      <c r="B401" s="1">
        <v>46065</v>
      </c>
      <c r="C401" t="s">
        <v>210</v>
      </c>
      <c r="D401" t="s">
        <v>343</v>
      </c>
      <c r="E401">
        <v>495</v>
      </c>
      <c r="F401">
        <v>1</v>
      </c>
      <c r="G401">
        <v>697</v>
      </c>
      <c r="H401" t="str">
        <f>TEXT(TbDespesas[[#This Row],[data_transacao]], "aaaa-mm")</f>
        <v>2026-02</v>
      </c>
    </row>
    <row r="402" spans="1:8">
      <c r="A402">
        <v>401</v>
      </c>
      <c r="B402" s="1">
        <v>46065</v>
      </c>
      <c r="C402" t="s">
        <v>210</v>
      </c>
      <c r="D402" t="s">
        <v>193</v>
      </c>
      <c r="E402">
        <v>486</v>
      </c>
      <c r="F402">
        <v>6</v>
      </c>
      <c r="G402">
        <v>2939</v>
      </c>
      <c r="H402" t="str">
        <f>TEXT(TbDespesas[[#This Row],[data_transacao]], "aaaa-mm")</f>
        <v>2026-02</v>
      </c>
    </row>
    <row r="403" spans="1:8">
      <c r="A403">
        <v>402</v>
      </c>
      <c r="B403" s="1">
        <v>46060</v>
      </c>
      <c r="C403" t="s">
        <v>344</v>
      </c>
      <c r="D403" t="s">
        <v>340</v>
      </c>
      <c r="E403">
        <v>262</v>
      </c>
      <c r="F403">
        <v>9</v>
      </c>
      <c r="G403">
        <v>2604</v>
      </c>
      <c r="H403" t="str">
        <f>TEXT(TbDespesas[[#This Row],[data_transacao]], "aaaa-mm")</f>
        <v>2026-02</v>
      </c>
    </row>
    <row r="404" spans="1:8">
      <c r="A404">
        <v>403</v>
      </c>
      <c r="B404" s="1">
        <v>46248</v>
      </c>
      <c r="C404" t="s">
        <v>287</v>
      </c>
      <c r="D404" t="s">
        <v>345</v>
      </c>
      <c r="E404">
        <v>263</v>
      </c>
      <c r="F404">
        <v>8</v>
      </c>
      <c r="G404">
        <v>2221</v>
      </c>
      <c r="H404" t="str">
        <f>TEXT(TbDespesas[[#This Row],[data_transacao]], "aaaa-mm")</f>
        <v>2026-08</v>
      </c>
    </row>
    <row r="405" spans="1:8">
      <c r="A405">
        <v>404</v>
      </c>
      <c r="B405" s="1">
        <v>45987</v>
      </c>
      <c r="C405" t="s">
        <v>279</v>
      </c>
      <c r="D405" t="s">
        <v>346</v>
      </c>
      <c r="E405">
        <v>388</v>
      </c>
      <c r="F405">
        <v>5</v>
      </c>
      <c r="G405">
        <v>2252</v>
      </c>
      <c r="H405" t="str">
        <f>TEXT(TbDespesas[[#This Row],[data_transacao]], "aaaa-mm")</f>
        <v>2025-11</v>
      </c>
    </row>
    <row r="406" spans="1:8">
      <c r="A406">
        <v>405</v>
      </c>
      <c r="B406" s="1">
        <v>45987</v>
      </c>
      <c r="C406" t="s">
        <v>279</v>
      </c>
      <c r="D406" t="s">
        <v>347</v>
      </c>
      <c r="E406">
        <v>289</v>
      </c>
      <c r="F406">
        <v>6</v>
      </c>
      <c r="G406">
        <v>1856</v>
      </c>
      <c r="H406" t="str">
        <f>TEXT(TbDespesas[[#This Row],[data_transacao]], "aaaa-mm")</f>
        <v>2025-11</v>
      </c>
    </row>
    <row r="407" spans="1:8">
      <c r="A407">
        <v>406</v>
      </c>
      <c r="B407" s="1">
        <v>45987</v>
      </c>
      <c r="C407" t="s">
        <v>279</v>
      </c>
      <c r="D407" t="s">
        <v>348</v>
      </c>
      <c r="E407">
        <v>461</v>
      </c>
      <c r="F407">
        <v>5</v>
      </c>
      <c r="G407">
        <v>2457</v>
      </c>
      <c r="H407" t="str">
        <f>TEXT(TbDespesas[[#This Row],[data_transacao]], "aaaa-mm")</f>
        <v>2025-11</v>
      </c>
    </row>
    <row r="408" spans="1:8">
      <c r="A408">
        <v>407</v>
      </c>
      <c r="B408" s="1">
        <v>45987</v>
      </c>
      <c r="C408" t="s">
        <v>279</v>
      </c>
      <c r="D408" t="s">
        <v>212</v>
      </c>
      <c r="E408">
        <v>499</v>
      </c>
      <c r="F408">
        <v>4</v>
      </c>
      <c r="G408">
        <v>2102</v>
      </c>
      <c r="H408" t="str">
        <f>TEXT(TbDespesas[[#This Row],[data_transacao]], "aaaa-mm")</f>
        <v>2025-11</v>
      </c>
    </row>
    <row r="409" spans="1:8">
      <c r="A409">
        <v>408</v>
      </c>
      <c r="B409" s="1">
        <v>45987</v>
      </c>
      <c r="C409" t="s">
        <v>279</v>
      </c>
      <c r="D409" t="s">
        <v>349</v>
      </c>
      <c r="E409">
        <v>428</v>
      </c>
      <c r="F409">
        <v>3</v>
      </c>
      <c r="G409">
        <v>1695</v>
      </c>
      <c r="H409" t="str">
        <f>TEXT(TbDespesas[[#This Row],[data_transacao]], "aaaa-mm")</f>
        <v>2025-11</v>
      </c>
    </row>
    <row r="410" spans="1:8">
      <c r="A410">
        <v>409</v>
      </c>
      <c r="B410" s="1">
        <v>46261</v>
      </c>
      <c r="C410" t="s">
        <v>350</v>
      </c>
      <c r="D410" t="s">
        <v>351</v>
      </c>
      <c r="E410">
        <v>74</v>
      </c>
      <c r="F410">
        <v>24</v>
      </c>
      <c r="G410">
        <v>1839</v>
      </c>
      <c r="H410" t="str">
        <f>TEXT(TbDespesas[[#This Row],[data_transacao]], "aaaa-mm")</f>
        <v>2026-08</v>
      </c>
    </row>
    <row r="411" spans="1:8">
      <c r="A411">
        <v>410</v>
      </c>
      <c r="B411" s="1">
        <v>46261</v>
      </c>
      <c r="C411" t="s">
        <v>350</v>
      </c>
      <c r="D411" t="s">
        <v>331</v>
      </c>
      <c r="E411">
        <v>433</v>
      </c>
      <c r="F411">
        <v>9</v>
      </c>
      <c r="G411">
        <v>4270</v>
      </c>
      <c r="H411" t="str">
        <f>TEXT(TbDespesas[[#This Row],[data_transacao]], "aaaa-mm")</f>
        <v>2026-08</v>
      </c>
    </row>
    <row r="412" spans="1:8">
      <c r="A412">
        <v>411</v>
      </c>
      <c r="B412" s="1">
        <v>46261</v>
      </c>
      <c r="C412" t="s">
        <v>350</v>
      </c>
      <c r="D412" t="s">
        <v>132</v>
      </c>
      <c r="E412">
        <v>435</v>
      </c>
      <c r="F412">
        <v>5</v>
      </c>
      <c r="G412">
        <v>2233</v>
      </c>
      <c r="H412" t="str">
        <f>TEXT(TbDespesas[[#This Row],[data_transacao]], "aaaa-mm")</f>
        <v>2026-08</v>
      </c>
    </row>
    <row r="413" spans="1:8">
      <c r="A413">
        <v>412</v>
      </c>
      <c r="B413" s="1">
        <v>46261</v>
      </c>
      <c r="C413" t="s">
        <v>350</v>
      </c>
      <c r="D413" t="s">
        <v>352</v>
      </c>
      <c r="E413">
        <v>125</v>
      </c>
      <c r="F413">
        <v>23</v>
      </c>
      <c r="G413">
        <v>2983</v>
      </c>
      <c r="H413" t="str">
        <f>TEXT(TbDespesas[[#This Row],[data_transacao]], "aaaa-mm")</f>
        <v>2026-08</v>
      </c>
    </row>
    <row r="414" spans="1:8">
      <c r="A414">
        <v>413</v>
      </c>
      <c r="B414" s="1">
        <v>46261</v>
      </c>
      <c r="C414" t="s">
        <v>350</v>
      </c>
      <c r="D414" t="s">
        <v>251</v>
      </c>
      <c r="E414">
        <v>390</v>
      </c>
      <c r="F414">
        <v>6</v>
      </c>
      <c r="G414">
        <v>2382</v>
      </c>
      <c r="H414" t="str">
        <f>TEXT(TbDespesas[[#This Row],[data_transacao]], "aaaa-mm")</f>
        <v>2026-08</v>
      </c>
    </row>
    <row r="415" spans="1:8">
      <c r="A415">
        <v>414</v>
      </c>
      <c r="B415" s="1">
        <v>46261</v>
      </c>
      <c r="C415" t="s">
        <v>350</v>
      </c>
      <c r="D415" t="s">
        <v>198</v>
      </c>
      <c r="E415">
        <v>93</v>
      </c>
      <c r="F415">
        <v>10</v>
      </c>
      <c r="G415">
        <v>977</v>
      </c>
      <c r="H415" t="str">
        <f>TEXT(TbDespesas[[#This Row],[data_transacao]], "aaaa-mm")</f>
        <v>2026-08</v>
      </c>
    </row>
    <row r="416" spans="1:8">
      <c r="A416">
        <v>415</v>
      </c>
      <c r="B416" s="1">
        <v>46261</v>
      </c>
      <c r="C416" t="s">
        <v>350</v>
      </c>
      <c r="D416" t="s">
        <v>311</v>
      </c>
      <c r="E416">
        <v>343</v>
      </c>
      <c r="F416">
        <v>3</v>
      </c>
      <c r="G416">
        <v>1108</v>
      </c>
      <c r="H416" t="str">
        <f>TEXT(TbDespesas[[#This Row],[data_transacao]], "aaaa-mm")</f>
        <v>2026-08</v>
      </c>
    </row>
    <row r="417" spans="1:8">
      <c r="A417">
        <v>416</v>
      </c>
      <c r="B417" s="1">
        <v>46261</v>
      </c>
      <c r="C417" t="s">
        <v>350</v>
      </c>
      <c r="D417" t="s">
        <v>353</v>
      </c>
      <c r="E417">
        <v>60</v>
      </c>
      <c r="F417">
        <v>31</v>
      </c>
      <c r="G417">
        <v>1879</v>
      </c>
      <c r="H417" t="str">
        <f>TEXT(TbDespesas[[#This Row],[data_transacao]], "aaaa-mm")</f>
        <v>2026-08</v>
      </c>
    </row>
    <row r="418" spans="1:8">
      <c r="A418">
        <v>417</v>
      </c>
      <c r="B418" s="1">
        <v>46261</v>
      </c>
      <c r="C418" t="s">
        <v>350</v>
      </c>
      <c r="D418" t="s">
        <v>342</v>
      </c>
      <c r="E418">
        <v>128</v>
      </c>
      <c r="F418">
        <v>8</v>
      </c>
      <c r="G418">
        <v>1055</v>
      </c>
      <c r="H418" t="str">
        <f>TEXT(TbDespesas[[#This Row],[data_transacao]], "aaaa-mm")</f>
        <v>2026-08</v>
      </c>
    </row>
    <row r="419" spans="1:8">
      <c r="A419">
        <v>418</v>
      </c>
      <c r="B419" s="1">
        <v>46261</v>
      </c>
      <c r="C419" t="s">
        <v>350</v>
      </c>
      <c r="D419" t="s">
        <v>354</v>
      </c>
      <c r="E419">
        <v>63</v>
      </c>
      <c r="F419">
        <v>49</v>
      </c>
      <c r="G419">
        <v>3139</v>
      </c>
      <c r="H419" t="str">
        <f>TEXT(TbDespesas[[#This Row],[data_transacao]], "aaaa-mm")</f>
        <v>2026-08</v>
      </c>
    </row>
    <row r="420" spans="1:8">
      <c r="A420">
        <v>419</v>
      </c>
      <c r="B420" s="1">
        <v>46261</v>
      </c>
      <c r="C420" t="s">
        <v>350</v>
      </c>
      <c r="D420" t="s">
        <v>355</v>
      </c>
      <c r="E420">
        <v>405</v>
      </c>
      <c r="F420">
        <v>7</v>
      </c>
      <c r="G420">
        <v>2988</v>
      </c>
      <c r="H420" t="str">
        <f>TEXT(TbDespesas[[#This Row],[data_transacao]], "aaaa-mm")</f>
        <v>2026-08</v>
      </c>
    </row>
    <row r="421" spans="1:8">
      <c r="A421">
        <v>420</v>
      </c>
      <c r="B421" s="1">
        <v>46240</v>
      </c>
      <c r="C421" t="s">
        <v>356</v>
      </c>
      <c r="D421" t="s">
        <v>291</v>
      </c>
      <c r="E421">
        <v>134</v>
      </c>
      <c r="F421">
        <v>16</v>
      </c>
      <c r="G421">
        <v>2220</v>
      </c>
      <c r="H421" t="str">
        <f>TEXT(TbDespesas[[#This Row],[data_transacao]], "aaaa-mm")</f>
        <v>2026-08</v>
      </c>
    </row>
    <row r="422" spans="1:8">
      <c r="A422">
        <v>421</v>
      </c>
      <c r="B422" s="1">
        <v>46240</v>
      </c>
      <c r="C422" t="s">
        <v>356</v>
      </c>
      <c r="D422" t="s">
        <v>357</v>
      </c>
      <c r="E422">
        <v>162</v>
      </c>
      <c r="F422">
        <v>17</v>
      </c>
      <c r="G422">
        <v>2912</v>
      </c>
      <c r="H422" t="str">
        <f>TEXT(TbDespesas[[#This Row],[data_transacao]], "aaaa-mm")</f>
        <v>2026-08</v>
      </c>
    </row>
    <row r="423" spans="1:8">
      <c r="A423">
        <v>422</v>
      </c>
      <c r="B423" s="1">
        <v>46240</v>
      </c>
      <c r="C423" t="s">
        <v>356</v>
      </c>
      <c r="D423" t="s">
        <v>358</v>
      </c>
      <c r="E423">
        <v>201</v>
      </c>
      <c r="F423">
        <v>7</v>
      </c>
      <c r="G423">
        <v>1415</v>
      </c>
      <c r="H423" t="str">
        <f>TEXT(TbDespesas[[#This Row],[data_transacao]], "aaaa-mm")</f>
        <v>2026-08</v>
      </c>
    </row>
    <row r="424" spans="1:8">
      <c r="A424">
        <v>423</v>
      </c>
      <c r="B424" s="1">
        <v>46240</v>
      </c>
      <c r="C424" t="s">
        <v>356</v>
      </c>
      <c r="D424" t="s">
        <v>359</v>
      </c>
      <c r="E424">
        <v>356</v>
      </c>
      <c r="F424">
        <v>4</v>
      </c>
      <c r="G424">
        <v>1602</v>
      </c>
      <c r="H424" t="str">
        <f>TEXT(TbDespesas[[#This Row],[data_transacao]], "aaaa-mm")</f>
        <v>2026-08</v>
      </c>
    </row>
    <row r="425" spans="1:8">
      <c r="A425">
        <v>424</v>
      </c>
      <c r="B425" s="1">
        <v>46240</v>
      </c>
      <c r="C425" t="s">
        <v>356</v>
      </c>
      <c r="D425" t="s">
        <v>98</v>
      </c>
      <c r="E425">
        <v>253</v>
      </c>
      <c r="F425">
        <v>2</v>
      </c>
      <c r="G425">
        <v>684</v>
      </c>
      <c r="H425" t="str">
        <f>TEXT(TbDespesas[[#This Row],[data_transacao]], "aaaa-mm")</f>
        <v>2026-08</v>
      </c>
    </row>
    <row r="426" spans="1:8">
      <c r="A426">
        <v>425</v>
      </c>
      <c r="B426" s="1">
        <v>46240</v>
      </c>
      <c r="C426" t="s">
        <v>356</v>
      </c>
      <c r="D426" t="s">
        <v>360</v>
      </c>
      <c r="E426">
        <v>381</v>
      </c>
      <c r="F426">
        <v>4</v>
      </c>
      <c r="G426">
        <v>1593</v>
      </c>
      <c r="H426" t="str">
        <f>TEXT(TbDespesas[[#This Row],[data_transacao]], "aaaa-mm")</f>
        <v>2026-08</v>
      </c>
    </row>
    <row r="427" spans="1:8">
      <c r="A427">
        <v>426</v>
      </c>
      <c r="B427" s="1">
        <v>46240</v>
      </c>
      <c r="C427" t="s">
        <v>356</v>
      </c>
      <c r="D427" t="s">
        <v>66</v>
      </c>
      <c r="E427">
        <v>491</v>
      </c>
      <c r="F427">
        <v>3</v>
      </c>
      <c r="G427">
        <v>1553</v>
      </c>
      <c r="H427" t="str">
        <f>TEXT(TbDespesas[[#This Row],[data_transacao]], "aaaa-mm")</f>
        <v>2026-08</v>
      </c>
    </row>
    <row r="428" spans="1:8">
      <c r="A428">
        <v>427</v>
      </c>
      <c r="B428" s="1">
        <v>46162</v>
      </c>
      <c r="C428" t="s">
        <v>86</v>
      </c>
      <c r="D428" t="s">
        <v>335</v>
      </c>
      <c r="E428">
        <v>74</v>
      </c>
      <c r="F428">
        <v>24</v>
      </c>
      <c r="G428">
        <v>1777</v>
      </c>
      <c r="H428" t="str">
        <f>TEXT(TbDespesas[[#This Row],[data_transacao]], "aaaa-mm")</f>
        <v>2026-05</v>
      </c>
    </row>
    <row r="429" spans="1:8">
      <c r="A429">
        <v>428</v>
      </c>
      <c r="B429" s="1">
        <v>46162</v>
      </c>
      <c r="C429" t="s">
        <v>86</v>
      </c>
      <c r="D429" t="s">
        <v>353</v>
      </c>
      <c r="E429">
        <v>262</v>
      </c>
      <c r="F429">
        <v>4</v>
      </c>
      <c r="G429">
        <v>1152</v>
      </c>
      <c r="H429" t="str">
        <f>TEXT(TbDespesas[[#This Row],[data_transacao]], "aaaa-mm")</f>
        <v>2026-05</v>
      </c>
    </row>
    <row r="430" spans="1:8">
      <c r="A430">
        <v>429</v>
      </c>
      <c r="B430" s="1">
        <v>46045</v>
      </c>
      <c r="C430" t="s">
        <v>361</v>
      </c>
      <c r="D430" t="s">
        <v>362</v>
      </c>
      <c r="E430">
        <v>201</v>
      </c>
      <c r="F430">
        <v>3</v>
      </c>
      <c r="G430">
        <v>786</v>
      </c>
      <c r="H430" t="str">
        <f>TEXT(TbDespesas[[#This Row],[data_transacao]], "aaaa-mm")</f>
        <v>2026-01</v>
      </c>
    </row>
    <row r="431" spans="1:8">
      <c r="A431">
        <v>430</v>
      </c>
      <c r="B431" s="1">
        <v>46045</v>
      </c>
      <c r="C431" t="s">
        <v>361</v>
      </c>
      <c r="D431" t="s">
        <v>363</v>
      </c>
      <c r="E431">
        <v>143</v>
      </c>
      <c r="F431">
        <v>18</v>
      </c>
      <c r="G431">
        <v>2586</v>
      </c>
      <c r="H431" t="str">
        <f>TEXT(TbDespesas[[#This Row],[data_transacao]], "aaaa-mm")</f>
        <v>2026-01</v>
      </c>
    </row>
    <row r="432" spans="1:8">
      <c r="A432">
        <v>431</v>
      </c>
      <c r="B432" s="1">
        <v>46045</v>
      </c>
      <c r="C432" t="s">
        <v>361</v>
      </c>
      <c r="D432" t="s">
        <v>226</v>
      </c>
      <c r="E432">
        <v>462</v>
      </c>
      <c r="F432">
        <v>0</v>
      </c>
      <c r="G432">
        <v>276</v>
      </c>
      <c r="H432" t="str">
        <f>TEXT(TbDespesas[[#This Row],[data_transacao]], "aaaa-mm")</f>
        <v>2026-01</v>
      </c>
    </row>
    <row r="433" spans="1:8">
      <c r="A433">
        <v>432</v>
      </c>
      <c r="B433" s="1">
        <v>46045</v>
      </c>
      <c r="C433" t="s">
        <v>361</v>
      </c>
      <c r="D433" t="s">
        <v>238</v>
      </c>
      <c r="E433">
        <v>214</v>
      </c>
      <c r="F433">
        <v>7</v>
      </c>
      <c r="G433">
        <v>1641</v>
      </c>
      <c r="H433" t="str">
        <f>TEXT(TbDespesas[[#This Row],[data_transacao]], "aaaa-mm")</f>
        <v>2026-01</v>
      </c>
    </row>
    <row r="434" spans="1:8">
      <c r="A434">
        <v>433</v>
      </c>
      <c r="B434" s="1">
        <v>46045</v>
      </c>
      <c r="C434" t="s">
        <v>361</v>
      </c>
      <c r="D434" t="s">
        <v>100</v>
      </c>
      <c r="E434">
        <v>98</v>
      </c>
      <c r="F434">
        <v>14</v>
      </c>
      <c r="G434">
        <v>1377</v>
      </c>
      <c r="H434" t="str">
        <f>TEXT(TbDespesas[[#This Row],[data_transacao]], "aaaa-mm")</f>
        <v>2026-01</v>
      </c>
    </row>
    <row r="435" spans="1:8">
      <c r="A435">
        <v>434</v>
      </c>
      <c r="B435" s="1">
        <v>46045</v>
      </c>
      <c r="C435" t="s">
        <v>361</v>
      </c>
      <c r="D435" t="s">
        <v>355</v>
      </c>
      <c r="E435">
        <v>131</v>
      </c>
      <c r="F435">
        <v>8</v>
      </c>
      <c r="G435">
        <v>1158</v>
      </c>
      <c r="H435" t="str">
        <f>TEXT(TbDespesas[[#This Row],[data_transacao]], "aaaa-mm")</f>
        <v>2026-01</v>
      </c>
    </row>
    <row r="436" spans="1:8">
      <c r="A436">
        <v>435</v>
      </c>
      <c r="B436" s="1">
        <v>46045</v>
      </c>
      <c r="C436" t="s">
        <v>361</v>
      </c>
      <c r="D436" t="s">
        <v>139</v>
      </c>
      <c r="E436">
        <v>423</v>
      </c>
      <c r="F436">
        <v>2</v>
      </c>
      <c r="G436">
        <v>1191</v>
      </c>
      <c r="H436" t="str">
        <f>TEXT(TbDespesas[[#This Row],[data_transacao]], "aaaa-mm")</f>
        <v>2026-01</v>
      </c>
    </row>
    <row r="437" spans="1:8">
      <c r="A437">
        <v>436</v>
      </c>
      <c r="B437" s="1">
        <v>46045</v>
      </c>
      <c r="C437" t="s">
        <v>361</v>
      </c>
      <c r="D437" t="s">
        <v>364</v>
      </c>
      <c r="E437">
        <v>230</v>
      </c>
      <c r="F437">
        <v>7</v>
      </c>
      <c r="G437">
        <v>1695</v>
      </c>
      <c r="H437" t="str">
        <f>TEXT(TbDespesas[[#This Row],[data_transacao]], "aaaa-mm")</f>
        <v>2026-01</v>
      </c>
    </row>
    <row r="438" spans="1:8">
      <c r="A438">
        <v>437</v>
      </c>
      <c r="B438" s="1">
        <v>46045</v>
      </c>
      <c r="C438" t="s">
        <v>361</v>
      </c>
      <c r="D438" t="s">
        <v>365</v>
      </c>
      <c r="E438">
        <v>82</v>
      </c>
      <c r="F438">
        <v>33</v>
      </c>
      <c r="G438">
        <v>2776</v>
      </c>
      <c r="H438" t="str">
        <f>TEXT(TbDespesas[[#This Row],[data_transacao]], "aaaa-mm")</f>
        <v>2026-01</v>
      </c>
    </row>
    <row r="439" spans="1:8">
      <c r="A439">
        <v>438</v>
      </c>
      <c r="B439" s="1">
        <v>46194</v>
      </c>
      <c r="C439" t="s">
        <v>247</v>
      </c>
      <c r="D439" t="s">
        <v>366</v>
      </c>
      <c r="E439">
        <v>49</v>
      </c>
      <c r="F439">
        <v>19</v>
      </c>
      <c r="G439">
        <v>956</v>
      </c>
      <c r="H439" t="str">
        <f>TEXT(TbDespesas[[#This Row],[data_transacao]], "aaaa-mm")</f>
        <v>2026-06</v>
      </c>
    </row>
    <row r="440" spans="1:8">
      <c r="A440">
        <v>439</v>
      </c>
      <c r="B440" s="1">
        <v>46194</v>
      </c>
      <c r="C440" t="s">
        <v>247</v>
      </c>
      <c r="D440" t="s">
        <v>324</v>
      </c>
      <c r="E440">
        <v>111</v>
      </c>
      <c r="F440">
        <v>12</v>
      </c>
      <c r="G440">
        <v>1405</v>
      </c>
      <c r="H440" t="str">
        <f>TEXT(TbDespesas[[#This Row],[data_transacao]], "aaaa-mm")</f>
        <v>2026-06</v>
      </c>
    </row>
    <row r="441" spans="1:8">
      <c r="A441">
        <v>440</v>
      </c>
      <c r="B441" s="1">
        <v>46194</v>
      </c>
      <c r="C441" t="s">
        <v>247</v>
      </c>
      <c r="D441" t="s">
        <v>367</v>
      </c>
      <c r="E441">
        <v>328</v>
      </c>
      <c r="F441">
        <v>11</v>
      </c>
      <c r="G441">
        <v>3641</v>
      </c>
      <c r="H441" t="str">
        <f>TEXT(TbDespesas[[#This Row],[data_transacao]], "aaaa-mm")</f>
        <v>2026-06</v>
      </c>
    </row>
    <row r="442" spans="1:8">
      <c r="A442">
        <v>441</v>
      </c>
      <c r="B442" s="1">
        <v>46049</v>
      </c>
      <c r="C442" t="s">
        <v>247</v>
      </c>
      <c r="D442" t="s">
        <v>235</v>
      </c>
      <c r="E442">
        <v>65</v>
      </c>
      <c r="F442">
        <v>23</v>
      </c>
      <c r="G442">
        <v>1546</v>
      </c>
      <c r="H442" t="str">
        <f>TEXT(TbDespesas[[#This Row],[data_transacao]], "aaaa-mm")</f>
        <v>2026-01</v>
      </c>
    </row>
    <row r="443" spans="1:8">
      <c r="A443">
        <v>442</v>
      </c>
      <c r="B443" s="1">
        <v>46049</v>
      </c>
      <c r="C443" t="s">
        <v>247</v>
      </c>
      <c r="D443" t="s">
        <v>300</v>
      </c>
      <c r="E443">
        <v>36</v>
      </c>
      <c r="F443">
        <v>71</v>
      </c>
      <c r="G443">
        <v>2559</v>
      </c>
      <c r="H443" t="str">
        <f>TEXT(TbDespesas[[#This Row],[data_transacao]], "aaaa-mm")</f>
        <v>2026-01</v>
      </c>
    </row>
    <row r="444" spans="1:8">
      <c r="A444">
        <v>443</v>
      </c>
      <c r="B444" s="1">
        <v>46049</v>
      </c>
      <c r="C444" t="s">
        <v>247</v>
      </c>
      <c r="D444" t="s">
        <v>189</v>
      </c>
      <c r="E444">
        <v>44</v>
      </c>
      <c r="F444">
        <v>46</v>
      </c>
      <c r="G444">
        <v>2054</v>
      </c>
      <c r="H444" t="str">
        <f>TEXT(TbDespesas[[#This Row],[data_transacao]], "aaaa-mm")</f>
        <v>2026-01</v>
      </c>
    </row>
    <row r="445" spans="1:8">
      <c r="A445">
        <v>444</v>
      </c>
      <c r="B445" s="1">
        <v>46049</v>
      </c>
      <c r="C445" t="s">
        <v>247</v>
      </c>
      <c r="D445" t="s">
        <v>368</v>
      </c>
      <c r="E445">
        <v>321</v>
      </c>
      <c r="F445">
        <v>14</v>
      </c>
      <c r="G445">
        <v>4518</v>
      </c>
      <c r="H445" t="str">
        <f>TEXT(TbDespesas[[#This Row],[data_transacao]], "aaaa-mm")</f>
        <v>2026-01</v>
      </c>
    </row>
    <row r="446" spans="1:8">
      <c r="A446">
        <v>445</v>
      </c>
      <c r="B446" s="1">
        <v>46049</v>
      </c>
      <c r="C446" t="s">
        <v>247</v>
      </c>
      <c r="D446" t="s">
        <v>363</v>
      </c>
      <c r="E446">
        <v>55</v>
      </c>
      <c r="F446">
        <v>47</v>
      </c>
      <c r="G446">
        <v>2612</v>
      </c>
      <c r="H446" t="str">
        <f>TEXT(TbDespesas[[#This Row],[data_transacao]], "aaaa-mm")</f>
        <v>2026-01</v>
      </c>
    </row>
    <row r="447" spans="1:8">
      <c r="A447">
        <v>446</v>
      </c>
      <c r="B447" s="1">
        <v>46041</v>
      </c>
      <c r="C447" t="s">
        <v>192</v>
      </c>
      <c r="D447" t="s">
        <v>369</v>
      </c>
      <c r="E447">
        <v>367</v>
      </c>
      <c r="F447">
        <v>4</v>
      </c>
      <c r="G447">
        <v>1501</v>
      </c>
      <c r="H447" t="str">
        <f>TEXT(TbDespesas[[#This Row],[data_transacao]], "aaaa-mm")</f>
        <v>2026-01</v>
      </c>
    </row>
    <row r="448" spans="1:8">
      <c r="A448">
        <v>447</v>
      </c>
      <c r="B448" s="1">
        <v>46041</v>
      </c>
      <c r="C448" t="s">
        <v>192</v>
      </c>
      <c r="D448" t="s">
        <v>124</v>
      </c>
      <c r="E448">
        <v>119</v>
      </c>
      <c r="F448">
        <v>12</v>
      </c>
      <c r="G448">
        <v>1468</v>
      </c>
      <c r="H448" t="str">
        <f>TEXT(TbDespesas[[#This Row],[data_transacao]], "aaaa-mm")</f>
        <v>2026-01</v>
      </c>
    </row>
    <row r="449" spans="1:8">
      <c r="A449">
        <v>448</v>
      </c>
      <c r="B449" s="1">
        <v>46041</v>
      </c>
      <c r="C449" t="s">
        <v>192</v>
      </c>
      <c r="D449" t="s">
        <v>79</v>
      </c>
      <c r="E449">
        <v>96</v>
      </c>
      <c r="F449">
        <v>24</v>
      </c>
      <c r="G449">
        <v>2383</v>
      </c>
      <c r="H449" t="str">
        <f>TEXT(TbDespesas[[#This Row],[data_transacao]], "aaaa-mm")</f>
        <v>2026-01</v>
      </c>
    </row>
    <row r="450" spans="1:8">
      <c r="A450">
        <v>449</v>
      </c>
      <c r="B450" s="1">
        <v>46041</v>
      </c>
      <c r="C450" t="s">
        <v>192</v>
      </c>
      <c r="D450" t="s">
        <v>370</v>
      </c>
      <c r="E450">
        <v>94</v>
      </c>
      <c r="F450">
        <v>16</v>
      </c>
      <c r="G450">
        <v>1542</v>
      </c>
      <c r="H450" t="str">
        <f>TEXT(TbDespesas[[#This Row],[data_transacao]], "aaaa-mm")</f>
        <v>2026-01</v>
      </c>
    </row>
    <row r="451" spans="1:8">
      <c r="A451">
        <v>450</v>
      </c>
      <c r="B451" s="1">
        <v>46041</v>
      </c>
      <c r="C451" t="s">
        <v>192</v>
      </c>
      <c r="D451" t="s">
        <v>285</v>
      </c>
      <c r="E451">
        <v>399</v>
      </c>
      <c r="F451">
        <v>4</v>
      </c>
      <c r="G451">
        <v>1716</v>
      </c>
      <c r="H451" t="str">
        <f>TEXT(TbDespesas[[#This Row],[data_transacao]], "aaaa-mm")</f>
        <v>2026-01</v>
      </c>
    </row>
    <row r="452" spans="1:8">
      <c r="A452">
        <v>451</v>
      </c>
      <c r="B452" s="1">
        <v>46041</v>
      </c>
      <c r="C452" t="s">
        <v>192</v>
      </c>
      <c r="D452" t="s">
        <v>165</v>
      </c>
      <c r="E452">
        <v>287</v>
      </c>
      <c r="F452">
        <v>9</v>
      </c>
      <c r="G452">
        <v>2849</v>
      </c>
      <c r="H452" t="str">
        <f>TEXT(TbDespesas[[#This Row],[data_transacao]], "aaaa-mm")</f>
        <v>2026-01</v>
      </c>
    </row>
    <row r="453" spans="1:8">
      <c r="A453">
        <v>452</v>
      </c>
      <c r="B453" s="1">
        <v>46041</v>
      </c>
      <c r="C453" t="s">
        <v>192</v>
      </c>
      <c r="D453" t="s">
        <v>371</v>
      </c>
      <c r="E453">
        <v>150</v>
      </c>
      <c r="F453">
        <v>18</v>
      </c>
      <c r="G453">
        <v>2740</v>
      </c>
      <c r="H453" t="str">
        <f>TEXT(TbDespesas[[#This Row],[data_transacao]], "aaaa-mm")</f>
        <v>2026-01</v>
      </c>
    </row>
    <row r="454" spans="1:8">
      <c r="A454">
        <v>453</v>
      </c>
      <c r="B454" s="1">
        <v>46041</v>
      </c>
      <c r="C454" t="s">
        <v>192</v>
      </c>
      <c r="D454" t="s">
        <v>153</v>
      </c>
      <c r="E454">
        <v>497</v>
      </c>
      <c r="F454">
        <v>7</v>
      </c>
      <c r="G454">
        <v>3556</v>
      </c>
      <c r="H454" t="str">
        <f>TEXT(TbDespesas[[#This Row],[data_transacao]], "aaaa-mm")</f>
        <v>2026-01</v>
      </c>
    </row>
    <row r="455" spans="1:8">
      <c r="A455">
        <v>454</v>
      </c>
      <c r="B455" s="1">
        <v>46041</v>
      </c>
      <c r="C455" t="s">
        <v>192</v>
      </c>
      <c r="D455" t="s">
        <v>130</v>
      </c>
      <c r="E455">
        <v>454</v>
      </c>
      <c r="F455">
        <v>4</v>
      </c>
      <c r="G455">
        <v>2181</v>
      </c>
      <c r="H455" t="str">
        <f>TEXT(TbDespesas[[#This Row],[data_transacao]], "aaaa-mm")</f>
        <v>2026-01</v>
      </c>
    </row>
    <row r="456" spans="1:8">
      <c r="A456">
        <v>455</v>
      </c>
      <c r="B456" s="1">
        <v>46105</v>
      </c>
      <c r="C456" t="s">
        <v>372</v>
      </c>
      <c r="D456" t="s">
        <v>26</v>
      </c>
      <c r="E456">
        <v>242</v>
      </c>
      <c r="F456">
        <v>5</v>
      </c>
      <c r="G456">
        <v>1311</v>
      </c>
      <c r="H456" t="str">
        <f>TEXT(TbDespesas[[#This Row],[data_transacao]], "aaaa-mm")</f>
        <v>2026-03</v>
      </c>
    </row>
    <row r="457" spans="1:8">
      <c r="A457">
        <v>456</v>
      </c>
      <c r="B457" s="1">
        <v>46105</v>
      </c>
      <c r="C457" t="s">
        <v>372</v>
      </c>
      <c r="D457" t="s">
        <v>60</v>
      </c>
      <c r="E457">
        <v>219</v>
      </c>
      <c r="F457">
        <v>6</v>
      </c>
      <c r="G457">
        <v>1339</v>
      </c>
      <c r="H457" t="str">
        <f>TEXT(TbDespesas[[#This Row],[data_transacao]], "aaaa-mm")</f>
        <v>2026-03</v>
      </c>
    </row>
    <row r="458" spans="1:8">
      <c r="A458">
        <v>457</v>
      </c>
      <c r="B458" s="1">
        <v>46105</v>
      </c>
      <c r="C458" t="s">
        <v>372</v>
      </c>
      <c r="D458" t="s">
        <v>181</v>
      </c>
      <c r="E458">
        <v>326</v>
      </c>
      <c r="F458">
        <v>6</v>
      </c>
      <c r="G458">
        <v>2025</v>
      </c>
      <c r="H458" t="str">
        <f>TEXT(TbDespesas[[#This Row],[data_transacao]], "aaaa-mm")</f>
        <v>2026-03</v>
      </c>
    </row>
    <row r="459" spans="1:8">
      <c r="A459">
        <v>458</v>
      </c>
      <c r="B459" s="1">
        <v>46105</v>
      </c>
      <c r="C459" t="s">
        <v>372</v>
      </c>
      <c r="D459" t="s">
        <v>373</v>
      </c>
      <c r="E459">
        <v>166</v>
      </c>
      <c r="F459">
        <v>10</v>
      </c>
      <c r="G459">
        <v>1677</v>
      </c>
      <c r="H459" t="str">
        <f>TEXT(TbDespesas[[#This Row],[data_transacao]], "aaaa-mm")</f>
        <v>2026-03</v>
      </c>
    </row>
    <row r="460" spans="1:8">
      <c r="A460">
        <v>459</v>
      </c>
      <c r="B460" s="1">
        <v>46105</v>
      </c>
      <c r="C460" t="s">
        <v>372</v>
      </c>
      <c r="D460" t="s">
        <v>147</v>
      </c>
      <c r="E460">
        <v>279</v>
      </c>
      <c r="F460">
        <v>11</v>
      </c>
      <c r="G460">
        <v>3270</v>
      </c>
      <c r="H460" t="str">
        <f>TEXT(TbDespesas[[#This Row],[data_transacao]], "aaaa-mm")</f>
        <v>2026-03</v>
      </c>
    </row>
    <row r="461" spans="1:8">
      <c r="A461">
        <v>460</v>
      </c>
      <c r="B461" s="1">
        <v>46105</v>
      </c>
      <c r="C461" t="s">
        <v>372</v>
      </c>
      <c r="D461" t="s">
        <v>89</v>
      </c>
      <c r="E461">
        <v>150</v>
      </c>
      <c r="F461">
        <v>10</v>
      </c>
      <c r="G461">
        <v>1634</v>
      </c>
      <c r="H461" t="str">
        <f>TEXT(TbDespesas[[#This Row],[data_transacao]], "aaaa-mm")</f>
        <v>2026-03</v>
      </c>
    </row>
    <row r="462" spans="1:8">
      <c r="A462">
        <v>461</v>
      </c>
      <c r="B462" s="1">
        <v>46105</v>
      </c>
      <c r="C462" t="s">
        <v>372</v>
      </c>
      <c r="D462" t="s">
        <v>64</v>
      </c>
      <c r="E462">
        <v>347</v>
      </c>
      <c r="F462">
        <v>2</v>
      </c>
      <c r="G462">
        <v>944</v>
      </c>
      <c r="H462" t="str">
        <f>TEXT(TbDespesas[[#This Row],[data_transacao]], "aaaa-mm")</f>
        <v>2026-03</v>
      </c>
    </row>
    <row r="463" spans="1:8">
      <c r="A463">
        <v>462</v>
      </c>
      <c r="B463" s="1">
        <v>46105</v>
      </c>
      <c r="C463" t="s">
        <v>372</v>
      </c>
      <c r="D463" t="s">
        <v>352</v>
      </c>
      <c r="E463">
        <v>160</v>
      </c>
      <c r="F463">
        <v>8</v>
      </c>
      <c r="G463">
        <v>1428</v>
      </c>
      <c r="H463" t="str">
        <f>TEXT(TbDespesas[[#This Row],[data_transacao]], "aaaa-mm")</f>
        <v>2026-03</v>
      </c>
    </row>
    <row r="464" spans="1:8">
      <c r="A464">
        <v>463</v>
      </c>
      <c r="B464" s="1">
        <v>46105</v>
      </c>
      <c r="C464" t="s">
        <v>372</v>
      </c>
      <c r="D464" t="s">
        <v>172</v>
      </c>
      <c r="E464">
        <v>475</v>
      </c>
      <c r="F464">
        <v>3</v>
      </c>
      <c r="G464">
        <v>1497</v>
      </c>
      <c r="H464" t="str">
        <f>TEXT(TbDespesas[[#This Row],[data_transacao]], "aaaa-mm")</f>
        <v>2026-03</v>
      </c>
    </row>
    <row r="465" spans="1:8">
      <c r="A465">
        <v>464</v>
      </c>
      <c r="B465" s="1">
        <v>46144</v>
      </c>
      <c r="C465" t="s">
        <v>372</v>
      </c>
      <c r="D465" t="s">
        <v>374</v>
      </c>
      <c r="E465">
        <v>128</v>
      </c>
      <c r="F465">
        <v>18</v>
      </c>
      <c r="G465">
        <v>2397</v>
      </c>
      <c r="H465" t="str">
        <f>TEXT(TbDespesas[[#This Row],[data_transacao]], "aaaa-mm")</f>
        <v>2026-05</v>
      </c>
    </row>
    <row r="466" spans="1:8">
      <c r="A466">
        <v>465</v>
      </c>
      <c r="B466" s="1">
        <v>46144</v>
      </c>
      <c r="C466" t="s">
        <v>372</v>
      </c>
      <c r="D466" t="s">
        <v>54</v>
      </c>
      <c r="E466">
        <v>150</v>
      </c>
      <c r="F466">
        <v>9</v>
      </c>
      <c r="G466">
        <v>1466</v>
      </c>
      <c r="H466" t="str">
        <f>TEXT(TbDespesas[[#This Row],[data_transacao]], "aaaa-mm")</f>
        <v>2026-05</v>
      </c>
    </row>
    <row r="467" spans="1:8">
      <c r="A467">
        <v>466</v>
      </c>
      <c r="B467" s="1">
        <v>46144</v>
      </c>
      <c r="C467" t="s">
        <v>372</v>
      </c>
      <c r="D467" t="s">
        <v>375</v>
      </c>
      <c r="E467">
        <v>449</v>
      </c>
      <c r="F467">
        <v>5</v>
      </c>
      <c r="G467">
        <v>2264</v>
      </c>
      <c r="H467" t="str">
        <f>TEXT(TbDespesas[[#This Row],[data_transacao]], "aaaa-mm")</f>
        <v>2026-05</v>
      </c>
    </row>
    <row r="468" spans="1:8">
      <c r="A468">
        <v>467</v>
      </c>
      <c r="B468" s="1">
        <v>46144</v>
      </c>
      <c r="C468" t="s">
        <v>372</v>
      </c>
      <c r="D468" t="s">
        <v>376</v>
      </c>
      <c r="E468">
        <v>329</v>
      </c>
      <c r="F468">
        <v>2</v>
      </c>
      <c r="G468">
        <v>787</v>
      </c>
      <c r="H468" t="str">
        <f>TEXT(TbDespesas[[#This Row],[data_transacao]], "aaaa-mm")</f>
        <v>2026-05</v>
      </c>
    </row>
    <row r="469" spans="1:8">
      <c r="A469">
        <v>468</v>
      </c>
      <c r="B469" s="1">
        <v>46144</v>
      </c>
      <c r="C469" t="s">
        <v>372</v>
      </c>
      <c r="D469" t="s">
        <v>377</v>
      </c>
      <c r="E469">
        <v>483</v>
      </c>
      <c r="F469">
        <v>0</v>
      </c>
      <c r="G469">
        <v>365</v>
      </c>
      <c r="H469" t="str">
        <f>TEXT(TbDespesas[[#This Row],[data_transacao]], "aaaa-mm")</f>
        <v>2026-05</v>
      </c>
    </row>
    <row r="470" spans="1:8">
      <c r="A470">
        <v>469</v>
      </c>
      <c r="B470" s="1">
        <v>46144</v>
      </c>
      <c r="C470" t="s">
        <v>372</v>
      </c>
      <c r="D470" t="s">
        <v>378</v>
      </c>
      <c r="E470">
        <v>258</v>
      </c>
      <c r="F470">
        <v>14</v>
      </c>
      <c r="G470">
        <v>3704</v>
      </c>
      <c r="H470" t="str">
        <f>TEXT(TbDespesas[[#This Row],[data_transacao]], "aaaa-mm")</f>
        <v>2026-05</v>
      </c>
    </row>
    <row r="471" spans="1:8">
      <c r="A471">
        <v>470</v>
      </c>
      <c r="B471" s="1">
        <v>46144</v>
      </c>
      <c r="C471" t="s">
        <v>372</v>
      </c>
      <c r="D471" t="s">
        <v>83</v>
      </c>
      <c r="E471">
        <v>264</v>
      </c>
      <c r="F471">
        <v>11</v>
      </c>
      <c r="G471">
        <v>3162</v>
      </c>
      <c r="H471" t="str">
        <f>TEXT(TbDespesas[[#This Row],[data_transacao]], "aaaa-mm")</f>
        <v>2026-05</v>
      </c>
    </row>
    <row r="472" spans="1:8">
      <c r="A472">
        <v>471</v>
      </c>
      <c r="B472" s="1">
        <v>46144</v>
      </c>
      <c r="C472" t="s">
        <v>372</v>
      </c>
      <c r="D472" t="s">
        <v>222</v>
      </c>
      <c r="E472">
        <v>361</v>
      </c>
      <c r="F472">
        <v>4</v>
      </c>
      <c r="G472">
        <v>1639</v>
      </c>
      <c r="H472" t="str">
        <f>TEXT(TbDespesas[[#This Row],[data_transacao]], "aaaa-mm")</f>
        <v>2026-05</v>
      </c>
    </row>
    <row r="473" spans="1:8">
      <c r="A473">
        <v>472</v>
      </c>
      <c r="B473" s="1">
        <v>46252</v>
      </c>
      <c r="C473" t="s">
        <v>289</v>
      </c>
      <c r="D473" t="s">
        <v>335</v>
      </c>
      <c r="E473">
        <v>86</v>
      </c>
      <c r="F473">
        <v>1</v>
      </c>
      <c r="G473">
        <v>129</v>
      </c>
      <c r="H473" t="str">
        <f>TEXT(TbDespesas[[#This Row],[data_transacao]], "aaaa-mm")</f>
        <v>2026-08</v>
      </c>
    </row>
    <row r="474" spans="1:8">
      <c r="A474">
        <v>473</v>
      </c>
      <c r="B474" s="1">
        <v>46252</v>
      </c>
      <c r="C474" t="s">
        <v>289</v>
      </c>
      <c r="D474" t="s">
        <v>379</v>
      </c>
      <c r="E474">
        <v>366</v>
      </c>
      <c r="F474">
        <v>1</v>
      </c>
      <c r="G474">
        <v>457</v>
      </c>
      <c r="H474" t="str">
        <f>TEXT(TbDespesas[[#This Row],[data_transacao]], "aaaa-mm")</f>
        <v>2026-08</v>
      </c>
    </row>
    <row r="475" spans="1:8">
      <c r="A475">
        <v>474</v>
      </c>
      <c r="B475" s="1">
        <v>46252</v>
      </c>
      <c r="C475" t="s">
        <v>289</v>
      </c>
      <c r="D475" t="s">
        <v>376</v>
      </c>
      <c r="E475">
        <v>361</v>
      </c>
      <c r="F475">
        <v>3</v>
      </c>
      <c r="G475">
        <v>1142</v>
      </c>
      <c r="H475" t="str">
        <f>TEXT(TbDespesas[[#This Row],[data_transacao]], "aaaa-mm")</f>
        <v>2026-08</v>
      </c>
    </row>
    <row r="476" spans="1:8">
      <c r="A476">
        <v>475</v>
      </c>
      <c r="B476" s="1">
        <v>46252</v>
      </c>
      <c r="C476" t="s">
        <v>289</v>
      </c>
      <c r="D476" t="s">
        <v>265</v>
      </c>
      <c r="E476">
        <v>274</v>
      </c>
      <c r="F476">
        <v>3</v>
      </c>
      <c r="G476">
        <v>934</v>
      </c>
      <c r="H476" t="str">
        <f>TEXT(TbDespesas[[#This Row],[data_transacao]], "aaaa-mm")</f>
        <v>2026-08</v>
      </c>
    </row>
    <row r="477" spans="1:8">
      <c r="A477">
        <v>476</v>
      </c>
      <c r="B477" s="1">
        <v>46252</v>
      </c>
      <c r="C477" t="s">
        <v>289</v>
      </c>
      <c r="D477" t="s">
        <v>380</v>
      </c>
      <c r="E477">
        <v>134</v>
      </c>
      <c r="F477">
        <v>10</v>
      </c>
      <c r="G477">
        <v>1437</v>
      </c>
      <c r="H477" t="str">
        <f>TEXT(TbDespesas[[#This Row],[data_transacao]], "aaaa-mm")</f>
        <v>2026-08</v>
      </c>
    </row>
    <row r="478" spans="1:8">
      <c r="A478">
        <v>477</v>
      </c>
      <c r="B478" s="1">
        <v>46252</v>
      </c>
      <c r="C478" t="s">
        <v>289</v>
      </c>
      <c r="D478" t="s">
        <v>381</v>
      </c>
      <c r="E478">
        <v>111</v>
      </c>
      <c r="F478">
        <v>22</v>
      </c>
      <c r="G478">
        <v>2450</v>
      </c>
      <c r="H478" t="str">
        <f>TEXT(TbDespesas[[#This Row],[data_transacao]], "aaaa-mm")</f>
        <v>2026-08</v>
      </c>
    </row>
    <row r="479" spans="1:8">
      <c r="A479">
        <v>478</v>
      </c>
      <c r="B479" s="1">
        <v>46252</v>
      </c>
      <c r="C479" t="s">
        <v>289</v>
      </c>
      <c r="D479" t="s">
        <v>382</v>
      </c>
      <c r="E479">
        <v>165</v>
      </c>
      <c r="F479">
        <v>13</v>
      </c>
      <c r="G479">
        <v>2300</v>
      </c>
      <c r="H479" t="str">
        <f>TEXT(TbDespesas[[#This Row],[data_transacao]], "aaaa-mm")</f>
        <v>2026-08</v>
      </c>
    </row>
    <row r="480" spans="1:8">
      <c r="A480">
        <v>479</v>
      </c>
      <c r="B480" s="1">
        <v>46252</v>
      </c>
      <c r="C480" t="s">
        <v>289</v>
      </c>
      <c r="D480" t="s">
        <v>45</v>
      </c>
      <c r="E480">
        <v>78</v>
      </c>
      <c r="F480">
        <v>7</v>
      </c>
      <c r="G480">
        <v>558</v>
      </c>
      <c r="H480" t="str">
        <f>TEXT(TbDespesas[[#This Row],[data_transacao]], "aaaa-mm")</f>
        <v>2026-08</v>
      </c>
    </row>
    <row r="481" spans="1:8">
      <c r="A481">
        <v>480</v>
      </c>
      <c r="B481" s="1">
        <v>46252</v>
      </c>
      <c r="C481" t="s">
        <v>289</v>
      </c>
      <c r="D481" t="s">
        <v>199</v>
      </c>
      <c r="E481">
        <v>485</v>
      </c>
      <c r="F481">
        <v>3</v>
      </c>
      <c r="G481">
        <v>1797</v>
      </c>
      <c r="H481" t="str">
        <f>TEXT(TbDespesas[[#This Row],[data_transacao]], "aaaa-mm")</f>
        <v>2026-08</v>
      </c>
    </row>
    <row r="482" spans="1:8">
      <c r="A482">
        <v>481</v>
      </c>
      <c r="B482" s="1">
        <v>46252</v>
      </c>
      <c r="C482" t="s">
        <v>289</v>
      </c>
      <c r="D482" t="s">
        <v>383</v>
      </c>
      <c r="E482">
        <v>461</v>
      </c>
      <c r="F482">
        <v>2</v>
      </c>
      <c r="G482">
        <v>1316</v>
      </c>
      <c r="H482" t="str">
        <f>TEXT(TbDespesas[[#This Row],[data_transacao]], "aaaa-mm")</f>
        <v>2026-08</v>
      </c>
    </row>
    <row r="483" spans="1:8">
      <c r="A483">
        <v>482</v>
      </c>
      <c r="B483" s="1">
        <v>46252</v>
      </c>
      <c r="C483" t="s">
        <v>289</v>
      </c>
      <c r="D483" t="s">
        <v>60</v>
      </c>
      <c r="E483">
        <v>30</v>
      </c>
      <c r="F483">
        <v>16</v>
      </c>
      <c r="G483">
        <v>503</v>
      </c>
      <c r="H483" t="str">
        <f>TEXT(TbDespesas[[#This Row],[data_transacao]], "aaaa-mm")</f>
        <v>2026-08</v>
      </c>
    </row>
    <row r="484" spans="1:8">
      <c r="A484">
        <v>483</v>
      </c>
      <c r="B484" s="1">
        <v>45964</v>
      </c>
      <c r="C484" t="s">
        <v>384</v>
      </c>
      <c r="D484" t="s">
        <v>385</v>
      </c>
      <c r="E484">
        <v>389</v>
      </c>
      <c r="F484">
        <v>1</v>
      </c>
      <c r="G484">
        <v>445</v>
      </c>
      <c r="H484" t="str">
        <f>TEXT(TbDespesas[[#This Row],[data_transacao]], "aaaa-mm")</f>
        <v>2025-11</v>
      </c>
    </row>
    <row r="485" spans="1:8">
      <c r="A485">
        <v>484</v>
      </c>
      <c r="B485" s="1">
        <v>45964</v>
      </c>
      <c r="C485" t="s">
        <v>384</v>
      </c>
      <c r="D485" t="s">
        <v>386</v>
      </c>
      <c r="E485">
        <v>476</v>
      </c>
      <c r="F485">
        <v>0</v>
      </c>
      <c r="G485">
        <v>459</v>
      </c>
      <c r="H485" t="str">
        <f>TEXT(TbDespesas[[#This Row],[data_transacao]], "aaaa-mm")</f>
        <v>2025-11</v>
      </c>
    </row>
    <row r="486" spans="1:8">
      <c r="A486">
        <v>485</v>
      </c>
      <c r="B486" s="1">
        <v>45964</v>
      </c>
      <c r="C486" t="s">
        <v>384</v>
      </c>
      <c r="D486" t="s">
        <v>387</v>
      </c>
      <c r="E486">
        <v>350</v>
      </c>
      <c r="F486">
        <v>5</v>
      </c>
      <c r="G486">
        <v>1958</v>
      </c>
      <c r="H486" t="str">
        <f>TEXT(TbDespesas[[#This Row],[data_transacao]], "aaaa-mm")</f>
        <v>2025-11</v>
      </c>
    </row>
    <row r="487" spans="1:8">
      <c r="A487">
        <v>486</v>
      </c>
      <c r="B487" s="1">
        <v>45964</v>
      </c>
      <c r="C487" t="s">
        <v>384</v>
      </c>
      <c r="D487" t="s">
        <v>388</v>
      </c>
      <c r="E487">
        <v>355</v>
      </c>
      <c r="F487">
        <v>6</v>
      </c>
      <c r="G487">
        <v>2405</v>
      </c>
      <c r="H487" t="str">
        <f>TEXT(TbDespesas[[#This Row],[data_transacao]], "aaaa-mm")</f>
        <v>2025-11</v>
      </c>
    </row>
    <row r="488" spans="1:8">
      <c r="A488">
        <v>487</v>
      </c>
      <c r="B488" s="1">
        <v>45964</v>
      </c>
      <c r="C488" t="s">
        <v>384</v>
      </c>
      <c r="D488" t="s">
        <v>145</v>
      </c>
      <c r="E488">
        <v>63</v>
      </c>
      <c r="F488">
        <v>15</v>
      </c>
      <c r="G488">
        <v>1003</v>
      </c>
      <c r="H488" t="str">
        <f>TEXT(TbDespesas[[#This Row],[data_transacao]], "aaaa-mm")</f>
        <v>2025-11</v>
      </c>
    </row>
    <row r="489" spans="1:8">
      <c r="A489">
        <v>488</v>
      </c>
      <c r="B489" s="1">
        <v>45964</v>
      </c>
      <c r="C489" t="s">
        <v>384</v>
      </c>
      <c r="D489" t="s">
        <v>389</v>
      </c>
      <c r="E489">
        <v>358</v>
      </c>
      <c r="F489">
        <v>8</v>
      </c>
      <c r="G489">
        <v>2936</v>
      </c>
      <c r="H489" t="str">
        <f>TEXT(TbDespesas[[#This Row],[data_transacao]], "aaaa-mm")</f>
        <v>2025-11</v>
      </c>
    </row>
    <row r="490" spans="1:8">
      <c r="A490">
        <v>489</v>
      </c>
      <c r="B490" s="1">
        <v>45964</v>
      </c>
      <c r="C490" t="s">
        <v>384</v>
      </c>
      <c r="D490" t="s">
        <v>379</v>
      </c>
      <c r="E490">
        <v>339</v>
      </c>
      <c r="F490">
        <v>0</v>
      </c>
      <c r="G490">
        <v>281</v>
      </c>
      <c r="H490" t="str">
        <f>TEXT(TbDespesas[[#This Row],[data_transacao]], "aaaa-mm")</f>
        <v>2025-11</v>
      </c>
    </row>
    <row r="491" spans="1:8">
      <c r="A491">
        <v>490</v>
      </c>
      <c r="B491" s="1">
        <v>45964</v>
      </c>
      <c r="C491" t="s">
        <v>384</v>
      </c>
      <c r="D491" t="s">
        <v>114</v>
      </c>
      <c r="E491">
        <v>235</v>
      </c>
      <c r="F491">
        <v>15</v>
      </c>
      <c r="G491">
        <v>3550</v>
      </c>
      <c r="H491" t="str">
        <f>TEXT(TbDespesas[[#This Row],[data_transacao]], "aaaa-mm")</f>
        <v>2025-11</v>
      </c>
    </row>
    <row r="492" spans="1:8">
      <c r="A492">
        <v>491</v>
      </c>
      <c r="B492" s="1">
        <v>45964</v>
      </c>
      <c r="C492" t="s">
        <v>384</v>
      </c>
      <c r="D492" t="s">
        <v>390</v>
      </c>
      <c r="E492">
        <v>57</v>
      </c>
      <c r="F492">
        <v>40</v>
      </c>
      <c r="G492">
        <v>2326</v>
      </c>
      <c r="H492" t="str">
        <f>TEXT(TbDespesas[[#This Row],[data_transacao]], "aaaa-mm")</f>
        <v>2025-11</v>
      </c>
    </row>
    <row r="493" spans="1:8">
      <c r="A493">
        <v>492</v>
      </c>
      <c r="B493" s="1">
        <v>45964</v>
      </c>
      <c r="C493" t="s">
        <v>384</v>
      </c>
      <c r="D493" t="s">
        <v>256</v>
      </c>
      <c r="E493">
        <v>471</v>
      </c>
      <c r="F493">
        <v>2</v>
      </c>
      <c r="G493">
        <v>1103</v>
      </c>
      <c r="H493" t="str">
        <f>TEXT(TbDespesas[[#This Row],[data_transacao]], "aaaa-mm")</f>
        <v>2025-11</v>
      </c>
    </row>
    <row r="494" spans="1:8">
      <c r="A494">
        <v>493</v>
      </c>
      <c r="B494" s="1">
        <v>46013</v>
      </c>
      <c r="C494" t="s">
        <v>391</v>
      </c>
      <c r="D494" t="s">
        <v>392</v>
      </c>
      <c r="E494">
        <v>67</v>
      </c>
      <c r="F494">
        <v>28</v>
      </c>
      <c r="G494">
        <v>1921</v>
      </c>
      <c r="H494" t="str">
        <f>TEXT(TbDespesas[[#This Row],[data_transacao]], "aaaa-mm")</f>
        <v>2025-12</v>
      </c>
    </row>
    <row r="495" spans="1:8">
      <c r="A495">
        <v>494</v>
      </c>
      <c r="B495" s="1">
        <v>46013</v>
      </c>
      <c r="C495" t="s">
        <v>391</v>
      </c>
      <c r="D495" t="s">
        <v>393</v>
      </c>
      <c r="E495">
        <v>155</v>
      </c>
      <c r="F495">
        <v>5</v>
      </c>
      <c r="G495">
        <v>915</v>
      </c>
      <c r="H495" t="str">
        <f>TEXT(TbDespesas[[#This Row],[data_transacao]], "aaaa-mm")</f>
        <v>2025-12</v>
      </c>
    </row>
    <row r="496" spans="1:8">
      <c r="A496">
        <v>495</v>
      </c>
      <c r="B496" s="1">
        <v>46013</v>
      </c>
      <c r="C496" t="s">
        <v>391</v>
      </c>
      <c r="D496" t="s">
        <v>362</v>
      </c>
      <c r="E496">
        <v>254</v>
      </c>
      <c r="F496">
        <v>5</v>
      </c>
      <c r="G496">
        <v>1395</v>
      </c>
      <c r="H496" t="str">
        <f>TEXT(TbDespesas[[#This Row],[data_transacao]], "aaaa-mm")</f>
        <v>2025-12</v>
      </c>
    </row>
    <row r="497" spans="1:8">
      <c r="A497">
        <v>496</v>
      </c>
      <c r="B497" s="1">
        <v>46013</v>
      </c>
      <c r="C497" t="s">
        <v>391</v>
      </c>
      <c r="D497" t="s">
        <v>116</v>
      </c>
      <c r="E497">
        <v>33</v>
      </c>
      <c r="F497">
        <v>103</v>
      </c>
      <c r="G497">
        <v>3421</v>
      </c>
      <c r="H497" t="str">
        <f>TEXT(TbDespesas[[#This Row],[data_transacao]], "aaaa-mm")</f>
        <v>2025-12</v>
      </c>
    </row>
    <row r="498" spans="1:8">
      <c r="A498">
        <v>497</v>
      </c>
      <c r="B498" s="1">
        <v>46013</v>
      </c>
      <c r="C498" t="s">
        <v>391</v>
      </c>
      <c r="D498" t="s">
        <v>394</v>
      </c>
      <c r="E498">
        <v>408</v>
      </c>
      <c r="F498">
        <v>3</v>
      </c>
      <c r="G498">
        <v>1445</v>
      </c>
      <c r="H498" t="str">
        <f>TEXT(TbDespesas[[#This Row],[data_transacao]], "aaaa-mm")</f>
        <v>2025-12</v>
      </c>
    </row>
    <row r="499" spans="1:8">
      <c r="A499">
        <v>498</v>
      </c>
      <c r="B499" s="1">
        <v>46013</v>
      </c>
      <c r="C499" t="s">
        <v>391</v>
      </c>
      <c r="D499" t="s">
        <v>55</v>
      </c>
      <c r="E499">
        <v>136</v>
      </c>
      <c r="F499">
        <v>19</v>
      </c>
      <c r="G499">
        <v>2679</v>
      </c>
      <c r="H499" t="str">
        <f>TEXT(TbDespesas[[#This Row],[data_transacao]], "aaaa-mm")</f>
        <v>2025-12</v>
      </c>
    </row>
    <row r="500" spans="1:8">
      <c r="A500">
        <v>499</v>
      </c>
      <c r="B500" s="1">
        <v>46013</v>
      </c>
      <c r="C500" t="s">
        <v>391</v>
      </c>
      <c r="D500" t="s">
        <v>395</v>
      </c>
      <c r="E500">
        <v>491</v>
      </c>
      <c r="F500">
        <v>8</v>
      </c>
      <c r="G500">
        <v>4010</v>
      </c>
      <c r="H500" t="str">
        <f>TEXT(TbDespesas[[#This Row],[data_transacao]], "aaaa-mm")</f>
        <v>2025-12</v>
      </c>
    </row>
    <row r="501" spans="1:8">
      <c r="A501">
        <v>500</v>
      </c>
      <c r="B501" s="1">
        <v>46013</v>
      </c>
      <c r="C501" t="s">
        <v>391</v>
      </c>
      <c r="D501" t="s">
        <v>295</v>
      </c>
      <c r="E501">
        <v>468</v>
      </c>
      <c r="F501">
        <v>5</v>
      </c>
      <c r="G501">
        <v>2393</v>
      </c>
      <c r="H501" t="str">
        <f>TEXT(TbDespesas[[#This Row],[data_transacao]], "aaaa-mm")</f>
        <v>2025-12</v>
      </c>
    </row>
    <row r="502" spans="1:8">
      <c r="A502">
        <v>501</v>
      </c>
      <c r="B502" s="1">
        <v>46013</v>
      </c>
      <c r="C502" t="s">
        <v>391</v>
      </c>
      <c r="D502" t="s">
        <v>268</v>
      </c>
      <c r="E502">
        <v>433</v>
      </c>
      <c r="F502">
        <v>5</v>
      </c>
      <c r="G502">
        <v>2315</v>
      </c>
      <c r="H502" t="str">
        <f>TEXT(TbDespesas[[#This Row],[data_transacao]], "aaaa-mm")</f>
        <v>2025-12</v>
      </c>
    </row>
    <row r="503" spans="1:8">
      <c r="A503">
        <v>502</v>
      </c>
      <c r="B503" s="1">
        <v>46013</v>
      </c>
      <c r="C503" t="s">
        <v>391</v>
      </c>
      <c r="D503" t="s">
        <v>240</v>
      </c>
      <c r="E503">
        <v>471</v>
      </c>
      <c r="F503">
        <v>0</v>
      </c>
      <c r="G503">
        <v>170</v>
      </c>
      <c r="H503" t="str">
        <f>TEXT(TbDespesas[[#This Row],[data_transacao]], "aaaa-mm")</f>
        <v>2025-12</v>
      </c>
    </row>
    <row r="504" spans="1:8">
      <c r="A504">
        <v>503</v>
      </c>
      <c r="B504" s="1">
        <v>46013</v>
      </c>
      <c r="C504" t="s">
        <v>391</v>
      </c>
      <c r="D504" t="s">
        <v>75</v>
      </c>
      <c r="E504">
        <v>176</v>
      </c>
      <c r="F504">
        <v>18</v>
      </c>
      <c r="G504">
        <v>3206</v>
      </c>
      <c r="H504" t="str">
        <f>TEXT(TbDespesas[[#This Row],[data_transacao]], "aaaa-mm")</f>
        <v>2025-12</v>
      </c>
    </row>
    <row r="505" spans="1:8">
      <c r="A505">
        <v>504</v>
      </c>
      <c r="B505" s="1">
        <v>46022</v>
      </c>
      <c r="C505" t="s">
        <v>396</v>
      </c>
      <c r="D505" t="s">
        <v>161</v>
      </c>
      <c r="E505">
        <v>151</v>
      </c>
      <c r="F505">
        <v>22</v>
      </c>
      <c r="G505">
        <v>3343</v>
      </c>
      <c r="H505" t="str">
        <f>TEXT(TbDespesas[[#This Row],[data_transacao]], "aaaa-mm")</f>
        <v>2025-12</v>
      </c>
    </row>
    <row r="506" spans="1:8">
      <c r="A506">
        <v>505</v>
      </c>
      <c r="B506" s="1">
        <v>46022</v>
      </c>
      <c r="C506" t="s">
        <v>396</v>
      </c>
      <c r="D506" t="s">
        <v>397</v>
      </c>
      <c r="E506">
        <v>278</v>
      </c>
      <c r="F506">
        <v>4</v>
      </c>
      <c r="G506">
        <v>1386</v>
      </c>
      <c r="H506" t="str">
        <f>TEXT(TbDespesas[[#This Row],[data_transacao]], "aaaa-mm")</f>
        <v>2025-12</v>
      </c>
    </row>
    <row r="507" spans="1:8">
      <c r="A507">
        <v>506</v>
      </c>
      <c r="B507" s="1">
        <v>46022</v>
      </c>
      <c r="C507" t="s">
        <v>396</v>
      </c>
      <c r="D507" t="s">
        <v>398</v>
      </c>
      <c r="E507">
        <v>103</v>
      </c>
      <c r="F507">
        <v>26</v>
      </c>
      <c r="G507">
        <v>2777</v>
      </c>
      <c r="H507" t="str">
        <f>TEXT(TbDespesas[[#This Row],[data_transacao]], "aaaa-mm")</f>
        <v>2025-12</v>
      </c>
    </row>
    <row r="508" spans="1:8">
      <c r="A508">
        <v>507</v>
      </c>
      <c r="B508" s="1">
        <v>46022</v>
      </c>
      <c r="C508" t="s">
        <v>396</v>
      </c>
      <c r="D508" t="s">
        <v>399</v>
      </c>
      <c r="E508">
        <v>273</v>
      </c>
      <c r="F508">
        <v>1</v>
      </c>
      <c r="G508">
        <v>425</v>
      </c>
      <c r="H508" t="str">
        <f>TEXT(TbDespesas[[#This Row],[data_transacao]], "aaaa-mm")</f>
        <v>2025-12</v>
      </c>
    </row>
    <row r="509" spans="1:8">
      <c r="A509">
        <v>508</v>
      </c>
      <c r="B509" s="1">
        <v>46022</v>
      </c>
      <c r="C509" t="s">
        <v>396</v>
      </c>
      <c r="D509" t="s">
        <v>301</v>
      </c>
      <c r="E509">
        <v>303</v>
      </c>
      <c r="F509">
        <v>7</v>
      </c>
      <c r="G509">
        <v>2157</v>
      </c>
      <c r="H509" t="str">
        <f>TEXT(TbDespesas[[#This Row],[data_transacao]], "aaaa-mm")</f>
        <v>2025-12</v>
      </c>
    </row>
    <row r="510" spans="1:8">
      <c r="A510">
        <v>509</v>
      </c>
      <c r="B510" s="1">
        <v>46022</v>
      </c>
      <c r="C510" t="s">
        <v>396</v>
      </c>
      <c r="D510" t="s">
        <v>365</v>
      </c>
      <c r="E510">
        <v>428</v>
      </c>
      <c r="F510">
        <v>6</v>
      </c>
      <c r="G510">
        <v>2805</v>
      </c>
      <c r="H510" t="str">
        <f>TEXT(TbDespesas[[#This Row],[data_transacao]], "aaaa-mm")</f>
        <v>2025-12</v>
      </c>
    </row>
    <row r="511" spans="1:8">
      <c r="A511">
        <v>510</v>
      </c>
      <c r="B511" s="1">
        <v>46022</v>
      </c>
      <c r="C511" t="s">
        <v>396</v>
      </c>
      <c r="D511" t="s">
        <v>312</v>
      </c>
      <c r="E511">
        <v>446</v>
      </c>
      <c r="F511">
        <v>4</v>
      </c>
      <c r="G511">
        <v>1858</v>
      </c>
      <c r="H511" t="str">
        <f>TEXT(TbDespesas[[#This Row],[data_transacao]], "aaaa-mm")</f>
        <v>2025-12</v>
      </c>
    </row>
    <row r="512" spans="1:8">
      <c r="A512">
        <v>511</v>
      </c>
      <c r="B512" s="1">
        <v>45947</v>
      </c>
      <c r="C512" t="s">
        <v>110</v>
      </c>
      <c r="D512" t="s">
        <v>375</v>
      </c>
      <c r="E512">
        <v>381</v>
      </c>
      <c r="F512">
        <v>5</v>
      </c>
      <c r="G512">
        <v>2103</v>
      </c>
      <c r="H512" t="str">
        <f>TEXT(TbDespesas[[#This Row],[data_transacao]], "aaaa-mm")</f>
        <v>2025-10</v>
      </c>
    </row>
    <row r="513" spans="1:8">
      <c r="A513">
        <v>512</v>
      </c>
      <c r="B513" s="1">
        <v>45947</v>
      </c>
      <c r="C513" t="s">
        <v>110</v>
      </c>
      <c r="D513" t="s">
        <v>400</v>
      </c>
      <c r="E513">
        <v>116</v>
      </c>
      <c r="F513">
        <v>5</v>
      </c>
      <c r="G513">
        <v>687</v>
      </c>
      <c r="H513" t="str">
        <f>TEXT(TbDespesas[[#This Row],[data_transacao]], "aaaa-mm")</f>
        <v>2025-10</v>
      </c>
    </row>
    <row r="514" spans="1:8">
      <c r="A514">
        <v>513</v>
      </c>
      <c r="B514" s="1">
        <v>45947</v>
      </c>
      <c r="C514" t="s">
        <v>110</v>
      </c>
      <c r="D514" t="s">
        <v>220</v>
      </c>
      <c r="E514">
        <v>31</v>
      </c>
      <c r="F514">
        <v>44</v>
      </c>
      <c r="G514">
        <v>1365</v>
      </c>
      <c r="H514" t="str">
        <f>TEXT(TbDespesas[[#This Row],[data_transacao]], "aaaa-mm")</f>
        <v>2025-10</v>
      </c>
    </row>
    <row r="515" spans="1:8">
      <c r="A515">
        <v>514</v>
      </c>
      <c r="B515" s="1">
        <v>45947</v>
      </c>
      <c r="C515" t="s">
        <v>110</v>
      </c>
      <c r="D515" t="s">
        <v>343</v>
      </c>
      <c r="E515">
        <v>491</v>
      </c>
      <c r="F515">
        <v>1</v>
      </c>
      <c r="G515">
        <v>590</v>
      </c>
      <c r="H515" t="str">
        <f>TEXT(TbDespesas[[#This Row],[data_transacao]], "aaaa-mm")</f>
        <v>2025-10</v>
      </c>
    </row>
    <row r="516" spans="1:8">
      <c r="A516">
        <v>515</v>
      </c>
      <c r="B516" s="1">
        <v>45947</v>
      </c>
      <c r="C516" t="s">
        <v>110</v>
      </c>
      <c r="D516" t="s">
        <v>26</v>
      </c>
      <c r="E516">
        <v>223</v>
      </c>
      <c r="F516">
        <v>1</v>
      </c>
      <c r="G516">
        <v>308</v>
      </c>
      <c r="H516" t="str">
        <f>TEXT(TbDespesas[[#This Row],[data_transacao]], "aaaa-mm")</f>
        <v>2025-10</v>
      </c>
    </row>
    <row r="517" spans="1:8">
      <c r="A517">
        <v>516</v>
      </c>
      <c r="B517" s="1">
        <v>45947</v>
      </c>
      <c r="C517" t="s">
        <v>110</v>
      </c>
      <c r="D517" t="s">
        <v>401</v>
      </c>
      <c r="E517">
        <v>281</v>
      </c>
      <c r="F517">
        <v>3</v>
      </c>
      <c r="G517">
        <v>908</v>
      </c>
      <c r="H517" t="str">
        <f>TEXT(TbDespesas[[#This Row],[data_transacao]], "aaaa-mm")</f>
        <v>2025-10</v>
      </c>
    </row>
    <row r="518" spans="1:8">
      <c r="A518">
        <v>517</v>
      </c>
      <c r="B518" s="1">
        <v>45947</v>
      </c>
      <c r="C518" t="s">
        <v>110</v>
      </c>
      <c r="D518" t="s">
        <v>170</v>
      </c>
      <c r="E518">
        <v>234</v>
      </c>
      <c r="F518">
        <v>7</v>
      </c>
      <c r="G518">
        <v>1734</v>
      </c>
      <c r="H518" t="str">
        <f>TEXT(TbDespesas[[#This Row],[data_transacao]], "aaaa-mm")</f>
        <v>2025-10</v>
      </c>
    </row>
    <row r="519" spans="1:8">
      <c r="A519">
        <v>518</v>
      </c>
      <c r="B519" s="1">
        <v>45947</v>
      </c>
      <c r="C519" t="s">
        <v>110</v>
      </c>
      <c r="D519" t="s">
        <v>402</v>
      </c>
      <c r="E519">
        <v>22</v>
      </c>
      <c r="F519">
        <v>37</v>
      </c>
      <c r="G519">
        <v>815</v>
      </c>
      <c r="H519" t="str">
        <f>TEXT(TbDespesas[[#This Row],[data_transacao]], "aaaa-mm")</f>
        <v>2025-10</v>
      </c>
    </row>
    <row r="520" spans="1:8">
      <c r="A520">
        <v>519</v>
      </c>
      <c r="B520" s="1">
        <v>45947</v>
      </c>
      <c r="C520" t="s">
        <v>110</v>
      </c>
      <c r="D520" t="s">
        <v>277</v>
      </c>
      <c r="E520">
        <v>27</v>
      </c>
      <c r="F520">
        <v>23</v>
      </c>
      <c r="G520">
        <v>633</v>
      </c>
      <c r="H520" t="str">
        <f>TEXT(TbDespesas[[#This Row],[data_transacao]], "aaaa-mm")</f>
        <v>2025-10</v>
      </c>
    </row>
    <row r="521" spans="1:8">
      <c r="A521">
        <v>520</v>
      </c>
      <c r="B521" s="1">
        <v>46062</v>
      </c>
      <c r="C521" t="s">
        <v>403</v>
      </c>
      <c r="D521" t="s">
        <v>404</v>
      </c>
      <c r="E521">
        <v>55</v>
      </c>
      <c r="F521">
        <v>28</v>
      </c>
      <c r="G521">
        <v>1561</v>
      </c>
      <c r="H521" t="str">
        <f>TEXT(TbDespesas[[#This Row],[data_transacao]], "aaaa-mm")</f>
        <v>2026-02</v>
      </c>
    </row>
    <row r="522" spans="1:8">
      <c r="A522">
        <v>521</v>
      </c>
      <c r="B522" s="1">
        <v>46174</v>
      </c>
      <c r="C522" t="s">
        <v>405</v>
      </c>
      <c r="D522" t="s">
        <v>128</v>
      </c>
      <c r="E522">
        <v>465</v>
      </c>
      <c r="F522">
        <v>5</v>
      </c>
      <c r="G522">
        <v>2451</v>
      </c>
      <c r="H522" t="str">
        <f>TEXT(TbDespesas[[#This Row],[data_transacao]], "aaaa-mm")</f>
        <v>2026-06</v>
      </c>
    </row>
    <row r="523" spans="1:8">
      <c r="A523">
        <v>522</v>
      </c>
      <c r="B523" s="1">
        <v>46174</v>
      </c>
      <c r="C523" t="s">
        <v>405</v>
      </c>
      <c r="D523" t="s">
        <v>406</v>
      </c>
      <c r="E523">
        <v>285</v>
      </c>
      <c r="F523">
        <v>1</v>
      </c>
      <c r="G523">
        <v>296</v>
      </c>
      <c r="H523" t="str">
        <f>TEXT(TbDespesas[[#This Row],[data_transacao]], "aaaa-mm")</f>
        <v>2026-06</v>
      </c>
    </row>
    <row r="524" spans="1:8">
      <c r="A524">
        <v>523</v>
      </c>
      <c r="B524" s="1">
        <v>46174</v>
      </c>
      <c r="C524" t="s">
        <v>405</v>
      </c>
      <c r="D524" t="s">
        <v>387</v>
      </c>
      <c r="E524">
        <v>381</v>
      </c>
      <c r="F524">
        <v>6</v>
      </c>
      <c r="G524">
        <v>2536</v>
      </c>
      <c r="H524" t="str">
        <f>TEXT(TbDespesas[[#This Row],[data_transacao]], "aaaa-mm")</f>
        <v>2026-06</v>
      </c>
    </row>
    <row r="525" spans="1:8">
      <c r="A525">
        <v>524</v>
      </c>
      <c r="B525" s="1">
        <v>46174</v>
      </c>
      <c r="C525" t="s">
        <v>405</v>
      </c>
      <c r="D525" t="s">
        <v>407</v>
      </c>
      <c r="E525">
        <v>497</v>
      </c>
      <c r="F525">
        <v>3</v>
      </c>
      <c r="G525">
        <v>1764</v>
      </c>
      <c r="H525" t="str">
        <f>TEXT(TbDespesas[[#This Row],[data_transacao]], "aaaa-mm")</f>
        <v>2026-06</v>
      </c>
    </row>
    <row r="526" spans="1:8">
      <c r="A526">
        <v>525</v>
      </c>
      <c r="B526" s="1">
        <v>46033</v>
      </c>
      <c r="C526" t="s">
        <v>408</v>
      </c>
      <c r="D526" t="s">
        <v>409</v>
      </c>
      <c r="E526">
        <v>419</v>
      </c>
      <c r="F526">
        <v>3</v>
      </c>
      <c r="G526">
        <v>1259</v>
      </c>
      <c r="H526" t="str">
        <f>TEXT(TbDespesas[[#This Row],[data_transacao]], "aaaa-mm")</f>
        <v>2026-01</v>
      </c>
    </row>
    <row r="527" spans="1:8">
      <c r="A527">
        <v>526</v>
      </c>
      <c r="B527" s="1">
        <v>46033</v>
      </c>
      <c r="C527" t="s">
        <v>408</v>
      </c>
      <c r="D527" t="s">
        <v>410</v>
      </c>
      <c r="E527">
        <v>318</v>
      </c>
      <c r="F527">
        <v>3</v>
      </c>
      <c r="G527">
        <v>1032</v>
      </c>
      <c r="H527" t="str">
        <f>TEXT(TbDespesas[[#This Row],[data_transacao]], "aaaa-mm")</f>
        <v>2026-01</v>
      </c>
    </row>
    <row r="528" spans="1:8">
      <c r="A528">
        <v>527</v>
      </c>
      <c r="B528" s="1">
        <v>46033</v>
      </c>
      <c r="C528" t="s">
        <v>408</v>
      </c>
      <c r="D528" t="s">
        <v>399</v>
      </c>
      <c r="E528">
        <v>127</v>
      </c>
      <c r="F528">
        <v>20</v>
      </c>
      <c r="G528">
        <v>2555</v>
      </c>
      <c r="H528" t="str">
        <f>TEXT(TbDespesas[[#This Row],[data_transacao]], "aaaa-mm")</f>
        <v>2026-01</v>
      </c>
    </row>
    <row r="529" spans="1:8">
      <c r="A529">
        <v>528</v>
      </c>
      <c r="B529" s="1">
        <v>46033</v>
      </c>
      <c r="C529" t="s">
        <v>408</v>
      </c>
      <c r="D529" t="s">
        <v>411</v>
      </c>
      <c r="E529">
        <v>324</v>
      </c>
      <c r="F529">
        <v>6</v>
      </c>
      <c r="G529">
        <v>2104</v>
      </c>
      <c r="H529" t="str">
        <f>TEXT(TbDespesas[[#This Row],[data_transacao]], "aaaa-mm")</f>
        <v>2026-01</v>
      </c>
    </row>
    <row r="530" spans="1:8">
      <c r="A530">
        <v>529</v>
      </c>
      <c r="B530" s="1">
        <v>46033</v>
      </c>
      <c r="C530" t="s">
        <v>408</v>
      </c>
      <c r="D530" t="s">
        <v>264</v>
      </c>
      <c r="E530">
        <v>70</v>
      </c>
      <c r="F530">
        <v>37</v>
      </c>
      <c r="G530">
        <v>2612</v>
      </c>
      <c r="H530" t="str">
        <f>TEXT(TbDespesas[[#This Row],[data_transacao]], "aaaa-mm")</f>
        <v>2026-01</v>
      </c>
    </row>
    <row r="531" spans="1:8">
      <c r="A531">
        <v>530</v>
      </c>
      <c r="B531" s="1">
        <v>46033</v>
      </c>
      <c r="C531" t="s">
        <v>408</v>
      </c>
      <c r="D531" t="s">
        <v>412</v>
      </c>
      <c r="E531">
        <v>285</v>
      </c>
      <c r="F531">
        <v>4</v>
      </c>
      <c r="G531">
        <v>1309</v>
      </c>
      <c r="H531" t="str">
        <f>TEXT(TbDespesas[[#This Row],[data_transacao]], "aaaa-mm")</f>
        <v>2026-01</v>
      </c>
    </row>
    <row r="532" spans="1:8">
      <c r="A532">
        <v>531</v>
      </c>
      <c r="B532" s="1">
        <v>46220</v>
      </c>
      <c r="C532" t="s">
        <v>391</v>
      </c>
      <c r="D532" t="s">
        <v>413</v>
      </c>
      <c r="E532">
        <v>331</v>
      </c>
      <c r="F532">
        <v>4</v>
      </c>
      <c r="G532">
        <v>1649</v>
      </c>
      <c r="H532" t="str">
        <f>TEXT(TbDespesas[[#This Row],[data_transacao]], "aaaa-mm")</f>
        <v>2026-07</v>
      </c>
    </row>
    <row r="533" spans="1:8">
      <c r="A533">
        <v>532</v>
      </c>
      <c r="B533" s="1">
        <v>46220</v>
      </c>
      <c r="C533" t="s">
        <v>391</v>
      </c>
      <c r="D533" t="s">
        <v>12</v>
      </c>
      <c r="E533">
        <v>19</v>
      </c>
      <c r="F533">
        <v>80</v>
      </c>
      <c r="G533">
        <v>1537</v>
      </c>
      <c r="H533" t="str">
        <f>TEXT(TbDespesas[[#This Row],[data_transacao]], "aaaa-mm")</f>
        <v>2026-07</v>
      </c>
    </row>
    <row r="534" spans="1:8">
      <c r="A534">
        <v>533</v>
      </c>
      <c r="B534" s="1">
        <v>46220</v>
      </c>
      <c r="C534" t="s">
        <v>391</v>
      </c>
      <c r="D534" t="s">
        <v>414</v>
      </c>
      <c r="E534">
        <v>255</v>
      </c>
      <c r="F534">
        <v>5</v>
      </c>
      <c r="G534">
        <v>1516</v>
      </c>
      <c r="H534" t="str">
        <f>TEXT(TbDespesas[[#This Row],[data_transacao]], "aaaa-mm")</f>
        <v>2026-07</v>
      </c>
    </row>
    <row r="535" spans="1:8">
      <c r="A535">
        <v>534</v>
      </c>
      <c r="B535" s="1">
        <v>46220</v>
      </c>
      <c r="C535" t="s">
        <v>391</v>
      </c>
      <c r="D535" t="s">
        <v>291</v>
      </c>
      <c r="E535">
        <v>334</v>
      </c>
      <c r="F535">
        <v>7</v>
      </c>
      <c r="G535">
        <v>2412</v>
      </c>
      <c r="H535" t="str">
        <f>TEXT(TbDespesas[[#This Row],[data_transacao]], "aaaa-mm")</f>
        <v>2026-07</v>
      </c>
    </row>
    <row r="536" spans="1:8">
      <c r="A536">
        <v>535</v>
      </c>
      <c r="B536" s="1">
        <v>46220</v>
      </c>
      <c r="C536" t="s">
        <v>391</v>
      </c>
      <c r="D536" t="s">
        <v>415</v>
      </c>
      <c r="E536">
        <v>223</v>
      </c>
      <c r="F536">
        <v>16</v>
      </c>
      <c r="G536">
        <v>3738</v>
      </c>
      <c r="H536" t="str">
        <f>TEXT(TbDespesas[[#This Row],[data_transacao]], "aaaa-mm")</f>
        <v>2026-07</v>
      </c>
    </row>
    <row r="537" spans="1:8">
      <c r="A537">
        <v>536</v>
      </c>
      <c r="B537" s="1">
        <v>45956</v>
      </c>
      <c r="C537" t="s">
        <v>41</v>
      </c>
      <c r="D537" t="s">
        <v>416</v>
      </c>
      <c r="E537">
        <v>193</v>
      </c>
      <c r="F537">
        <v>13</v>
      </c>
      <c r="G537">
        <v>2685</v>
      </c>
      <c r="H537" t="str">
        <f>TEXT(TbDespesas[[#This Row],[data_transacao]], "aaaa-mm")</f>
        <v>2025-10</v>
      </c>
    </row>
    <row r="538" spans="1:8">
      <c r="A538">
        <v>537</v>
      </c>
      <c r="B538" s="1">
        <v>45956</v>
      </c>
      <c r="C538" t="s">
        <v>41</v>
      </c>
      <c r="D538" t="s">
        <v>84</v>
      </c>
      <c r="E538">
        <v>106</v>
      </c>
      <c r="F538">
        <v>17</v>
      </c>
      <c r="G538">
        <v>1813</v>
      </c>
      <c r="H538" t="str">
        <f>TEXT(TbDespesas[[#This Row],[data_transacao]], "aaaa-mm")</f>
        <v>2025-10</v>
      </c>
    </row>
    <row r="539" spans="1:8">
      <c r="A539">
        <v>538</v>
      </c>
      <c r="B539" s="1">
        <v>45956</v>
      </c>
      <c r="C539" t="s">
        <v>41</v>
      </c>
      <c r="D539" t="s">
        <v>417</v>
      </c>
      <c r="E539">
        <v>342</v>
      </c>
      <c r="F539">
        <v>6</v>
      </c>
      <c r="G539">
        <v>2380</v>
      </c>
      <c r="H539" t="str">
        <f>TEXT(TbDespesas[[#This Row],[data_transacao]], "aaaa-mm")</f>
        <v>2025-10</v>
      </c>
    </row>
    <row r="540" spans="1:8">
      <c r="A540">
        <v>539</v>
      </c>
      <c r="B540" s="1">
        <v>45956</v>
      </c>
      <c r="C540" t="s">
        <v>41</v>
      </c>
      <c r="D540" t="s">
        <v>133</v>
      </c>
      <c r="E540">
        <v>247</v>
      </c>
      <c r="F540">
        <v>2</v>
      </c>
      <c r="G540">
        <v>541</v>
      </c>
      <c r="H540" t="str">
        <f>TEXT(TbDespesas[[#This Row],[data_transacao]], "aaaa-mm")</f>
        <v>2025-10</v>
      </c>
    </row>
    <row r="541" spans="1:8">
      <c r="A541">
        <v>540</v>
      </c>
      <c r="B541" s="1">
        <v>45956</v>
      </c>
      <c r="C541" t="s">
        <v>41</v>
      </c>
      <c r="D541" t="s">
        <v>292</v>
      </c>
      <c r="E541">
        <v>410</v>
      </c>
      <c r="F541">
        <v>9</v>
      </c>
      <c r="G541">
        <v>3777</v>
      </c>
      <c r="H541" t="str">
        <f>TEXT(TbDespesas[[#This Row],[data_transacao]], "aaaa-mm")</f>
        <v>2025-10</v>
      </c>
    </row>
    <row r="542" spans="1:8">
      <c r="A542">
        <v>541</v>
      </c>
      <c r="B542" s="1">
        <v>45970</v>
      </c>
      <c r="C542" t="s">
        <v>150</v>
      </c>
      <c r="D542" t="s">
        <v>337</v>
      </c>
      <c r="E542">
        <v>302</v>
      </c>
      <c r="F542">
        <v>8</v>
      </c>
      <c r="G542">
        <v>2604</v>
      </c>
      <c r="H542" t="str">
        <f>TEXT(TbDespesas[[#This Row],[data_transacao]], "aaaa-mm")</f>
        <v>2025-11</v>
      </c>
    </row>
    <row r="543" spans="1:8">
      <c r="A543">
        <v>542</v>
      </c>
      <c r="B543" s="1">
        <v>45970</v>
      </c>
      <c r="C543" t="s">
        <v>150</v>
      </c>
      <c r="D543" t="s">
        <v>418</v>
      </c>
      <c r="E543">
        <v>124</v>
      </c>
      <c r="F543">
        <v>14</v>
      </c>
      <c r="G543">
        <v>1791</v>
      </c>
      <c r="H543" t="str">
        <f>TEXT(TbDespesas[[#This Row],[data_transacao]], "aaaa-mm")</f>
        <v>2025-11</v>
      </c>
    </row>
    <row r="544" spans="1:8">
      <c r="A544">
        <v>543</v>
      </c>
      <c r="B544" s="1">
        <v>45970</v>
      </c>
      <c r="C544" t="s">
        <v>150</v>
      </c>
      <c r="D544" t="s">
        <v>419</v>
      </c>
      <c r="E544">
        <v>197</v>
      </c>
      <c r="F544">
        <v>17</v>
      </c>
      <c r="G544">
        <v>3445</v>
      </c>
      <c r="H544" t="str">
        <f>TEXT(TbDespesas[[#This Row],[data_transacao]], "aaaa-mm")</f>
        <v>2025-11</v>
      </c>
    </row>
    <row r="545" spans="1:8">
      <c r="A545">
        <v>544</v>
      </c>
      <c r="B545" s="1">
        <v>45970</v>
      </c>
      <c r="C545" t="s">
        <v>150</v>
      </c>
      <c r="D545" t="s">
        <v>363</v>
      </c>
      <c r="E545">
        <v>62</v>
      </c>
      <c r="F545">
        <v>31</v>
      </c>
      <c r="G545">
        <v>1982</v>
      </c>
      <c r="H545" t="str">
        <f>TEXT(TbDespesas[[#This Row],[data_transacao]], "aaaa-mm")</f>
        <v>2025-11</v>
      </c>
    </row>
    <row r="546" spans="1:8">
      <c r="A546">
        <v>545</v>
      </c>
      <c r="B546" s="1">
        <v>45970</v>
      </c>
      <c r="C546" t="s">
        <v>150</v>
      </c>
      <c r="D546" t="s">
        <v>420</v>
      </c>
      <c r="E546">
        <v>147</v>
      </c>
      <c r="F546">
        <v>1</v>
      </c>
      <c r="G546">
        <v>200</v>
      </c>
      <c r="H546" t="str">
        <f>TEXT(TbDespesas[[#This Row],[data_transacao]], "aaaa-mm")</f>
        <v>2025-11</v>
      </c>
    </row>
    <row r="547" spans="1:8">
      <c r="A547">
        <v>546</v>
      </c>
      <c r="B547" s="1">
        <v>46031</v>
      </c>
      <c r="C547" t="s">
        <v>421</v>
      </c>
      <c r="D547" t="s">
        <v>375</v>
      </c>
      <c r="E547">
        <v>20</v>
      </c>
      <c r="F547">
        <v>122</v>
      </c>
      <c r="G547">
        <v>2442</v>
      </c>
      <c r="H547" t="str">
        <f>TEXT(TbDespesas[[#This Row],[data_transacao]], "aaaa-mm")</f>
        <v>2026-01</v>
      </c>
    </row>
    <row r="548" spans="1:8">
      <c r="A548">
        <v>547</v>
      </c>
      <c r="B548" s="1">
        <v>46031</v>
      </c>
      <c r="C548" t="s">
        <v>421</v>
      </c>
      <c r="D548" t="s">
        <v>422</v>
      </c>
      <c r="E548">
        <v>395</v>
      </c>
      <c r="F548">
        <v>9</v>
      </c>
      <c r="G548">
        <v>3733</v>
      </c>
      <c r="H548" t="str">
        <f>TEXT(TbDespesas[[#This Row],[data_transacao]], "aaaa-mm")</f>
        <v>2026-01</v>
      </c>
    </row>
    <row r="549" spans="1:8">
      <c r="A549">
        <v>548</v>
      </c>
      <c r="B549" s="1">
        <v>46031</v>
      </c>
      <c r="C549" t="s">
        <v>421</v>
      </c>
      <c r="D549" t="s">
        <v>175</v>
      </c>
      <c r="E549">
        <v>424</v>
      </c>
      <c r="F549">
        <v>4</v>
      </c>
      <c r="G549">
        <v>1930</v>
      </c>
      <c r="H549" t="str">
        <f>TEXT(TbDespesas[[#This Row],[data_transacao]], "aaaa-mm")</f>
        <v>2026-01</v>
      </c>
    </row>
    <row r="550" spans="1:8">
      <c r="A550">
        <v>549</v>
      </c>
      <c r="B550" s="1">
        <v>46031</v>
      </c>
      <c r="C550" t="s">
        <v>421</v>
      </c>
      <c r="D550" t="s">
        <v>265</v>
      </c>
      <c r="E550">
        <v>336</v>
      </c>
      <c r="F550">
        <v>3</v>
      </c>
      <c r="G550">
        <v>1157</v>
      </c>
      <c r="H550" t="str">
        <f>TEXT(TbDespesas[[#This Row],[data_transacao]], "aaaa-mm")</f>
        <v>2026-01</v>
      </c>
    </row>
    <row r="551" spans="1:8">
      <c r="A551">
        <v>550</v>
      </c>
      <c r="B551" s="1">
        <v>46031</v>
      </c>
      <c r="C551" t="s">
        <v>421</v>
      </c>
      <c r="D551" t="s">
        <v>58</v>
      </c>
      <c r="E551">
        <v>188</v>
      </c>
      <c r="F551">
        <v>7</v>
      </c>
      <c r="G551">
        <v>1349</v>
      </c>
      <c r="H551" t="str">
        <f>TEXT(TbDespesas[[#This Row],[data_transacao]], "aaaa-mm")</f>
        <v>2026-01</v>
      </c>
    </row>
    <row r="552" spans="1:8">
      <c r="A552">
        <v>551</v>
      </c>
      <c r="B552" s="1">
        <v>46017</v>
      </c>
      <c r="C552" t="s">
        <v>7</v>
      </c>
      <c r="D552" t="s">
        <v>423</v>
      </c>
      <c r="E552">
        <v>372</v>
      </c>
      <c r="F552">
        <v>8</v>
      </c>
      <c r="G552">
        <v>3172</v>
      </c>
      <c r="H552" t="str">
        <f>TEXT(TbDespesas[[#This Row],[data_transacao]], "aaaa-mm")</f>
        <v>2025-12</v>
      </c>
    </row>
    <row r="553" spans="1:8">
      <c r="A553">
        <v>552</v>
      </c>
      <c r="B553" s="1">
        <v>46017</v>
      </c>
      <c r="C553" t="s">
        <v>7</v>
      </c>
      <c r="D553" t="s">
        <v>424</v>
      </c>
      <c r="E553">
        <v>50</v>
      </c>
      <c r="F553">
        <v>77</v>
      </c>
      <c r="G553">
        <v>3891</v>
      </c>
      <c r="H553" t="str">
        <f>TEXT(TbDespesas[[#This Row],[data_transacao]], "aaaa-mm")</f>
        <v>2025-12</v>
      </c>
    </row>
    <row r="554" spans="1:8">
      <c r="A554">
        <v>553</v>
      </c>
      <c r="B554" s="1">
        <v>46017</v>
      </c>
      <c r="C554" t="s">
        <v>7</v>
      </c>
      <c r="D554" t="s">
        <v>425</v>
      </c>
      <c r="E554">
        <v>257</v>
      </c>
      <c r="F554">
        <v>2</v>
      </c>
      <c r="G554">
        <v>540</v>
      </c>
      <c r="H554" t="str">
        <f>TEXT(TbDespesas[[#This Row],[data_transacao]], "aaaa-mm")</f>
        <v>2025-12</v>
      </c>
    </row>
    <row r="555" spans="1:8">
      <c r="A555">
        <v>554</v>
      </c>
      <c r="B555" s="1">
        <v>46017</v>
      </c>
      <c r="C555" t="s">
        <v>7</v>
      </c>
      <c r="D555" t="s">
        <v>426</v>
      </c>
      <c r="E555">
        <v>333</v>
      </c>
      <c r="F555">
        <v>6</v>
      </c>
      <c r="G555">
        <v>2025</v>
      </c>
      <c r="H555" t="str">
        <f>TEXT(TbDespesas[[#This Row],[data_transacao]], "aaaa-mm")</f>
        <v>2025-12</v>
      </c>
    </row>
    <row r="556" spans="1:8">
      <c r="A556">
        <v>555</v>
      </c>
      <c r="B556" s="1">
        <v>46136</v>
      </c>
      <c r="C556" t="s">
        <v>28</v>
      </c>
      <c r="D556" t="s">
        <v>44</v>
      </c>
      <c r="E556">
        <v>199</v>
      </c>
      <c r="F556">
        <v>9</v>
      </c>
      <c r="G556">
        <v>1796</v>
      </c>
      <c r="H556" t="str">
        <f>TEXT(TbDespesas[[#This Row],[data_transacao]], "aaaa-mm")</f>
        <v>2026-04</v>
      </c>
    </row>
    <row r="557" spans="1:8">
      <c r="A557">
        <v>556</v>
      </c>
      <c r="B557" s="1">
        <v>46136</v>
      </c>
      <c r="C557" t="s">
        <v>28</v>
      </c>
      <c r="D557" t="s">
        <v>213</v>
      </c>
      <c r="E557">
        <v>315</v>
      </c>
      <c r="F557">
        <v>4</v>
      </c>
      <c r="G557">
        <v>1489</v>
      </c>
      <c r="H557" t="str">
        <f>TEXT(TbDespesas[[#This Row],[data_transacao]], "aaaa-mm")</f>
        <v>2026-04</v>
      </c>
    </row>
    <row r="558" spans="1:8">
      <c r="A558">
        <v>557</v>
      </c>
      <c r="B558" s="1">
        <v>46136</v>
      </c>
      <c r="C558" t="s">
        <v>28</v>
      </c>
      <c r="D558" t="s">
        <v>427</v>
      </c>
      <c r="E558">
        <v>459</v>
      </c>
      <c r="F558">
        <v>3</v>
      </c>
      <c r="G558">
        <v>1522</v>
      </c>
      <c r="H558" t="str">
        <f>TEXT(TbDespesas[[#This Row],[data_transacao]], "aaaa-mm")</f>
        <v>2026-04</v>
      </c>
    </row>
    <row r="559" spans="1:8">
      <c r="A559">
        <v>558</v>
      </c>
      <c r="B559" s="1">
        <v>46136</v>
      </c>
      <c r="C559" t="s">
        <v>28</v>
      </c>
      <c r="D559" t="s">
        <v>88</v>
      </c>
      <c r="E559">
        <v>109</v>
      </c>
      <c r="F559">
        <v>29</v>
      </c>
      <c r="G559">
        <v>3261</v>
      </c>
      <c r="H559" t="str">
        <f>TEXT(TbDespesas[[#This Row],[data_transacao]], "aaaa-mm")</f>
        <v>2026-04</v>
      </c>
    </row>
    <row r="560" spans="1:8">
      <c r="A560">
        <v>559</v>
      </c>
      <c r="B560" s="1">
        <v>46136</v>
      </c>
      <c r="C560" t="s">
        <v>28</v>
      </c>
      <c r="D560" t="s">
        <v>298</v>
      </c>
      <c r="E560">
        <v>69</v>
      </c>
      <c r="F560">
        <v>42</v>
      </c>
      <c r="G560">
        <v>2917</v>
      </c>
      <c r="H560" t="str">
        <f>TEXT(TbDespesas[[#This Row],[data_transacao]], "aaaa-mm")</f>
        <v>2026-04</v>
      </c>
    </row>
    <row r="561" spans="1:8">
      <c r="A561">
        <v>560</v>
      </c>
      <c r="B561" s="1">
        <v>46136</v>
      </c>
      <c r="C561" t="s">
        <v>28</v>
      </c>
      <c r="D561" t="s">
        <v>232</v>
      </c>
      <c r="E561">
        <v>212</v>
      </c>
      <c r="F561">
        <v>4</v>
      </c>
      <c r="G561">
        <v>1010</v>
      </c>
      <c r="H561" t="str">
        <f>TEXT(TbDespesas[[#This Row],[data_transacao]], "aaaa-mm")</f>
        <v>2026-04</v>
      </c>
    </row>
    <row r="562" spans="1:8">
      <c r="A562">
        <v>561</v>
      </c>
      <c r="B562" s="1">
        <v>46161</v>
      </c>
      <c r="C562" t="s">
        <v>93</v>
      </c>
      <c r="D562" t="s">
        <v>161</v>
      </c>
      <c r="E562">
        <v>265</v>
      </c>
      <c r="F562">
        <v>8</v>
      </c>
      <c r="G562">
        <v>2179</v>
      </c>
      <c r="H562" t="str">
        <f>TEXT(TbDespesas[[#This Row],[data_transacao]], "aaaa-mm")</f>
        <v>2026-05</v>
      </c>
    </row>
    <row r="563" spans="1:8">
      <c r="A563">
        <v>562</v>
      </c>
      <c r="B563" s="1">
        <v>46161</v>
      </c>
      <c r="C563" t="s">
        <v>93</v>
      </c>
      <c r="D563" t="s">
        <v>220</v>
      </c>
      <c r="E563">
        <v>214</v>
      </c>
      <c r="F563">
        <v>5</v>
      </c>
      <c r="G563">
        <v>1244</v>
      </c>
      <c r="H563" t="str">
        <f>TEXT(TbDespesas[[#This Row],[data_transacao]], "aaaa-mm")</f>
        <v>2026-05</v>
      </c>
    </row>
    <row r="564" spans="1:8">
      <c r="A564">
        <v>563</v>
      </c>
      <c r="B564" s="1">
        <v>46161</v>
      </c>
      <c r="C564" t="s">
        <v>93</v>
      </c>
      <c r="D564" t="s">
        <v>332</v>
      </c>
      <c r="E564">
        <v>273</v>
      </c>
      <c r="F564">
        <v>8</v>
      </c>
      <c r="G564">
        <v>2426</v>
      </c>
      <c r="H564" t="str">
        <f>TEXT(TbDespesas[[#This Row],[data_transacao]], "aaaa-mm")</f>
        <v>2026-05</v>
      </c>
    </row>
    <row r="565" spans="1:8">
      <c r="A565">
        <v>564</v>
      </c>
      <c r="B565" s="1">
        <v>46161</v>
      </c>
      <c r="C565" t="s">
        <v>93</v>
      </c>
      <c r="D565" t="s">
        <v>198</v>
      </c>
      <c r="E565">
        <v>340</v>
      </c>
      <c r="F565">
        <v>1</v>
      </c>
      <c r="G565">
        <v>374</v>
      </c>
      <c r="H565" t="str">
        <f>TEXT(TbDespesas[[#This Row],[data_transacao]], "aaaa-mm")</f>
        <v>2026-05</v>
      </c>
    </row>
    <row r="566" spans="1:8">
      <c r="A566">
        <v>565</v>
      </c>
      <c r="B566" s="1">
        <v>46161</v>
      </c>
      <c r="C566" t="s">
        <v>93</v>
      </c>
      <c r="D566" t="s">
        <v>425</v>
      </c>
      <c r="E566">
        <v>172</v>
      </c>
      <c r="F566">
        <v>14</v>
      </c>
      <c r="G566">
        <v>2484</v>
      </c>
      <c r="H566" t="str">
        <f>TEXT(TbDespesas[[#This Row],[data_transacao]], "aaaa-mm")</f>
        <v>2026-05</v>
      </c>
    </row>
    <row r="567" spans="1:8">
      <c r="A567">
        <v>566</v>
      </c>
      <c r="B567" s="1">
        <v>46161</v>
      </c>
      <c r="C567" t="s">
        <v>93</v>
      </c>
      <c r="D567" t="s">
        <v>90</v>
      </c>
      <c r="E567">
        <v>280</v>
      </c>
      <c r="F567">
        <v>10</v>
      </c>
      <c r="G567">
        <v>2844</v>
      </c>
      <c r="H567" t="str">
        <f>TEXT(TbDespesas[[#This Row],[data_transacao]], "aaaa-mm")</f>
        <v>2026-05</v>
      </c>
    </row>
    <row r="568" spans="1:8">
      <c r="A568">
        <v>567</v>
      </c>
      <c r="B568" s="1">
        <v>46161</v>
      </c>
      <c r="C568" t="s">
        <v>93</v>
      </c>
      <c r="D568" t="s">
        <v>428</v>
      </c>
      <c r="E568">
        <v>107</v>
      </c>
      <c r="F568">
        <v>12</v>
      </c>
      <c r="G568">
        <v>1335</v>
      </c>
      <c r="H568" t="str">
        <f>TEXT(TbDespesas[[#This Row],[data_transacao]], "aaaa-mm")</f>
        <v>2026-05</v>
      </c>
    </row>
    <row r="569" spans="1:8">
      <c r="A569">
        <v>568</v>
      </c>
      <c r="B569" s="1">
        <v>46161</v>
      </c>
      <c r="C569" t="s">
        <v>93</v>
      </c>
      <c r="D569" t="s">
        <v>429</v>
      </c>
      <c r="E569">
        <v>420</v>
      </c>
      <c r="F569">
        <v>4</v>
      </c>
      <c r="G569">
        <v>1877</v>
      </c>
      <c r="H569" t="str">
        <f>TEXT(TbDespesas[[#This Row],[data_transacao]], "aaaa-mm")</f>
        <v>2026-05</v>
      </c>
    </row>
    <row r="570" spans="1:8">
      <c r="A570">
        <v>569</v>
      </c>
      <c r="B570" s="1">
        <v>46100</v>
      </c>
      <c r="C570" t="s">
        <v>430</v>
      </c>
      <c r="D570" t="s">
        <v>174</v>
      </c>
      <c r="E570">
        <v>447</v>
      </c>
      <c r="F570">
        <v>5</v>
      </c>
      <c r="G570">
        <v>2374</v>
      </c>
      <c r="H570" t="str">
        <f>TEXT(TbDespesas[[#This Row],[data_transacao]], "aaaa-mm")</f>
        <v>2026-03</v>
      </c>
    </row>
    <row r="571" spans="1:8">
      <c r="A571">
        <v>570</v>
      </c>
      <c r="B571" s="1">
        <v>46100</v>
      </c>
      <c r="C571" t="s">
        <v>430</v>
      </c>
      <c r="D571" t="s">
        <v>323</v>
      </c>
      <c r="E571">
        <v>489</v>
      </c>
      <c r="F571">
        <v>0</v>
      </c>
      <c r="G571">
        <v>242</v>
      </c>
      <c r="H571" t="str">
        <f>TEXT(TbDespesas[[#This Row],[data_transacao]], "aaaa-mm")</f>
        <v>2026-03</v>
      </c>
    </row>
    <row r="572" spans="1:8">
      <c r="A572">
        <v>571</v>
      </c>
      <c r="B572" s="1">
        <v>46175</v>
      </c>
      <c r="C572" t="s">
        <v>431</v>
      </c>
      <c r="D572" t="s">
        <v>414</v>
      </c>
      <c r="E572">
        <v>84</v>
      </c>
      <c r="F572">
        <v>34</v>
      </c>
      <c r="G572">
        <v>2856</v>
      </c>
      <c r="H572" t="str">
        <f>TEXT(TbDespesas[[#This Row],[data_transacao]], "aaaa-mm")</f>
        <v>2026-06</v>
      </c>
    </row>
    <row r="573" spans="1:8">
      <c r="A573">
        <v>572</v>
      </c>
      <c r="B573" s="1">
        <v>46175</v>
      </c>
      <c r="C573" t="s">
        <v>431</v>
      </c>
      <c r="D573" t="s">
        <v>246</v>
      </c>
      <c r="E573">
        <v>180</v>
      </c>
      <c r="F573">
        <v>15</v>
      </c>
      <c r="G573">
        <v>2709</v>
      </c>
      <c r="H573" t="str">
        <f>TEXT(TbDespesas[[#This Row],[data_transacao]], "aaaa-mm")</f>
        <v>2026-06</v>
      </c>
    </row>
    <row r="574" spans="1:8">
      <c r="A574">
        <v>573</v>
      </c>
      <c r="B574" s="1">
        <v>46175</v>
      </c>
      <c r="C574" t="s">
        <v>431</v>
      </c>
      <c r="D574" t="s">
        <v>432</v>
      </c>
      <c r="E574">
        <v>433</v>
      </c>
      <c r="F574">
        <v>4</v>
      </c>
      <c r="G574">
        <v>1887</v>
      </c>
      <c r="H574" t="str">
        <f>TEXT(TbDespesas[[#This Row],[data_transacao]], "aaaa-mm")</f>
        <v>2026-06</v>
      </c>
    </row>
    <row r="575" spans="1:8">
      <c r="A575">
        <v>574</v>
      </c>
      <c r="B575" s="1">
        <v>46175</v>
      </c>
      <c r="C575" t="s">
        <v>431</v>
      </c>
      <c r="D575" t="s">
        <v>322</v>
      </c>
      <c r="E575">
        <v>383</v>
      </c>
      <c r="F575">
        <v>5</v>
      </c>
      <c r="G575">
        <v>2096</v>
      </c>
      <c r="H575" t="str">
        <f>TEXT(TbDespesas[[#This Row],[data_transacao]], "aaaa-mm")</f>
        <v>2026-06</v>
      </c>
    </row>
    <row r="576" spans="1:8">
      <c r="A576">
        <v>575</v>
      </c>
      <c r="B576" s="1">
        <v>46175</v>
      </c>
      <c r="C576" t="s">
        <v>431</v>
      </c>
      <c r="D576" t="s">
        <v>433</v>
      </c>
      <c r="E576">
        <v>99</v>
      </c>
      <c r="F576">
        <v>19</v>
      </c>
      <c r="G576">
        <v>1945</v>
      </c>
      <c r="H576" t="str">
        <f>TEXT(TbDespesas[[#This Row],[data_transacao]], "aaaa-mm")</f>
        <v>2026-06</v>
      </c>
    </row>
    <row r="577" spans="1:8">
      <c r="A577">
        <v>576</v>
      </c>
      <c r="B577" s="1">
        <v>46175</v>
      </c>
      <c r="C577" t="s">
        <v>431</v>
      </c>
      <c r="D577" t="s">
        <v>385</v>
      </c>
      <c r="E577">
        <v>443</v>
      </c>
      <c r="F577">
        <v>2</v>
      </c>
      <c r="G577">
        <v>1193</v>
      </c>
      <c r="H577" t="str">
        <f>TEXT(TbDespesas[[#This Row],[data_transacao]], "aaaa-mm")</f>
        <v>2026-06</v>
      </c>
    </row>
    <row r="578" spans="1:8">
      <c r="A578">
        <v>577</v>
      </c>
      <c r="B578" s="1">
        <v>46003</v>
      </c>
      <c r="C578" t="s">
        <v>245</v>
      </c>
      <c r="D578" t="s">
        <v>59</v>
      </c>
      <c r="E578">
        <v>221</v>
      </c>
      <c r="F578">
        <v>18</v>
      </c>
      <c r="G578">
        <v>4140</v>
      </c>
      <c r="H578" t="str">
        <f>TEXT(TbDespesas[[#This Row],[data_transacao]], "aaaa-mm")</f>
        <v>2025-12</v>
      </c>
    </row>
    <row r="579" spans="1:8">
      <c r="A579">
        <v>578</v>
      </c>
      <c r="B579" s="1">
        <v>46003</v>
      </c>
      <c r="C579" t="s">
        <v>245</v>
      </c>
      <c r="D579" t="s">
        <v>222</v>
      </c>
      <c r="E579">
        <v>365</v>
      </c>
      <c r="F579">
        <v>3</v>
      </c>
      <c r="G579">
        <v>1396</v>
      </c>
      <c r="H579" t="str">
        <f>TEXT(TbDespesas[[#This Row],[data_transacao]], "aaaa-mm")</f>
        <v>2025-12</v>
      </c>
    </row>
    <row r="580" spans="1:8">
      <c r="A580">
        <v>579</v>
      </c>
      <c r="B580" s="1">
        <v>46003</v>
      </c>
      <c r="C580" t="s">
        <v>245</v>
      </c>
      <c r="D580" t="s">
        <v>263</v>
      </c>
      <c r="E580">
        <v>306</v>
      </c>
      <c r="F580">
        <v>4</v>
      </c>
      <c r="G580">
        <v>1364</v>
      </c>
      <c r="H580" t="str">
        <f>TEXT(TbDespesas[[#This Row],[data_transacao]], "aaaa-mm")</f>
        <v>2025-12</v>
      </c>
    </row>
    <row r="581" spans="1:8">
      <c r="A581">
        <v>580</v>
      </c>
      <c r="B581" s="1">
        <v>46003</v>
      </c>
      <c r="C581" t="s">
        <v>245</v>
      </c>
      <c r="D581" t="s">
        <v>434</v>
      </c>
      <c r="E581">
        <v>148</v>
      </c>
      <c r="F581">
        <v>1</v>
      </c>
      <c r="G581">
        <v>234</v>
      </c>
      <c r="H581" t="str">
        <f>TEXT(TbDespesas[[#This Row],[data_transacao]], "aaaa-mm")</f>
        <v>2025-12</v>
      </c>
    </row>
    <row r="582" spans="1:8">
      <c r="A582">
        <v>581</v>
      </c>
      <c r="B582" s="1">
        <v>46003</v>
      </c>
      <c r="C582" t="s">
        <v>245</v>
      </c>
      <c r="D582" t="s">
        <v>257</v>
      </c>
      <c r="E582">
        <v>330</v>
      </c>
      <c r="F582">
        <v>8</v>
      </c>
      <c r="G582">
        <v>2964</v>
      </c>
      <c r="H582" t="str">
        <f>TEXT(TbDespesas[[#This Row],[data_transacao]], "aaaa-mm")</f>
        <v>2025-12</v>
      </c>
    </row>
    <row r="583" spans="1:8">
      <c r="A583">
        <v>582</v>
      </c>
      <c r="B583" s="1">
        <v>46003</v>
      </c>
      <c r="C583" t="s">
        <v>245</v>
      </c>
      <c r="D583" t="s">
        <v>435</v>
      </c>
      <c r="E583">
        <v>193</v>
      </c>
      <c r="F583">
        <v>23</v>
      </c>
      <c r="G583">
        <v>4490</v>
      </c>
      <c r="H583" t="str">
        <f>TEXT(TbDespesas[[#This Row],[data_transacao]], "aaaa-mm")</f>
        <v>2025-12</v>
      </c>
    </row>
    <row r="584" spans="1:8">
      <c r="A584">
        <v>583</v>
      </c>
      <c r="B584" s="1">
        <v>46003</v>
      </c>
      <c r="C584" t="s">
        <v>245</v>
      </c>
      <c r="D584" t="s">
        <v>36</v>
      </c>
      <c r="E584">
        <v>452</v>
      </c>
      <c r="F584">
        <v>4</v>
      </c>
      <c r="G584">
        <v>1831</v>
      </c>
      <c r="H584" t="str">
        <f>TEXT(TbDespesas[[#This Row],[data_transacao]], "aaaa-mm")</f>
        <v>2025-12</v>
      </c>
    </row>
    <row r="585" spans="1:8">
      <c r="A585">
        <v>584</v>
      </c>
      <c r="B585" s="1">
        <v>46003</v>
      </c>
      <c r="C585" t="s">
        <v>245</v>
      </c>
      <c r="D585" t="s">
        <v>335</v>
      </c>
      <c r="E585">
        <v>492</v>
      </c>
      <c r="F585">
        <v>3</v>
      </c>
      <c r="G585">
        <v>1607</v>
      </c>
      <c r="H585" t="str">
        <f>TEXT(TbDespesas[[#This Row],[data_transacao]], "aaaa-mm")</f>
        <v>2025-12</v>
      </c>
    </row>
    <row r="586" spans="1:8">
      <c r="A586">
        <v>585</v>
      </c>
      <c r="B586" s="1">
        <v>46003</v>
      </c>
      <c r="C586" t="s">
        <v>245</v>
      </c>
      <c r="D586" t="s">
        <v>294</v>
      </c>
      <c r="E586">
        <v>224</v>
      </c>
      <c r="F586">
        <v>12</v>
      </c>
      <c r="G586">
        <v>2875</v>
      </c>
      <c r="H586" t="str">
        <f>TEXT(TbDespesas[[#This Row],[data_transacao]], "aaaa-mm")</f>
        <v>2025-12</v>
      </c>
    </row>
    <row r="587" spans="1:8">
      <c r="A587">
        <v>586</v>
      </c>
      <c r="B587" s="1">
        <v>46003</v>
      </c>
      <c r="C587" t="s">
        <v>245</v>
      </c>
      <c r="D587" t="s">
        <v>436</v>
      </c>
      <c r="E587">
        <v>424</v>
      </c>
      <c r="F587">
        <v>5</v>
      </c>
      <c r="G587">
        <v>2163</v>
      </c>
      <c r="H587" t="str">
        <f>TEXT(TbDespesas[[#This Row],[data_transacao]], "aaaa-mm")</f>
        <v>2025-12</v>
      </c>
    </row>
    <row r="588" spans="1:8">
      <c r="A588">
        <v>587</v>
      </c>
      <c r="B588" s="1">
        <v>45915</v>
      </c>
      <c r="C588" t="s">
        <v>437</v>
      </c>
      <c r="D588" t="s">
        <v>399</v>
      </c>
      <c r="E588">
        <v>416</v>
      </c>
      <c r="F588">
        <v>5</v>
      </c>
      <c r="G588">
        <v>2283</v>
      </c>
      <c r="H588" t="str">
        <f>TEXT(TbDespesas[[#This Row],[data_transacao]], "aaaa-mm")</f>
        <v>2025-09</v>
      </c>
    </row>
    <row r="589" spans="1:8">
      <c r="A589">
        <v>588</v>
      </c>
      <c r="B589" s="1">
        <v>45915</v>
      </c>
      <c r="C589" t="s">
        <v>437</v>
      </c>
      <c r="D589" t="s">
        <v>438</v>
      </c>
      <c r="E589">
        <v>414</v>
      </c>
      <c r="F589">
        <v>2</v>
      </c>
      <c r="G589">
        <v>996</v>
      </c>
      <c r="H589" t="str">
        <f>TEXT(TbDespesas[[#This Row],[data_transacao]], "aaaa-mm")</f>
        <v>2025-09</v>
      </c>
    </row>
    <row r="590" spans="1:8">
      <c r="A590">
        <v>589</v>
      </c>
      <c r="B590" s="1">
        <v>45915</v>
      </c>
      <c r="C590" t="s">
        <v>437</v>
      </c>
      <c r="D590" t="s">
        <v>358</v>
      </c>
      <c r="E590">
        <v>445</v>
      </c>
      <c r="F590">
        <v>3</v>
      </c>
      <c r="G590">
        <v>1387</v>
      </c>
      <c r="H590" t="str">
        <f>TEXT(TbDespesas[[#This Row],[data_transacao]], "aaaa-mm")</f>
        <v>2025-09</v>
      </c>
    </row>
    <row r="591" spans="1:8">
      <c r="A591">
        <v>590</v>
      </c>
      <c r="B591" s="1">
        <v>45915</v>
      </c>
      <c r="C591" t="s">
        <v>437</v>
      </c>
      <c r="D591" t="s">
        <v>277</v>
      </c>
      <c r="E591">
        <v>292</v>
      </c>
      <c r="F591">
        <v>3</v>
      </c>
      <c r="G591">
        <v>1163</v>
      </c>
      <c r="H591" t="str">
        <f>TEXT(TbDespesas[[#This Row],[data_transacao]], "aaaa-mm")</f>
        <v>2025-09</v>
      </c>
    </row>
    <row r="592" spans="1:8">
      <c r="A592">
        <v>591</v>
      </c>
      <c r="B592" s="1">
        <v>46257</v>
      </c>
      <c r="C592" t="s">
        <v>310</v>
      </c>
      <c r="D592" t="s">
        <v>439</v>
      </c>
      <c r="E592">
        <v>203</v>
      </c>
      <c r="F592">
        <v>1</v>
      </c>
      <c r="G592">
        <v>347</v>
      </c>
      <c r="H592" t="str">
        <f>TEXT(TbDespesas[[#This Row],[data_transacao]], "aaaa-mm")</f>
        <v>2026-08</v>
      </c>
    </row>
    <row r="593" spans="1:8">
      <c r="A593">
        <v>592</v>
      </c>
      <c r="B593" s="1">
        <v>46257</v>
      </c>
      <c r="C593" t="s">
        <v>310</v>
      </c>
      <c r="D593" t="s">
        <v>381</v>
      </c>
      <c r="E593">
        <v>295</v>
      </c>
      <c r="F593">
        <v>6</v>
      </c>
      <c r="G593">
        <v>2019</v>
      </c>
      <c r="H593" t="str">
        <f>TEXT(TbDespesas[[#This Row],[data_transacao]], "aaaa-mm")</f>
        <v>2026-08</v>
      </c>
    </row>
    <row r="594" spans="1:8">
      <c r="A594">
        <v>593</v>
      </c>
      <c r="B594" s="1">
        <v>46092</v>
      </c>
      <c r="C594" t="s">
        <v>103</v>
      </c>
      <c r="D594" t="s">
        <v>246</v>
      </c>
      <c r="E594">
        <v>398</v>
      </c>
      <c r="F594">
        <v>1</v>
      </c>
      <c r="G594">
        <v>610</v>
      </c>
      <c r="H594" t="str">
        <f>TEXT(TbDespesas[[#This Row],[data_transacao]], "aaaa-mm")</f>
        <v>2026-03</v>
      </c>
    </row>
    <row r="595" spans="1:8">
      <c r="A595">
        <v>594</v>
      </c>
      <c r="B595" s="1">
        <v>46092</v>
      </c>
      <c r="C595" t="s">
        <v>103</v>
      </c>
      <c r="D595" t="s">
        <v>440</v>
      </c>
      <c r="E595">
        <v>235</v>
      </c>
      <c r="F595">
        <v>9</v>
      </c>
      <c r="G595">
        <v>2165</v>
      </c>
      <c r="H595" t="str">
        <f>TEXT(TbDespesas[[#This Row],[data_transacao]], "aaaa-mm")</f>
        <v>2026-03</v>
      </c>
    </row>
    <row r="596" spans="1:8">
      <c r="A596">
        <v>595</v>
      </c>
      <c r="B596" s="1">
        <v>46092</v>
      </c>
      <c r="C596" t="s">
        <v>103</v>
      </c>
      <c r="D596" t="s">
        <v>352</v>
      </c>
      <c r="E596">
        <v>350</v>
      </c>
      <c r="F596">
        <v>9</v>
      </c>
      <c r="G596">
        <v>3234</v>
      </c>
      <c r="H596" t="str">
        <f>TEXT(TbDespesas[[#This Row],[data_transacao]], "aaaa-mm")</f>
        <v>2026-03</v>
      </c>
    </row>
    <row r="597" spans="1:8">
      <c r="A597">
        <v>596</v>
      </c>
      <c r="B597" s="1">
        <v>46092</v>
      </c>
      <c r="C597" t="s">
        <v>103</v>
      </c>
      <c r="D597" t="s">
        <v>258</v>
      </c>
      <c r="E597">
        <v>380</v>
      </c>
      <c r="F597">
        <v>8</v>
      </c>
      <c r="G597">
        <v>3310</v>
      </c>
      <c r="H597" t="str">
        <f>TEXT(TbDespesas[[#This Row],[data_transacao]], "aaaa-mm")</f>
        <v>2026-03</v>
      </c>
    </row>
    <row r="598" spans="1:8">
      <c r="A598">
        <v>597</v>
      </c>
      <c r="B598" s="1">
        <v>46092</v>
      </c>
      <c r="C598" t="s">
        <v>103</v>
      </c>
      <c r="D598" t="s">
        <v>441</v>
      </c>
      <c r="E598">
        <v>14</v>
      </c>
      <c r="F598">
        <v>155</v>
      </c>
      <c r="G598">
        <v>2175</v>
      </c>
      <c r="H598" t="str">
        <f>TEXT(TbDespesas[[#This Row],[data_transacao]], "aaaa-mm")</f>
        <v>2026-03</v>
      </c>
    </row>
    <row r="599" spans="1:8">
      <c r="A599">
        <v>598</v>
      </c>
      <c r="B599" s="1">
        <v>46092</v>
      </c>
      <c r="C599" t="s">
        <v>103</v>
      </c>
      <c r="D599" t="s">
        <v>227</v>
      </c>
      <c r="E599">
        <v>352</v>
      </c>
      <c r="F599">
        <v>9</v>
      </c>
      <c r="G599">
        <v>3376</v>
      </c>
      <c r="H599" t="str">
        <f>TEXT(TbDespesas[[#This Row],[data_transacao]], "aaaa-mm")</f>
        <v>2026-03</v>
      </c>
    </row>
    <row r="600" spans="1:8">
      <c r="A600">
        <v>599</v>
      </c>
      <c r="B600" s="1">
        <v>46092</v>
      </c>
      <c r="C600" t="s">
        <v>103</v>
      </c>
      <c r="D600" t="s">
        <v>442</v>
      </c>
      <c r="E600">
        <v>188</v>
      </c>
      <c r="F600">
        <v>5</v>
      </c>
      <c r="G600">
        <v>1088</v>
      </c>
      <c r="H600" t="str">
        <f>TEXT(TbDespesas[[#This Row],[data_transacao]], "aaaa-mm")</f>
        <v>2026-03</v>
      </c>
    </row>
    <row r="601" spans="1:8">
      <c r="A601">
        <v>600</v>
      </c>
      <c r="B601" s="1">
        <v>46224</v>
      </c>
      <c r="C601" t="s">
        <v>443</v>
      </c>
      <c r="D601" t="s">
        <v>96</v>
      </c>
      <c r="E601">
        <v>434</v>
      </c>
      <c r="F601">
        <v>3</v>
      </c>
      <c r="G601">
        <v>1708</v>
      </c>
      <c r="H601" t="str">
        <f>TEXT(TbDespesas[[#This Row],[data_transacao]], "aaaa-mm")</f>
        <v>2026-07</v>
      </c>
    </row>
    <row r="602" spans="1:8">
      <c r="A602">
        <v>601</v>
      </c>
      <c r="B602" s="1">
        <v>46224</v>
      </c>
      <c r="C602" t="s">
        <v>443</v>
      </c>
      <c r="D602" t="s">
        <v>444</v>
      </c>
      <c r="E602">
        <v>376</v>
      </c>
      <c r="F602">
        <v>1</v>
      </c>
      <c r="G602">
        <v>498</v>
      </c>
      <c r="H602" t="str">
        <f>TEXT(TbDespesas[[#This Row],[data_transacao]], "aaaa-mm")</f>
        <v>2026-07</v>
      </c>
    </row>
    <row r="603" spans="1:8">
      <c r="A603">
        <v>602</v>
      </c>
      <c r="B603" s="1">
        <v>46224</v>
      </c>
      <c r="C603" t="s">
        <v>443</v>
      </c>
      <c r="D603" t="s">
        <v>299</v>
      </c>
      <c r="E603">
        <v>83</v>
      </c>
      <c r="F603">
        <v>33</v>
      </c>
      <c r="G603">
        <v>2795</v>
      </c>
      <c r="H603" t="str">
        <f>TEXT(TbDespesas[[#This Row],[data_transacao]], "aaaa-mm")</f>
        <v>2026-07</v>
      </c>
    </row>
    <row r="604" spans="1:8">
      <c r="A604">
        <v>603</v>
      </c>
      <c r="B604" s="1">
        <v>46224</v>
      </c>
      <c r="C604" t="s">
        <v>443</v>
      </c>
      <c r="D604" t="s">
        <v>445</v>
      </c>
      <c r="E604">
        <v>420</v>
      </c>
      <c r="F604">
        <v>7</v>
      </c>
      <c r="G604">
        <v>2977</v>
      </c>
      <c r="H604" t="str">
        <f>TEXT(TbDespesas[[#This Row],[data_transacao]], "aaaa-mm")</f>
        <v>2026-07</v>
      </c>
    </row>
    <row r="605" spans="1:8">
      <c r="A605">
        <v>604</v>
      </c>
      <c r="B605" s="1">
        <v>46224</v>
      </c>
      <c r="C605" t="s">
        <v>443</v>
      </c>
      <c r="D605" t="s">
        <v>109</v>
      </c>
      <c r="E605">
        <v>192</v>
      </c>
      <c r="F605">
        <v>6</v>
      </c>
      <c r="G605">
        <v>1214</v>
      </c>
      <c r="H605" t="str">
        <f>TEXT(TbDespesas[[#This Row],[data_transacao]], "aaaa-mm")</f>
        <v>2026-07</v>
      </c>
    </row>
    <row r="606" spans="1:8">
      <c r="A606">
        <v>605</v>
      </c>
      <c r="B606" s="1">
        <v>46224</v>
      </c>
      <c r="C606" t="s">
        <v>443</v>
      </c>
      <c r="D606" t="s">
        <v>446</v>
      </c>
      <c r="E606">
        <v>493</v>
      </c>
      <c r="F606">
        <v>2</v>
      </c>
      <c r="G606">
        <v>1016</v>
      </c>
      <c r="H606" t="str">
        <f>TEXT(TbDespesas[[#This Row],[data_transacao]], "aaaa-mm")</f>
        <v>2026-07</v>
      </c>
    </row>
    <row r="607" spans="1:8">
      <c r="A607">
        <v>606</v>
      </c>
      <c r="B607" s="1">
        <v>46224</v>
      </c>
      <c r="C607" t="s">
        <v>443</v>
      </c>
      <c r="D607" t="s">
        <v>447</v>
      </c>
      <c r="E607">
        <v>453</v>
      </c>
      <c r="F607">
        <v>3</v>
      </c>
      <c r="G607">
        <v>1615</v>
      </c>
      <c r="H607" t="str">
        <f>TEXT(TbDespesas[[#This Row],[data_transacao]], "aaaa-mm")</f>
        <v>2026-07</v>
      </c>
    </row>
    <row r="608" spans="1:8">
      <c r="A608">
        <v>607</v>
      </c>
      <c r="B608" s="1">
        <v>46224</v>
      </c>
      <c r="C608" t="s">
        <v>443</v>
      </c>
      <c r="D608" t="s">
        <v>10</v>
      </c>
      <c r="E608">
        <v>251</v>
      </c>
      <c r="F608">
        <v>4</v>
      </c>
      <c r="G608">
        <v>1139</v>
      </c>
      <c r="H608" t="str">
        <f>TEXT(TbDespesas[[#This Row],[data_transacao]], "aaaa-mm")</f>
        <v>2026-07</v>
      </c>
    </row>
    <row r="609" spans="1:8">
      <c r="A609">
        <v>608</v>
      </c>
      <c r="B609" s="1">
        <v>46224</v>
      </c>
      <c r="C609" t="s">
        <v>443</v>
      </c>
      <c r="D609" t="s">
        <v>298</v>
      </c>
      <c r="E609">
        <v>243</v>
      </c>
      <c r="F609">
        <v>10</v>
      </c>
      <c r="G609">
        <v>2649</v>
      </c>
      <c r="H609" t="str">
        <f>TEXT(TbDespesas[[#This Row],[data_transacao]], "aaaa-mm")</f>
        <v>2026-07</v>
      </c>
    </row>
    <row r="610" spans="1:8">
      <c r="A610">
        <v>609</v>
      </c>
      <c r="B610" s="1">
        <v>46224</v>
      </c>
      <c r="C610" t="s">
        <v>443</v>
      </c>
      <c r="D610" t="s">
        <v>309</v>
      </c>
      <c r="E610">
        <v>319</v>
      </c>
      <c r="F610">
        <v>7</v>
      </c>
      <c r="G610">
        <v>2257</v>
      </c>
      <c r="H610" t="str">
        <f>TEXT(TbDespesas[[#This Row],[data_transacao]], "aaaa-mm")</f>
        <v>2026-07</v>
      </c>
    </row>
    <row r="611" spans="1:8">
      <c r="A611">
        <v>610</v>
      </c>
      <c r="B611" s="1">
        <v>45935</v>
      </c>
      <c r="C611" t="s">
        <v>431</v>
      </c>
      <c r="D611" t="s">
        <v>328</v>
      </c>
      <c r="E611">
        <v>59</v>
      </c>
      <c r="F611">
        <v>31</v>
      </c>
      <c r="G611">
        <v>1887</v>
      </c>
      <c r="H611" t="str">
        <f>TEXT(TbDespesas[[#This Row],[data_transacao]], "aaaa-mm")</f>
        <v>2025-10</v>
      </c>
    </row>
    <row r="612" spans="1:8">
      <c r="A612">
        <v>611</v>
      </c>
      <c r="B612" s="1">
        <v>45935</v>
      </c>
      <c r="C612" t="s">
        <v>431</v>
      </c>
      <c r="D612" t="s">
        <v>354</v>
      </c>
      <c r="E612">
        <v>76</v>
      </c>
      <c r="F612">
        <v>18</v>
      </c>
      <c r="G612">
        <v>1369</v>
      </c>
      <c r="H612" t="str">
        <f>TEXT(TbDespesas[[#This Row],[data_transacao]], "aaaa-mm")</f>
        <v>2025-10</v>
      </c>
    </row>
    <row r="613" spans="1:8">
      <c r="A613">
        <v>612</v>
      </c>
      <c r="B613" s="1">
        <v>45935</v>
      </c>
      <c r="C613" t="s">
        <v>431</v>
      </c>
      <c r="D613" t="s">
        <v>448</v>
      </c>
      <c r="E613">
        <v>295</v>
      </c>
      <c r="F613">
        <v>4</v>
      </c>
      <c r="G613">
        <v>1219</v>
      </c>
      <c r="H613" t="str">
        <f>TEXT(TbDespesas[[#This Row],[data_transacao]], "aaaa-mm")</f>
        <v>2025-10</v>
      </c>
    </row>
    <row r="614" spans="1:8">
      <c r="A614">
        <v>613</v>
      </c>
      <c r="B614" s="1">
        <v>45935</v>
      </c>
      <c r="C614" t="s">
        <v>431</v>
      </c>
      <c r="D614" t="s">
        <v>449</v>
      </c>
      <c r="E614">
        <v>400</v>
      </c>
      <c r="F614">
        <v>5</v>
      </c>
      <c r="G614">
        <v>2272</v>
      </c>
      <c r="H614" t="str">
        <f>TEXT(TbDespesas[[#This Row],[data_transacao]], "aaaa-mm")</f>
        <v>2025-10</v>
      </c>
    </row>
    <row r="615" spans="1:8">
      <c r="A615">
        <v>614</v>
      </c>
      <c r="B615" s="1">
        <v>45935</v>
      </c>
      <c r="C615" t="s">
        <v>431</v>
      </c>
      <c r="D615" t="s">
        <v>422</v>
      </c>
      <c r="E615">
        <v>11</v>
      </c>
      <c r="F615">
        <v>179</v>
      </c>
      <c r="G615">
        <v>1975</v>
      </c>
      <c r="H615" t="str">
        <f>TEXT(TbDespesas[[#This Row],[data_transacao]], "aaaa-mm")</f>
        <v>2025-10</v>
      </c>
    </row>
    <row r="616" spans="1:8">
      <c r="A616">
        <v>615</v>
      </c>
      <c r="B616" s="1">
        <v>45935</v>
      </c>
      <c r="C616" t="s">
        <v>431</v>
      </c>
      <c r="D616" t="s">
        <v>214</v>
      </c>
      <c r="E616">
        <v>22</v>
      </c>
      <c r="F616">
        <v>91</v>
      </c>
      <c r="G616">
        <v>2006</v>
      </c>
      <c r="H616" t="str">
        <f>TEXT(TbDespesas[[#This Row],[data_transacao]], "aaaa-mm")</f>
        <v>2025-10</v>
      </c>
    </row>
    <row r="617" spans="1:8">
      <c r="A617">
        <v>616</v>
      </c>
      <c r="B617" s="1">
        <v>45935</v>
      </c>
      <c r="C617" t="s">
        <v>431</v>
      </c>
      <c r="D617" t="s">
        <v>392</v>
      </c>
      <c r="E617">
        <v>230</v>
      </c>
      <c r="F617">
        <v>4</v>
      </c>
      <c r="G617">
        <v>1035</v>
      </c>
      <c r="H617" t="str">
        <f>TEXT(TbDespesas[[#This Row],[data_transacao]], "aaaa-mm")</f>
        <v>2025-10</v>
      </c>
    </row>
    <row r="618" spans="1:8">
      <c r="A618">
        <v>617</v>
      </c>
      <c r="B618" s="1">
        <v>45935</v>
      </c>
      <c r="C618" t="s">
        <v>431</v>
      </c>
      <c r="D618" t="s">
        <v>355</v>
      </c>
      <c r="E618">
        <v>365</v>
      </c>
      <c r="F618">
        <v>9</v>
      </c>
      <c r="G618">
        <v>3302</v>
      </c>
      <c r="H618" t="str">
        <f>TEXT(TbDespesas[[#This Row],[data_transacao]], "aaaa-mm")</f>
        <v>2025-10</v>
      </c>
    </row>
    <row r="619" spans="1:8">
      <c r="A619">
        <v>618</v>
      </c>
      <c r="B619" s="1">
        <v>45935</v>
      </c>
      <c r="C619" t="s">
        <v>431</v>
      </c>
      <c r="D619" t="s">
        <v>248</v>
      </c>
      <c r="E619">
        <v>74</v>
      </c>
      <c r="F619">
        <v>25</v>
      </c>
      <c r="G619">
        <v>1880</v>
      </c>
      <c r="H619" t="str">
        <f>TEXT(TbDespesas[[#This Row],[data_transacao]], "aaaa-mm")</f>
        <v>2025-10</v>
      </c>
    </row>
    <row r="620" spans="1:8">
      <c r="A620">
        <v>619</v>
      </c>
      <c r="B620" s="1">
        <v>45935</v>
      </c>
      <c r="C620" t="s">
        <v>431</v>
      </c>
      <c r="D620" t="s">
        <v>187</v>
      </c>
      <c r="E620">
        <v>322</v>
      </c>
      <c r="F620">
        <v>2</v>
      </c>
      <c r="G620">
        <v>780</v>
      </c>
      <c r="H620" t="str">
        <f>TEXT(TbDespesas[[#This Row],[data_transacao]], "aaaa-mm")</f>
        <v>2025-10</v>
      </c>
    </row>
    <row r="621" spans="1:8">
      <c r="A621">
        <v>620</v>
      </c>
      <c r="B621" s="1">
        <v>45935</v>
      </c>
      <c r="C621" t="s">
        <v>431</v>
      </c>
      <c r="D621" t="s">
        <v>393</v>
      </c>
      <c r="E621">
        <v>295</v>
      </c>
      <c r="F621">
        <v>5</v>
      </c>
      <c r="G621">
        <v>1530</v>
      </c>
      <c r="H621" t="str">
        <f>TEXT(TbDespesas[[#This Row],[data_transacao]], "aaaa-mm")</f>
        <v>2025-10</v>
      </c>
    </row>
    <row r="622" spans="1:8">
      <c r="A622">
        <v>621</v>
      </c>
      <c r="B622" s="1">
        <v>45935</v>
      </c>
      <c r="C622" t="s">
        <v>431</v>
      </c>
      <c r="D622" t="s">
        <v>450</v>
      </c>
      <c r="E622">
        <v>184</v>
      </c>
      <c r="F622">
        <v>5</v>
      </c>
      <c r="G622">
        <v>1081</v>
      </c>
      <c r="H622" t="str">
        <f>TEXT(TbDespesas[[#This Row],[data_transacao]], "aaaa-mm")</f>
        <v>2025-10</v>
      </c>
    </row>
    <row r="623" spans="1:8">
      <c r="A623">
        <v>622</v>
      </c>
      <c r="B623" s="1">
        <v>46054</v>
      </c>
      <c r="C623" t="s">
        <v>93</v>
      </c>
      <c r="D623" t="s">
        <v>451</v>
      </c>
      <c r="E623">
        <v>77</v>
      </c>
      <c r="F623">
        <v>10</v>
      </c>
      <c r="G623">
        <v>773</v>
      </c>
      <c r="H623" t="str">
        <f>TEXT(TbDespesas[[#This Row],[data_transacao]], "aaaa-mm")</f>
        <v>2026-02</v>
      </c>
    </row>
    <row r="624" spans="1:8">
      <c r="A624">
        <v>623</v>
      </c>
      <c r="B624" s="1">
        <v>46054</v>
      </c>
      <c r="C624" t="s">
        <v>93</v>
      </c>
      <c r="D624" t="s">
        <v>452</v>
      </c>
      <c r="E624">
        <v>299</v>
      </c>
      <c r="F624">
        <v>5</v>
      </c>
      <c r="G624">
        <v>1644</v>
      </c>
      <c r="H624" t="str">
        <f>TEXT(TbDespesas[[#This Row],[data_transacao]], "aaaa-mm")</f>
        <v>2026-02</v>
      </c>
    </row>
    <row r="625" spans="1:8">
      <c r="A625">
        <v>624</v>
      </c>
      <c r="B625" s="1">
        <v>46054</v>
      </c>
      <c r="C625" t="s">
        <v>93</v>
      </c>
      <c r="D625" t="s">
        <v>171</v>
      </c>
      <c r="E625">
        <v>323</v>
      </c>
      <c r="F625">
        <v>6</v>
      </c>
      <c r="G625">
        <v>2007</v>
      </c>
      <c r="H625" t="str">
        <f>TEXT(TbDespesas[[#This Row],[data_transacao]], "aaaa-mm")</f>
        <v>2026-02</v>
      </c>
    </row>
    <row r="626" spans="1:8">
      <c r="A626">
        <v>625</v>
      </c>
      <c r="B626" s="1">
        <v>46054</v>
      </c>
      <c r="C626" t="s">
        <v>93</v>
      </c>
      <c r="D626" t="s">
        <v>163</v>
      </c>
      <c r="E626">
        <v>52</v>
      </c>
      <c r="F626">
        <v>41</v>
      </c>
      <c r="G626">
        <v>2144</v>
      </c>
      <c r="H626" t="str">
        <f>TEXT(TbDespesas[[#This Row],[data_transacao]], "aaaa-mm")</f>
        <v>2026-02</v>
      </c>
    </row>
    <row r="627" spans="1:8">
      <c r="A627">
        <v>626</v>
      </c>
      <c r="B627" s="1">
        <v>46054</v>
      </c>
      <c r="C627" t="s">
        <v>93</v>
      </c>
      <c r="D627" t="s">
        <v>453</v>
      </c>
      <c r="E627">
        <v>402</v>
      </c>
      <c r="F627">
        <v>1</v>
      </c>
      <c r="G627">
        <v>737</v>
      </c>
      <c r="H627" t="str">
        <f>TEXT(TbDespesas[[#This Row],[data_transacao]], "aaaa-mm")</f>
        <v>2026-02</v>
      </c>
    </row>
    <row r="628" spans="1:8">
      <c r="A628">
        <v>627</v>
      </c>
      <c r="B628" s="1">
        <v>46054</v>
      </c>
      <c r="C628" t="s">
        <v>93</v>
      </c>
      <c r="D628" t="s">
        <v>454</v>
      </c>
      <c r="E628">
        <v>270</v>
      </c>
      <c r="F628">
        <v>6</v>
      </c>
      <c r="G628">
        <v>1742</v>
      </c>
      <c r="H628" t="str">
        <f>TEXT(TbDespesas[[#This Row],[data_transacao]], "aaaa-mm")</f>
        <v>2026-02</v>
      </c>
    </row>
    <row r="629" spans="1:8">
      <c r="A629">
        <v>628</v>
      </c>
      <c r="B629" s="1">
        <v>46094</v>
      </c>
      <c r="C629" t="s">
        <v>455</v>
      </c>
      <c r="D629" t="s">
        <v>456</v>
      </c>
      <c r="E629">
        <v>70</v>
      </c>
      <c r="F629">
        <v>25</v>
      </c>
      <c r="G629">
        <v>1814</v>
      </c>
      <c r="H629" t="str">
        <f>TEXT(TbDespesas[[#This Row],[data_transacao]], "aaaa-mm")</f>
        <v>2026-03</v>
      </c>
    </row>
    <row r="630" spans="1:8">
      <c r="A630">
        <v>629</v>
      </c>
      <c r="B630" s="1">
        <v>46094</v>
      </c>
      <c r="C630" t="s">
        <v>455</v>
      </c>
      <c r="D630" t="s">
        <v>139</v>
      </c>
      <c r="E630">
        <v>383</v>
      </c>
      <c r="F630">
        <v>2</v>
      </c>
      <c r="G630">
        <v>939</v>
      </c>
      <c r="H630" t="str">
        <f>TEXT(TbDespesas[[#This Row],[data_transacao]], "aaaa-mm")</f>
        <v>2026-03</v>
      </c>
    </row>
    <row r="631" spans="1:8">
      <c r="A631">
        <v>630</v>
      </c>
      <c r="B631" s="1">
        <v>46094</v>
      </c>
      <c r="C631" t="s">
        <v>455</v>
      </c>
      <c r="D631" t="s">
        <v>82</v>
      </c>
      <c r="E631">
        <v>117</v>
      </c>
      <c r="F631">
        <v>13</v>
      </c>
      <c r="G631">
        <v>1613</v>
      </c>
      <c r="H631" t="str">
        <f>TEXT(TbDespesas[[#This Row],[data_transacao]], "aaaa-mm")</f>
        <v>2026-03</v>
      </c>
    </row>
    <row r="632" spans="1:8">
      <c r="A632">
        <v>631</v>
      </c>
      <c r="B632" s="1">
        <v>46094</v>
      </c>
      <c r="C632" t="s">
        <v>455</v>
      </c>
      <c r="D632" t="s">
        <v>148</v>
      </c>
      <c r="E632">
        <v>91</v>
      </c>
      <c r="F632">
        <v>32</v>
      </c>
      <c r="G632">
        <v>2971</v>
      </c>
      <c r="H632" t="str">
        <f>TEXT(TbDespesas[[#This Row],[data_transacao]], "aaaa-mm")</f>
        <v>2026-03</v>
      </c>
    </row>
    <row r="633" spans="1:8">
      <c r="A633">
        <v>632</v>
      </c>
      <c r="B633" s="1">
        <v>46094</v>
      </c>
      <c r="C633" t="s">
        <v>455</v>
      </c>
      <c r="D633" t="s">
        <v>392</v>
      </c>
      <c r="E633">
        <v>98</v>
      </c>
      <c r="F633">
        <v>28</v>
      </c>
      <c r="G633">
        <v>2811</v>
      </c>
      <c r="H633" t="str">
        <f>TEXT(TbDespesas[[#This Row],[data_transacao]], "aaaa-mm")</f>
        <v>2026-03</v>
      </c>
    </row>
    <row r="634" spans="1:8">
      <c r="A634">
        <v>633</v>
      </c>
      <c r="B634" s="1">
        <v>46094</v>
      </c>
      <c r="C634" t="s">
        <v>455</v>
      </c>
      <c r="D634" t="s">
        <v>111</v>
      </c>
      <c r="E634">
        <v>306</v>
      </c>
      <c r="F634">
        <v>7</v>
      </c>
      <c r="G634">
        <v>2287</v>
      </c>
      <c r="H634" t="str">
        <f>TEXT(TbDespesas[[#This Row],[data_transacao]], "aaaa-mm")</f>
        <v>2026-03</v>
      </c>
    </row>
    <row r="635" spans="1:8">
      <c r="A635">
        <v>634</v>
      </c>
      <c r="B635" s="1">
        <v>46094</v>
      </c>
      <c r="C635" t="s">
        <v>455</v>
      </c>
      <c r="D635" t="s">
        <v>35</v>
      </c>
      <c r="E635">
        <v>299</v>
      </c>
      <c r="F635">
        <v>9</v>
      </c>
      <c r="G635">
        <v>2857</v>
      </c>
      <c r="H635" t="str">
        <f>TEXT(TbDespesas[[#This Row],[data_transacao]], "aaaa-mm")</f>
        <v>2026-03</v>
      </c>
    </row>
    <row r="636" spans="1:8">
      <c r="A636">
        <v>635</v>
      </c>
      <c r="B636" s="1">
        <v>46094</v>
      </c>
      <c r="C636" t="s">
        <v>455</v>
      </c>
      <c r="D636" t="s">
        <v>457</v>
      </c>
      <c r="E636">
        <v>50</v>
      </c>
      <c r="F636">
        <v>20</v>
      </c>
      <c r="G636">
        <v>1007</v>
      </c>
      <c r="H636" t="str">
        <f>TEXT(TbDespesas[[#This Row],[data_transacao]], "aaaa-mm")</f>
        <v>2026-03</v>
      </c>
    </row>
    <row r="637" spans="1:8">
      <c r="A637">
        <v>636</v>
      </c>
      <c r="B637" s="1">
        <v>46202</v>
      </c>
      <c r="C637" t="s">
        <v>279</v>
      </c>
      <c r="D637" t="s">
        <v>458</v>
      </c>
      <c r="E637">
        <v>76</v>
      </c>
      <c r="F637">
        <v>18</v>
      </c>
      <c r="G637">
        <v>1418</v>
      </c>
      <c r="H637" t="str">
        <f>TEXT(TbDespesas[[#This Row],[data_transacao]], "aaaa-mm")</f>
        <v>2026-06</v>
      </c>
    </row>
    <row r="638" spans="1:8">
      <c r="A638">
        <v>637</v>
      </c>
      <c r="B638" s="1">
        <v>46202</v>
      </c>
      <c r="C638" t="s">
        <v>279</v>
      </c>
      <c r="D638" t="s">
        <v>284</v>
      </c>
      <c r="E638">
        <v>407</v>
      </c>
      <c r="F638">
        <v>4</v>
      </c>
      <c r="G638">
        <v>1864</v>
      </c>
      <c r="H638" t="str">
        <f>TEXT(TbDespesas[[#This Row],[data_transacao]], "aaaa-mm")</f>
        <v>2026-06</v>
      </c>
    </row>
    <row r="639" spans="1:8">
      <c r="A639">
        <v>638</v>
      </c>
      <c r="B639" s="1">
        <v>46202</v>
      </c>
      <c r="C639" t="s">
        <v>279</v>
      </c>
      <c r="D639" t="s">
        <v>459</v>
      </c>
      <c r="E639">
        <v>75</v>
      </c>
      <c r="F639">
        <v>7</v>
      </c>
      <c r="G639">
        <v>526</v>
      </c>
      <c r="H639" t="str">
        <f>TEXT(TbDespesas[[#This Row],[data_transacao]], "aaaa-mm")</f>
        <v>2026-06</v>
      </c>
    </row>
    <row r="640" spans="1:8">
      <c r="A640">
        <v>639</v>
      </c>
      <c r="B640" s="1">
        <v>46202</v>
      </c>
      <c r="C640" t="s">
        <v>279</v>
      </c>
      <c r="D640" t="s">
        <v>62</v>
      </c>
      <c r="E640">
        <v>394</v>
      </c>
      <c r="F640">
        <v>4</v>
      </c>
      <c r="G640">
        <v>1714</v>
      </c>
      <c r="H640" t="str">
        <f>TEXT(TbDespesas[[#This Row],[data_transacao]], "aaaa-mm")</f>
        <v>2026-06</v>
      </c>
    </row>
    <row r="641" spans="1:8">
      <c r="A641">
        <v>640</v>
      </c>
      <c r="B641" s="1">
        <v>46202</v>
      </c>
      <c r="C641" t="s">
        <v>279</v>
      </c>
      <c r="D641" t="s">
        <v>81</v>
      </c>
      <c r="E641">
        <v>322</v>
      </c>
      <c r="F641">
        <v>12</v>
      </c>
      <c r="G641">
        <v>4035</v>
      </c>
      <c r="H641" t="str">
        <f>TEXT(TbDespesas[[#This Row],[data_transacao]], "aaaa-mm")</f>
        <v>2026-06</v>
      </c>
    </row>
    <row r="642" spans="1:8">
      <c r="A642">
        <v>641</v>
      </c>
      <c r="B642" s="1">
        <v>46202</v>
      </c>
      <c r="C642" t="s">
        <v>279</v>
      </c>
      <c r="D642" t="s">
        <v>460</v>
      </c>
      <c r="E642">
        <v>437</v>
      </c>
      <c r="F642">
        <v>2</v>
      </c>
      <c r="G642">
        <v>1158</v>
      </c>
      <c r="H642" t="str">
        <f>TEXT(TbDespesas[[#This Row],[data_transacao]], "aaaa-mm")</f>
        <v>2026-06</v>
      </c>
    </row>
    <row r="643" spans="1:8">
      <c r="A643">
        <v>642</v>
      </c>
      <c r="B643" s="1">
        <v>46202</v>
      </c>
      <c r="C643" t="s">
        <v>279</v>
      </c>
      <c r="D643" t="s">
        <v>203</v>
      </c>
      <c r="E643">
        <v>113</v>
      </c>
      <c r="F643">
        <v>17</v>
      </c>
      <c r="G643">
        <v>1931</v>
      </c>
      <c r="H643" t="str">
        <f>TEXT(TbDespesas[[#This Row],[data_transacao]], "aaaa-mm")</f>
        <v>2026-06</v>
      </c>
    </row>
    <row r="644" spans="1:8">
      <c r="A644">
        <v>643</v>
      </c>
      <c r="B644" s="1">
        <v>46202</v>
      </c>
      <c r="C644" t="s">
        <v>279</v>
      </c>
      <c r="D644" t="s">
        <v>302</v>
      </c>
      <c r="E644">
        <v>495</v>
      </c>
      <c r="F644">
        <v>6</v>
      </c>
      <c r="G644">
        <v>3296</v>
      </c>
      <c r="H644" t="str">
        <f>TEXT(TbDespesas[[#This Row],[data_transacao]], "aaaa-mm")</f>
        <v>2026-06</v>
      </c>
    </row>
    <row r="645" spans="1:8">
      <c r="A645">
        <v>644</v>
      </c>
      <c r="B645" s="1">
        <v>46202</v>
      </c>
      <c r="C645" t="s">
        <v>279</v>
      </c>
      <c r="D645" t="s">
        <v>461</v>
      </c>
      <c r="E645">
        <v>120</v>
      </c>
      <c r="F645">
        <v>26</v>
      </c>
      <c r="G645">
        <v>3214</v>
      </c>
      <c r="H645" t="str">
        <f>TEXT(TbDespesas[[#This Row],[data_transacao]], "aaaa-mm")</f>
        <v>2026-06</v>
      </c>
    </row>
    <row r="646" spans="1:8">
      <c r="A646">
        <v>645</v>
      </c>
      <c r="B646" s="1">
        <v>46264</v>
      </c>
      <c r="C646" t="s">
        <v>462</v>
      </c>
      <c r="D646" t="s">
        <v>463</v>
      </c>
      <c r="E646">
        <v>442</v>
      </c>
      <c r="F646">
        <v>4</v>
      </c>
      <c r="G646">
        <v>2206</v>
      </c>
      <c r="H646" t="str">
        <f>TEXT(TbDespesas[[#This Row],[data_transacao]], "aaaa-mm")</f>
        <v>2026-08</v>
      </c>
    </row>
    <row r="647" spans="1:8">
      <c r="A647">
        <v>646</v>
      </c>
      <c r="B647" s="1">
        <v>46264</v>
      </c>
      <c r="C647" t="s">
        <v>462</v>
      </c>
      <c r="D647" t="s">
        <v>343</v>
      </c>
      <c r="E647">
        <v>339</v>
      </c>
      <c r="F647">
        <v>3</v>
      </c>
      <c r="G647">
        <v>1068</v>
      </c>
      <c r="H647" t="str">
        <f>TEXT(TbDespesas[[#This Row],[data_transacao]], "aaaa-mm")</f>
        <v>2026-08</v>
      </c>
    </row>
    <row r="648" spans="1:8">
      <c r="A648">
        <v>647</v>
      </c>
      <c r="B648" s="1">
        <v>46264</v>
      </c>
      <c r="C648" t="s">
        <v>462</v>
      </c>
      <c r="D648" t="s">
        <v>345</v>
      </c>
      <c r="E648">
        <v>223</v>
      </c>
      <c r="F648">
        <v>16</v>
      </c>
      <c r="G648">
        <v>3628</v>
      </c>
      <c r="H648" t="str">
        <f>TEXT(TbDespesas[[#This Row],[data_transacao]], "aaaa-mm")</f>
        <v>2026-08</v>
      </c>
    </row>
    <row r="649" spans="1:8">
      <c r="A649">
        <v>648</v>
      </c>
      <c r="B649" s="1">
        <v>46264</v>
      </c>
      <c r="C649" t="s">
        <v>462</v>
      </c>
      <c r="D649" t="s">
        <v>9</v>
      </c>
      <c r="E649">
        <v>259</v>
      </c>
      <c r="F649">
        <v>9</v>
      </c>
      <c r="G649">
        <v>2574</v>
      </c>
      <c r="H649" t="str">
        <f>TEXT(TbDespesas[[#This Row],[data_transacao]], "aaaa-mm")</f>
        <v>2026-08</v>
      </c>
    </row>
    <row r="650" spans="1:8">
      <c r="A650">
        <v>649</v>
      </c>
      <c r="B650" s="1">
        <v>46264</v>
      </c>
      <c r="C650" t="s">
        <v>462</v>
      </c>
      <c r="D650" t="s">
        <v>151</v>
      </c>
      <c r="E650">
        <v>435</v>
      </c>
      <c r="F650">
        <v>4</v>
      </c>
      <c r="G650">
        <v>1945</v>
      </c>
      <c r="H650" t="str">
        <f>TEXT(TbDespesas[[#This Row],[data_transacao]], "aaaa-mm")</f>
        <v>2026-08</v>
      </c>
    </row>
    <row r="651" spans="1:8">
      <c r="A651">
        <v>650</v>
      </c>
      <c r="B651" s="1">
        <v>46264</v>
      </c>
      <c r="C651" t="s">
        <v>462</v>
      </c>
      <c r="D651" t="s">
        <v>433</v>
      </c>
      <c r="E651">
        <v>293</v>
      </c>
      <c r="F651">
        <v>2</v>
      </c>
      <c r="G651">
        <v>714</v>
      </c>
      <c r="H651" t="str">
        <f>TEXT(TbDespesas[[#This Row],[data_transacao]], "aaaa-mm")</f>
        <v>2026-08</v>
      </c>
    </row>
    <row r="652" spans="1:8">
      <c r="A652">
        <v>651</v>
      </c>
      <c r="B652" s="1">
        <v>46264</v>
      </c>
      <c r="C652" t="s">
        <v>462</v>
      </c>
      <c r="D652" t="s">
        <v>464</v>
      </c>
      <c r="E652">
        <v>496</v>
      </c>
      <c r="F652">
        <v>6</v>
      </c>
      <c r="G652">
        <v>3184</v>
      </c>
      <c r="H652" t="str">
        <f>TEXT(TbDespesas[[#This Row],[data_transacao]], "aaaa-mm")</f>
        <v>2026-08</v>
      </c>
    </row>
    <row r="653" spans="1:8">
      <c r="A653">
        <v>652</v>
      </c>
      <c r="B653" s="1">
        <v>46264</v>
      </c>
      <c r="C653" t="s">
        <v>462</v>
      </c>
      <c r="D653" t="s">
        <v>465</v>
      </c>
      <c r="E653">
        <v>469</v>
      </c>
      <c r="F653">
        <v>2</v>
      </c>
      <c r="G653">
        <v>1116</v>
      </c>
      <c r="H653" t="str">
        <f>TEXT(TbDespesas[[#This Row],[data_transacao]], "aaaa-mm")</f>
        <v>2026-08</v>
      </c>
    </row>
    <row r="654" spans="1:8">
      <c r="A654">
        <v>653</v>
      </c>
      <c r="B654" s="1">
        <v>46028</v>
      </c>
      <c r="C654" t="s">
        <v>206</v>
      </c>
      <c r="D654" t="s">
        <v>466</v>
      </c>
      <c r="E654">
        <v>52</v>
      </c>
      <c r="F654">
        <v>12</v>
      </c>
      <c r="G654">
        <v>671</v>
      </c>
      <c r="H654" t="str">
        <f>TEXT(TbDespesas[[#This Row],[data_transacao]], "aaaa-mm")</f>
        <v>2026-01</v>
      </c>
    </row>
    <row r="655" spans="1:8">
      <c r="A655">
        <v>654</v>
      </c>
      <c r="B655" s="1">
        <v>46028</v>
      </c>
      <c r="C655" t="s">
        <v>206</v>
      </c>
      <c r="D655" t="s">
        <v>467</v>
      </c>
      <c r="E655">
        <v>213</v>
      </c>
      <c r="F655">
        <v>9</v>
      </c>
      <c r="G655">
        <v>2068</v>
      </c>
      <c r="H655" t="str">
        <f>TEXT(TbDespesas[[#This Row],[data_transacao]], "aaaa-mm")</f>
        <v>2026-01</v>
      </c>
    </row>
    <row r="656" spans="1:8">
      <c r="A656">
        <v>655</v>
      </c>
      <c r="B656" s="1">
        <v>46138</v>
      </c>
      <c r="C656" t="s">
        <v>244</v>
      </c>
      <c r="D656" t="s">
        <v>422</v>
      </c>
      <c r="E656">
        <v>222</v>
      </c>
      <c r="F656">
        <v>10</v>
      </c>
      <c r="G656">
        <v>2239</v>
      </c>
      <c r="H656" t="str">
        <f>TEXT(TbDespesas[[#This Row],[data_transacao]], "aaaa-mm")</f>
        <v>2026-04</v>
      </c>
    </row>
    <row r="657" spans="1:8">
      <c r="A657">
        <v>656</v>
      </c>
      <c r="B657" s="1">
        <v>46138</v>
      </c>
      <c r="C657" t="s">
        <v>244</v>
      </c>
      <c r="D657" t="s">
        <v>468</v>
      </c>
      <c r="E657">
        <v>438</v>
      </c>
      <c r="F657">
        <v>8</v>
      </c>
      <c r="G657">
        <v>3882</v>
      </c>
      <c r="H657" t="str">
        <f>TEXT(TbDespesas[[#This Row],[data_transacao]], "aaaa-mm")</f>
        <v>2026-04</v>
      </c>
    </row>
    <row r="658" spans="1:8">
      <c r="A658">
        <v>657</v>
      </c>
      <c r="B658" s="1">
        <v>46138</v>
      </c>
      <c r="C658" t="s">
        <v>244</v>
      </c>
      <c r="D658" t="s">
        <v>469</v>
      </c>
      <c r="E658">
        <v>421</v>
      </c>
      <c r="F658">
        <v>1</v>
      </c>
      <c r="G658">
        <v>764</v>
      </c>
      <c r="H658" t="str">
        <f>TEXT(TbDespesas[[#This Row],[data_transacao]], "aaaa-mm")</f>
        <v>2026-04</v>
      </c>
    </row>
    <row r="659" spans="1:8">
      <c r="A659">
        <v>658</v>
      </c>
      <c r="B659" s="1">
        <v>46027</v>
      </c>
      <c r="C659" t="s">
        <v>470</v>
      </c>
      <c r="D659" t="s">
        <v>106</v>
      </c>
      <c r="E659">
        <v>246</v>
      </c>
      <c r="F659">
        <v>12</v>
      </c>
      <c r="G659">
        <v>2966</v>
      </c>
      <c r="H659" t="str">
        <f>TEXT(TbDespesas[[#This Row],[data_transacao]], "aaaa-mm")</f>
        <v>2026-01</v>
      </c>
    </row>
    <row r="660" spans="1:8">
      <c r="A660">
        <v>659</v>
      </c>
      <c r="B660" s="1">
        <v>46027</v>
      </c>
      <c r="C660" t="s">
        <v>470</v>
      </c>
      <c r="D660" t="s">
        <v>134</v>
      </c>
      <c r="E660">
        <v>430</v>
      </c>
      <c r="F660">
        <v>4</v>
      </c>
      <c r="G660">
        <v>1905</v>
      </c>
      <c r="H660" t="str">
        <f>TEXT(TbDespesas[[#This Row],[data_transacao]], "aaaa-mm")</f>
        <v>2026-01</v>
      </c>
    </row>
    <row r="661" spans="1:8">
      <c r="A661">
        <v>660</v>
      </c>
      <c r="B661" s="1">
        <v>46027</v>
      </c>
      <c r="C661" t="s">
        <v>470</v>
      </c>
      <c r="D661" t="s">
        <v>451</v>
      </c>
      <c r="E661">
        <v>131</v>
      </c>
      <c r="F661">
        <v>4</v>
      </c>
      <c r="G661">
        <v>571</v>
      </c>
      <c r="H661" t="str">
        <f>TEXT(TbDespesas[[#This Row],[data_transacao]], "aaaa-mm")</f>
        <v>2026-01</v>
      </c>
    </row>
    <row r="662" spans="1:8">
      <c r="A662">
        <v>661</v>
      </c>
      <c r="B662" s="1">
        <v>46027</v>
      </c>
      <c r="C662" t="s">
        <v>470</v>
      </c>
      <c r="D662" t="s">
        <v>370</v>
      </c>
      <c r="E662">
        <v>271</v>
      </c>
      <c r="F662">
        <v>10</v>
      </c>
      <c r="G662">
        <v>2784</v>
      </c>
      <c r="H662" t="str">
        <f>TEXT(TbDespesas[[#This Row],[data_transacao]], "aaaa-mm")</f>
        <v>2026-01</v>
      </c>
    </row>
    <row r="663" spans="1:8">
      <c r="A663">
        <v>662</v>
      </c>
      <c r="B663" s="1">
        <v>46027</v>
      </c>
      <c r="C663" t="s">
        <v>470</v>
      </c>
      <c r="D663" t="s">
        <v>471</v>
      </c>
      <c r="E663">
        <v>68</v>
      </c>
      <c r="F663">
        <v>37</v>
      </c>
      <c r="G663">
        <v>2564</v>
      </c>
      <c r="H663" t="str">
        <f>TEXT(TbDespesas[[#This Row],[data_transacao]], "aaaa-mm")</f>
        <v>2026-01</v>
      </c>
    </row>
    <row r="664" spans="1:8">
      <c r="A664">
        <v>663</v>
      </c>
      <c r="B664" s="1">
        <v>46027</v>
      </c>
      <c r="C664" t="s">
        <v>470</v>
      </c>
      <c r="D664" t="s">
        <v>472</v>
      </c>
      <c r="E664">
        <v>413</v>
      </c>
      <c r="F664">
        <v>5</v>
      </c>
      <c r="G664">
        <v>2340</v>
      </c>
      <c r="H664" t="str">
        <f>TEXT(TbDespesas[[#This Row],[data_transacao]], "aaaa-mm")</f>
        <v>2026-01</v>
      </c>
    </row>
    <row r="665" spans="1:8">
      <c r="A665">
        <v>664</v>
      </c>
      <c r="B665" s="1">
        <v>46016</v>
      </c>
      <c r="C665" t="s">
        <v>473</v>
      </c>
      <c r="D665" t="s">
        <v>121</v>
      </c>
      <c r="E665">
        <v>297</v>
      </c>
      <c r="F665">
        <v>2</v>
      </c>
      <c r="G665">
        <v>765</v>
      </c>
      <c r="H665" t="str">
        <f>TEXT(TbDespesas[[#This Row],[data_transacao]], "aaaa-mm")</f>
        <v>2025-12</v>
      </c>
    </row>
    <row r="666" spans="1:8">
      <c r="A666">
        <v>665</v>
      </c>
      <c r="B666" s="1">
        <v>46016</v>
      </c>
      <c r="C666" t="s">
        <v>473</v>
      </c>
      <c r="D666" t="s">
        <v>474</v>
      </c>
      <c r="E666">
        <v>393</v>
      </c>
      <c r="F666">
        <v>4</v>
      </c>
      <c r="G666">
        <v>1582</v>
      </c>
      <c r="H666" t="str">
        <f>TEXT(TbDespesas[[#This Row],[data_transacao]], "aaaa-mm")</f>
        <v>2025-12</v>
      </c>
    </row>
    <row r="667" spans="1:8">
      <c r="A667">
        <v>666</v>
      </c>
      <c r="B667" s="1">
        <v>45948</v>
      </c>
      <c r="C667" t="s">
        <v>470</v>
      </c>
      <c r="D667" t="s">
        <v>475</v>
      </c>
      <c r="E667">
        <v>71</v>
      </c>
      <c r="F667">
        <v>57</v>
      </c>
      <c r="G667">
        <v>4071</v>
      </c>
      <c r="H667" t="str">
        <f>TEXT(TbDespesas[[#This Row],[data_transacao]], "aaaa-mm")</f>
        <v>2025-10</v>
      </c>
    </row>
    <row r="668" spans="1:8">
      <c r="A668">
        <v>667</v>
      </c>
      <c r="B668" s="1">
        <v>45948</v>
      </c>
      <c r="C668" t="s">
        <v>470</v>
      </c>
      <c r="D668" t="s">
        <v>439</v>
      </c>
      <c r="E668">
        <v>374</v>
      </c>
      <c r="F668">
        <v>2</v>
      </c>
      <c r="G668">
        <v>947</v>
      </c>
      <c r="H668" t="str">
        <f>TEXT(TbDespesas[[#This Row],[data_transacao]], "aaaa-mm")</f>
        <v>2025-10</v>
      </c>
    </row>
    <row r="669" spans="1:8">
      <c r="A669">
        <v>668</v>
      </c>
      <c r="B669" s="1">
        <v>45948</v>
      </c>
      <c r="C669" t="s">
        <v>470</v>
      </c>
      <c r="D669" t="s">
        <v>246</v>
      </c>
      <c r="E669">
        <v>357</v>
      </c>
      <c r="F669">
        <v>5</v>
      </c>
      <c r="G669">
        <v>1786</v>
      </c>
      <c r="H669" t="str">
        <f>TEXT(TbDespesas[[#This Row],[data_transacao]], "aaaa-mm")</f>
        <v>2025-10</v>
      </c>
    </row>
    <row r="670" spans="1:8">
      <c r="A670">
        <v>669</v>
      </c>
      <c r="B670" s="1">
        <v>45948</v>
      </c>
      <c r="C670" t="s">
        <v>470</v>
      </c>
      <c r="D670" t="s">
        <v>190</v>
      </c>
      <c r="E670">
        <v>82</v>
      </c>
      <c r="F670">
        <v>3</v>
      </c>
      <c r="G670">
        <v>295</v>
      </c>
      <c r="H670" t="str">
        <f>TEXT(TbDespesas[[#This Row],[data_transacao]], "aaaa-mm")</f>
        <v>2025-10</v>
      </c>
    </row>
    <row r="671" spans="1:8">
      <c r="A671">
        <v>670</v>
      </c>
      <c r="B671" s="1">
        <v>45948</v>
      </c>
      <c r="C671" t="s">
        <v>470</v>
      </c>
      <c r="D671" t="s">
        <v>83</v>
      </c>
      <c r="E671">
        <v>218</v>
      </c>
      <c r="F671">
        <v>7</v>
      </c>
      <c r="G671">
        <v>1559</v>
      </c>
      <c r="H671" t="str">
        <f>TEXT(TbDespesas[[#This Row],[data_transacao]], "aaaa-mm")</f>
        <v>2025-10</v>
      </c>
    </row>
    <row r="672" spans="1:8">
      <c r="A672">
        <v>671</v>
      </c>
      <c r="B672" s="1">
        <v>45948</v>
      </c>
      <c r="C672" t="s">
        <v>470</v>
      </c>
      <c r="D672" t="s">
        <v>451</v>
      </c>
      <c r="E672">
        <v>248</v>
      </c>
      <c r="F672">
        <v>1</v>
      </c>
      <c r="G672">
        <v>391</v>
      </c>
      <c r="H672" t="str">
        <f>TEXT(TbDespesas[[#This Row],[data_transacao]], "aaaa-mm")</f>
        <v>2025-10</v>
      </c>
    </row>
    <row r="673" spans="1:8">
      <c r="A673">
        <v>672</v>
      </c>
      <c r="B673" s="1">
        <v>45948</v>
      </c>
      <c r="C673" t="s">
        <v>470</v>
      </c>
      <c r="D673" t="s">
        <v>406</v>
      </c>
      <c r="E673">
        <v>197</v>
      </c>
      <c r="F673">
        <v>6</v>
      </c>
      <c r="G673">
        <v>1326</v>
      </c>
      <c r="H673" t="str">
        <f>TEXT(TbDespesas[[#This Row],[data_transacao]], "aaaa-mm")</f>
        <v>2025-10</v>
      </c>
    </row>
    <row r="674" spans="1:8">
      <c r="A674">
        <v>673</v>
      </c>
      <c r="B674" s="1">
        <v>45948</v>
      </c>
      <c r="C674" t="s">
        <v>470</v>
      </c>
      <c r="D674" t="s">
        <v>142</v>
      </c>
      <c r="E674">
        <v>15</v>
      </c>
      <c r="F674">
        <v>131</v>
      </c>
      <c r="G674">
        <v>1969</v>
      </c>
      <c r="H674" t="str">
        <f>TEXT(TbDespesas[[#This Row],[data_transacao]], "aaaa-mm")</f>
        <v>2025-10</v>
      </c>
    </row>
    <row r="675" spans="1:8">
      <c r="A675">
        <v>674</v>
      </c>
      <c r="B675" s="1">
        <v>45948</v>
      </c>
      <c r="C675" t="s">
        <v>470</v>
      </c>
      <c r="D675" t="s">
        <v>282</v>
      </c>
      <c r="E675">
        <v>25</v>
      </c>
      <c r="F675">
        <v>104</v>
      </c>
      <c r="G675">
        <v>2622</v>
      </c>
      <c r="H675" t="str">
        <f>TEXT(TbDespesas[[#This Row],[data_transacao]], "aaaa-mm")</f>
        <v>2025-10</v>
      </c>
    </row>
    <row r="676" spans="1:8">
      <c r="A676">
        <v>675</v>
      </c>
      <c r="B676" s="1">
        <v>46218</v>
      </c>
      <c r="C676" t="s">
        <v>69</v>
      </c>
      <c r="D676" t="s">
        <v>149</v>
      </c>
      <c r="E676">
        <v>385</v>
      </c>
      <c r="F676">
        <v>3</v>
      </c>
      <c r="G676">
        <v>1500</v>
      </c>
      <c r="H676" t="str">
        <f>TEXT(TbDespesas[[#This Row],[data_transacao]], "aaaa-mm")</f>
        <v>2026-07</v>
      </c>
    </row>
    <row r="677" spans="1:8">
      <c r="A677">
        <v>676</v>
      </c>
      <c r="B677" s="1">
        <v>46218</v>
      </c>
      <c r="C677" t="s">
        <v>69</v>
      </c>
      <c r="D677" t="s">
        <v>450</v>
      </c>
      <c r="E677">
        <v>484</v>
      </c>
      <c r="F677">
        <v>6</v>
      </c>
      <c r="G677">
        <v>3155</v>
      </c>
      <c r="H677" t="str">
        <f>TEXT(TbDespesas[[#This Row],[data_transacao]], "aaaa-mm")</f>
        <v>2026-07</v>
      </c>
    </row>
    <row r="678" spans="1:8">
      <c r="A678">
        <v>677</v>
      </c>
      <c r="B678" s="1">
        <v>46218</v>
      </c>
      <c r="C678" t="s">
        <v>69</v>
      </c>
      <c r="D678" t="s">
        <v>229</v>
      </c>
      <c r="E678">
        <v>444</v>
      </c>
      <c r="F678">
        <v>1</v>
      </c>
      <c r="G678">
        <v>472</v>
      </c>
      <c r="H678" t="str">
        <f>TEXT(TbDespesas[[#This Row],[data_transacao]], "aaaa-mm")</f>
        <v>2026-07</v>
      </c>
    </row>
    <row r="679" spans="1:8">
      <c r="A679">
        <v>678</v>
      </c>
      <c r="B679" s="1">
        <v>46218</v>
      </c>
      <c r="C679" t="s">
        <v>69</v>
      </c>
      <c r="D679" t="s">
        <v>476</v>
      </c>
      <c r="E679">
        <v>228</v>
      </c>
      <c r="F679">
        <v>9</v>
      </c>
      <c r="G679">
        <v>2076</v>
      </c>
      <c r="H679" t="str">
        <f>TEXT(TbDespesas[[#This Row],[data_transacao]], "aaaa-mm")</f>
        <v>2026-07</v>
      </c>
    </row>
    <row r="680" spans="1:8">
      <c r="A680">
        <v>679</v>
      </c>
      <c r="B680" s="1">
        <v>46218</v>
      </c>
      <c r="C680" t="s">
        <v>69</v>
      </c>
      <c r="D680" t="s">
        <v>233</v>
      </c>
      <c r="E680">
        <v>346</v>
      </c>
      <c r="F680">
        <v>1</v>
      </c>
      <c r="G680">
        <v>613</v>
      </c>
      <c r="H680" t="str">
        <f>TEXT(TbDespesas[[#This Row],[data_transacao]], "aaaa-mm")</f>
        <v>2026-07</v>
      </c>
    </row>
    <row r="681" spans="1:8">
      <c r="A681">
        <v>680</v>
      </c>
      <c r="B681" s="1">
        <v>46218</v>
      </c>
      <c r="C681" t="s">
        <v>69</v>
      </c>
      <c r="D681" t="s">
        <v>257</v>
      </c>
      <c r="E681">
        <v>496</v>
      </c>
      <c r="F681">
        <v>2</v>
      </c>
      <c r="G681">
        <v>1211</v>
      </c>
      <c r="H681" t="str">
        <f>TEXT(TbDespesas[[#This Row],[data_transacao]], "aaaa-mm")</f>
        <v>2026-07</v>
      </c>
    </row>
    <row r="682" spans="1:8">
      <c r="A682">
        <v>681</v>
      </c>
      <c r="B682" s="1">
        <v>46218</v>
      </c>
      <c r="C682" t="s">
        <v>69</v>
      </c>
      <c r="D682" t="s">
        <v>477</v>
      </c>
      <c r="E682">
        <v>131</v>
      </c>
      <c r="F682">
        <v>13</v>
      </c>
      <c r="G682">
        <v>1771</v>
      </c>
      <c r="H682" t="str">
        <f>TEXT(TbDespesas[[#This Row],[data_transacao]], "aaaa-mm")</f>
        <v>2026-07</v>
      </c>
    </row>
    <row r="683" spans="1:8">
      <c r="A683">
        <v>682</v>
      </c>
      <c r="B683" s="1">
        <v>46218</v>
      </c>
      <c r="C683" t="s">
        <v>69</v>
      </c>
      <c r="D683" t="s">
        <v>295</v>
      </c>
      <c r="E683">
        <v>118</v>
      </c>
      <c r="F683">
        <v>38</v>
      </c>
      <c r="G683">
        <v>4575</v>
      </c>
      <c r="H683" t="str">
        <f>TEXT(TbDespesas[[#This Row],[data_transacao]], "aaaa-mm")</f>
        <v>2026-07</v>
      </c>
    </row>
    <row r="684" spans="1:8">
      <c r="A684">
        <v>683</v>
      </c>
      <c r="B684" s="1">
        <v>46218</v>
      </c>
      <c r="C684" t="s">
        <v>69</v>
      </c>
      <c r="D684" t="s">
        <v>478</v>
      </c>
      <c r="E684">
        <v>495</v>
      </c>
      <c r="F684">
        <v>2</v>
      </c>
      <c r="G684">
        <v>1202</v>
      </c>
      <c r="H684" t="str">
        <f>TEXT(TbDespesas[[#This Row],[data_transacao]], "aaaa-mm")</f>
        <v>2026-07</v>
      </c>
    </row>
    <row r="685" spans="1:8">
      <c r="A685">
        <v>684</v>
      </c>
      <c r="B685" s="1">
        <v>46218</v>
      </c>
      <c r="C685" t="s">
        <v>69</v>
      </c>
      <c r="D685" t="s">
        <v>306</v>
      </c>
      <c r="E685">
        <v>310</v>
      </c>
      <c r="F685">
        <v>4</v>
      </c>
      <c r="G685">
        <v>1413</v>
      </c>
      <c r="H685" t="str">
        <f>TEXT(TbDespesas[[#This Row],[data_transacao]], "aaaa-mm")</f>
        <v>2026-07</v>
      </c>
    </row>
    <row r="686" spans="1:8">
      <c r="A686">
        <v>685</v>
      </c>
      <c r="B686" s="1">
        <v>46218</v>
      </c>
      <c r="C686" t="s">
        <v>69</v>
      </c>
      <c r="D686" t="s">
        <v>220</v>
      </c>
      <c r="E686">
        <v>281</v>
      </c>
      <c r="F686">
        <v>8</v>
      </c>
      <c r="G686">
        <v>2467</v>
      </c>
      <c r="H686" t="str">
        <f>TEXT(TbDespesas[[#This Row],[data_transacao]], "aaaa-mm")</f>
        <v>2026-07</v>
      </c>
    </row>
    <row r="687" spans="1:8">
      <c r="A687">
        <v>686</v>
      </c>
      <c r="B687" s="1">
        <v>46123</v>
      </c>
      <c r="C687" t="s">
        <v>479</v>
      </c>
      <c r="D687" t="s">
        <v>318</v>
      </c>
      <c r="E687">
        <v>246</v>
      </c>
      <c r="F687">
        <v>8</v>
      </c>
      <c r="G687">
        <v>2188</v>
      </c>
      <c r="H687" t="str">
        <f>TEXT(TbDespesas[[#This Row],[data_transacao]], "aaaa-mm")</f>
        <v>2026-04</v>
      </c>
    </row>
    <row r="688" spans="1:8">
      <c r="A688">
        <v>687</v>
      </c>
      <c r="B688" s="1">
        <v>46123</v>
      </c>
      <c r="C688" t="s">
        <v>479</v>
      </c>
      <c r="D688" t="s">
        <v>370</v>
      </c>
      <c r="E688">
        <v>478</v>
      </c>
      <c r="F688">
        <v>2</v>
      </c>
      <c r="G688">
        <v>1159</v>
      </c>
      <c r="H688" t="str">
        <f>TEXT(TbDespesas[[#This Row],[data_transacao]], "aaaa-mm")</f>
        <v>2026-04</v>
      </c>
    </row>
    <row r="689" spans="1:8">
      <c r="A689">
        <v>688</v>
      </c>
      <c r="B689" s="1">
        <v>46123</v>
      </c>
      <c r="C689" t="s">
        <v>479</v>
      </c>
      <c r="D689" t="s">
        <v>187</v>
      </c>
      <c r="E689">
        <v>272</v>
      </c>
      <c r="F689">
        <v>4</v>
      </c>
      <c r="G689">
        <v>1228</v>
      </c>
      <c r="H689" t="str">
        <f>TEXT(TbDespesas[[#This Row],[data_transacao]], "aaaa-mm")</f>
        <v>2026-04</v>
      </c>
    </row>
    <row r="690" spans="1:8">
      <c r="A690">
        <v>689</v>
      </c>
      <c r="B690" s="1">
        <v>46123</v>
      </c>
      <c r="C690" t="s">
        <v>479</v>
      </c>
      <c r="D690" t="s">
        <v>139</v>
      </c>
      <c r="E690">
        <v>339</v>
      </c>
      <c r="F690">
        <v>1</v>
      </c>
      <c r="G690">
        <v>563</v>
      </c>
      <c r="H690" t="str">
        <f>TEXT(TbDespesas[[#This Row],[data_transacao]], "aaaa-mm")</f>
        <v>2026-04</v>
      </c>
    </row>
    <row r="691" spans="1:8">
      <c r="A691">
        <v>690</v>
      </c>
      <c r="B691" s="1">
        <v>46123</v>
      </c>
      <c r="C691" t="s">
        <v>479</v>
      </c>
      <c r="D691" t="s">
        <v>480</v>
      </c>
      <c r="E691">
        <v>267</v>
      </c>
      <c r="F691">
        <v>12</v>
      </c>
      <c r="G691">
        <v>3385</v>
      </c>
      <c r="H691" t="str">
        <f>TEXT(TbDespesas[[#This Row],[data_transacao]], "aaaa-mm")</f>
        <v>2026-04</v>
      </c>
    </row>
    <row r="692" spans="1:8">
      <c r="A692">
        <v>691</v>
      </c>
      <c r="B692" s="1">
        <v>46123</v>
      </c>
      <c r="C692" t="s">
        <v>479</v>
      </c>
      <c r="D692" t="s">
        <v>481</v>
      </c>
      <c r="E692">
        <v>164</v>
      </c>
      <c r="F692">
        <v>27</v>
      </c>
      <c r="G692">
        <v>4456</v>
      </c>
      <c r="H692" t="str">
        <f>TEXT(TbDespesas[[#This Row],[data_transacao]], "aaaa-mm")</f>
        <v>2026-04</v>
      </c>
    </row>
    <row r="693" spans="1:8">
      <c r="A693">
        <v>692</v>
      </c>
      <c r="B693" s="1">
        <v>46123</v>
      </c>
      <c r="C693" t="s">
        <v>479</v>
      </c>
      <c r="D693" t="s">
        <v>27</v>
      </c>
      <c r="E693">
        <v>95</v>
      </c>
      <c r="F693">
        <v>35</v>
      </c>
      <c r="G693">
        <v>3335</v>
      </c>
      <c r="H693" t="str">
        <f>TEXT(TbDespesas[[#This Row],[data_transacao]], "aaaa-mm")</f>
        <v>2026-04</v>
      </c>
    </row>
    <row r="694" spans="1:8">
      <c r="A694">
        <v>693</v>
      </c>
      <c r="B694" s="1">
        <v>46123</v>
      </c>
      <c r="C694" t="s">
        <v>479</v>
      </c>
      <c r="D694" t="s">
        <v>148</v>
      </c>
      <c r="E694">
        <v>358</v>
      </c>
      <c r="F694">
        <v>2</v>
      </c>
      <c r="G694">
        <v>1067</v>
      </c>
      <c r="H694" t="str">
        <f>TEXT(TbDespesas[[#This Row],[data_transacao]], "aaaa-mm")</f>
        <v>2026-04</v>
      </c>
    </row>
    <row r="695" spans="1:8">
      <c r="A695">
        <v>694</v>
      </c>
      <c r="B695" s="1">
        <v>46123</v>
      </c>
      <c r="C695" t="s">
        <v>479</v>
      </c>
      <c r="D695" t="s">
        <v>482</v>
      </c>
      <c r="E695">
        <v>20</v>
      </c>
      <c r="F695">
        <v>88</v>
      </c>
      <c r="G695">
        <v>1777</v>
      </c>
      <c r="H695" t="str">
        <f>TEXT(TbDespesas[[#This Row],[data_transacao]], "aaaa-mm")</f>
        <v>2026-04</v>
      </c>
    </row>
    <row r="696" spans="1:8">
      <c r="A696">
        <v>695</v>
      </c>
      <c r="B696" s="1">
        <v>46123</v>
      </c>
      <c r="C696" t="s">
        <v>479</v>
      </c>
      <c r="D696" t="s">
        <v>483</v>
      </c>
      <c r="E696">
        <v>438</v>
      </c>
      <c r="F696">
        <v>2</v>
      </c>
      <c r="G696">
        <v>1253</v>
      </c>
      <c r="H696" t="str">
        <f>TEXT(TbDespesas[[#This Row],[data_transacao]], "aaaa-mm")</f>
        <v>2026-04</v>
      </c>
    </row>
    <row r="697" spans="1:8">
      <c r="A697">
        <v>696</v>
      </c>
      <c r="B697" s="1">
        <v>46123</v>
      </c>
      <c r="C697" t="s">
        <v>479</v>
      </c>
      <c r="D697" t="s">
        <v>484</v>
      </c>
      <c r="E697">
        <v>460</v>
      </c>
      <c r="F697">
        <v>0</v>
      </c>
      <c r="G697">
        <v>142</v>
      </c>
      <c r="H697" t="str">
        <f>TEXT(TbDespesas[[#This Row],[data_transacao]], "aaaa-mm")</f>
        <v>2026-04</v>
      </c>
    </row>
    <row r="698" spans="1:8">
      <c r="A698">
        <v>697</v>
      </c>
      <c r="B698" s="1">
        <v>46110</v>
      </c>
      <c r="C698" t="s">
        <v>234</v>
      </c>
      <c r="D698" t="s">
        <v>337</v>
      </c>
      <c r="E698">
        <v>213</v>
      </c>
      <c r="F698">
        <v>5</v>
      </c>
      <c r="G698">
        <v>1075</v>
      </c>
      <c r="H698" t="str">
        <f>TEXT(TbDespesas[[#This Row],[data_transacao]], "aaaa-mm")</f>
        <v>2026-03</v>
      </c>
    </row>
    <row r="699" spans="1:8">
      <c r="A699">
        <v>698</v>
      </c>
      <c r="B699" s="1">
        <v>46092</v>
      </c>
      <c r="C699" t="s">
        <v>485</v>
      </c>
      <c r="D699" t="s">
        <v>446</v>
      </c>
      <c r="E699">
        <v>55</v>
      </c>
      <c r="F699">
        <v>35</v>
      </c>
      <c r="G699">
        <v>1958</v>
      </c>
      <c r="H699" t="str">
        <f>TEXT(TbDespesas[[#This Row],[data_transacao]], "aaaa-mm")</f>
        <v>2026-03</v>
      </c>
    </row>
    <row r="700" spans="1:8">
      <c r="A700">
        <v>699</v>
      </c>
      <c r="B700" s="1">
        <v>46092</v>
      </c>
      <c r="C700" t="s">
        <v>485</v>
      </c>
      <c r="D700" t="s">
        <v>119</v>
      </c>
      <c r="E700">
        <v>226</v>
      </c>
      <c r="F700">
        <v>3</v>
      </c>
      <c r="G700">
        <v>888</v>
      </c>
      <c r="H700" t="str">
        <f>TEXT(TbDespesas[[#This Row],[data_transacao]], "aaaa-mm")</f>
        <v>2026-03</v>
      </c>
    </row>
    <row r="701" spans="1:8">
      <c r="A701">
        <v>700</v>
      </c>
      <c r="B701" s="1">
        <v>46171</v>
      </c>
      <c r="C701" t="s">
        <v>486</v>
      </c>
      <c r="D701" t="s">
        <v>124</v>
      </c>
      <c r="E701">
        <v>255</v>
      </c>
      <c r="F701">
        <v>5</v>
      </c>
      <c r="G701">
        <v>1394</v>
      </c>
      <c r="H701" t="str">
        <f>TEXT(TbDespesas[[#This Row],[data_transacao]], "aaaa-mm")</f>
        <v>2026-05</v>
      </c>
    </row>
    <row r="702" spans="1:8">
      <c r="A702">
        <v>701</v>
      </c>
      <c r="B702" s="1">
        <v>46171</v>
      </c>
      <c r="C702" t="s">
        <v>486</v>
      </c>
      <c r="D702" t="s">
        <v>349</v>
      </c>
      <c r="E702">
        <v>307</v>
      </c>
      <c r="F702">
        <v>1</v>
      </c>
      <c r="G702">
        <v>565</v>
      </c>
      <c r="H702" t="str">
        <f>TEXT(TbDespesas[[#This Row],[data_transacao]], "aaaa-mm")</f>
        <v>2026-05</v>
      </c>
    </row>
    <row r="703" spans="1:8">
      <c r="A703">
        <v>702</v>
      </c>
      <c r="B703" s="1">
        <v>46171</v>
      </c>
      <c r="C703" t="s">
        <v>486</v>
      </c>
      <c r="D703" t="s">
        <v>487</v>
      </c>
      <c r="E703">
        <v>136</v>
      </c>
      <c r="F703">
        <v>13</v>
      </c>
      <c r="G703">
        <v>1873</v>
      </c>
      <c r="H703" t="str">
        <f>TEXT(TbDespesas[[#This Row],[data_transacao]], "aaaa-mm")</f>
        <v>2026-05</v>
      </c>
    </row>
    <row r="704" spans="1:8">
      <c r="A704">
        <v>703</v>
      </c>
      <c r="B704" s="1">
        <v>46171</v>
      </c>
      <c r="C704" t="s">
        <v>486</v>
      </c>
      <c r="D704" t="s">
        <v>488</v>
      </c>
      <c r="E704">
        <v>375</v>
      </c>
      <c r="F704">
        <v>8</v>
      </c>
      <c r="G704">
        <v>3275</v>
      </c>
      <c r="H704" t="str">
        <f>TEXT(TbDespesas[[#This Row],[data_transacao]], "aaaa-mm")</f>
        <v>2026-05</v>
      </c>
    </row>
    <row r="705" spans="1:8">
      <c r="A705">
        <v>704</v>
      </c>
      <c r="B705" s="1">
        <v>46171</v>
      </c>
      <c r="C705" t="s">
        <v>486</v>
      </c>
      <c r="D705" t="s">
        <v>489</v>
      </c>
      <c r="E705">
        <v>303</v>
      </c>
      <c r="F705">
        <v>7</v>
      </c>
      <c r="G705">
        <v>2169</v>
      </c>
      <c r="H705" t="str">
        <f>TEXT(TbDespesas[[#This Row],[data_transacao]], "aaaa-mm")</f>
        <v>2026-05</v>
      </c>
    </row>
    <row r="706" spans="1:8">
      <c r="A706">
        <v>705</v>
      </c>
      <c r="B706" s="1">
        <v>46171</v>
      </c>
      <c r="C706" t="s">
        <v>486</v>
      </c>
      <c r="D706" t="s">
        <v>490</v>
      </c>
      <c r="E706">
        <v>415</v>
      </c>
      <c r="F706">
        <v>2</v>
      </c>
      <c r="G706">
        <v>1019</v>
      </c>
      <c r="H706" t="str">
        <f>TEXT(TbDespesas[[#This Row],[data_transacao]], "aaaa-mm")</f>
        <v>2026-05</v>
      </c>
    </row>
    <row r="707" spans="1:8">
      <c r="A707">
        <v>706</v>
      </c>
      <c r="B707" s="1">
        <v>46171</v>
      </c>
      <c r="C707" t="s">
        <v>486</v>
      </c>
      <c r="D707" t="s">
        <v>491</v>
      </c>
      <c r="E707">
        <v>488</v>
      </c>
      <c r="F707">
        <v>4</v>
      </c>
      <c r="G707">
        <v>2214</v>
      </c>
      <c r="H707" t="str">
        <f>TEXT(TbDespesas[[#This Row],[data_transacao]], "aaaa-mm")</f>
        <v>2026-05</v>
      </c>
    </row>
    <row r="708" spans="1:8">
      <c r="A708">
        <v>707</v>
      </c>
      <c r="B708" s="1">
        <v>46171</v>
      </c>
      <c r="C708" t="s">
        <v>486</v>
      </c>
      <c r="D708" t="s">
        <v>492</v>
      </c>
      <c r="E708">
        <v>308</v>
      </c>
      <c r="F708">
        <v>3</v>
      </c>
      <c r="G708">
        <v>1029</v>
      </c>
      <c r="H708" t="str">
        <f>TEXT(TbDespesas[[#This Row],[data_transacao]], "aaaa-mm")</f>
        <v>2026-05</v>
      </c>
    </row>
    <row r="709" spans="1:8">
      <c r="A709">
        <v>708</v>
      </c>
      <c r="B709" s="1">
        <v>45924</v>
      </c>
      <c r="C709" t="s">
        <v>350</v>
      </c>
      <c r="D709" t="s">
        <v>194</v>
      </c>
      <c r="E709">
        <v>428</v>
      </c>
      <c r="F709">
        <v>3</v>
      </c>
      <c r="G709">
        <v>1633</v>
      </c>
      <c r="H709" t="str">
        <f>TEXT(TbDespesas[[#This Row],[data_transacao]], "aaaa-mm")</f>
        <v>2025-09</v>
      </c>
    </row>
    <row r="710" spans="1:8">
      <c r="A710">
        <v>709</v>
      </c>
      <c r="B710" s="1">
        <v>45924</v>
      </c>
      <c r="C710" t="s">
        <v>350</v>
      </c>
      <c r="D710" t="s">
        <v>493</v>
      </c>
      <c r="E710">
        <v>31</v>
      </c>
      <c r="F710">
        <v>43</v>
      </c>
      <c r="G710">
        <v>1337</v>
      </c>
      <c r="H710" t="str">
        <f>TEXT(TbDespesas[[#This Row],[data_transacao]], "aaaa-mm")</f>
        <v>2025-09</v>
      </c>
    </row>
    <row r="711" spans="1:8">
      <c r="A711">
        <v>710</v>
      </c>
      <c r="B711" s="1">
        <v>45924</v>
      </c>
      <c r="C711" t="s">
        <v>350</v>
      </c>
      <c r="D711" t="s">
        <v>24</v>
      </c>
      <c r="E711">
        <v>413</v>
      </c>
      <c r="F711">
        <v>6</v>
      </c>
      <c r="G711">
        <v>2880</v>
      </c>
      <c r="H711" t="str">
        <f>TEXT(TbDespesas[[#This Row],[data_transacao]], "aaaa-mm")</f>
        <v>2025-09</v>
      </c>
    </row>
    <row r="712" spans="1:8">
      <c r="A712">
        <v>711</v>
      </c>
      <c r="B712" s="1">
        <v>45924</v>
      </c>
      <c r="C712" t="s">
        <v>350</v>
      </c>
      <c r="D712" t="s">
        <v>365</v>
      </c>
      <c r="E712">
        <v>129</v>
      </c>
      <c r="F712">
        <v>2</v>
      </c>
      <c r="G712">
        <v>304</v>
      </c>
      <c r="H712" t="str">
        <f>TEXT(TbDespesas[[#This Row],[data_transacao]], "aaaa-mm")</f>
        <v>2025-09</v>
      </c>
    </row>
    <row r="713" spans="1:8">
      <c r="A713">
        <v>712</v>
      </c>
      <c r="B713" s="1">
        <v>45924</v>
      </c>
      <c r="C713" t="s">
        <v>350</v>
      </c>
      <c r="D713" t="s">
        <v>139</v>
      </c>
      <c r="E713">
        <v>441</v>
      </c>
      <c r="F713">
        <v>8</v>
      </c>
      <c r="G713">
        <v>3833</v>
      </c>
      <c r="H713" t="str">
        <f>TEXT(TbDespesas[[#This Row],[data_transacao]], "aaaa-mm")</f>
        <v>2025-09</v>
      </c>
    </row>
    <row r="714" spans="1:8">
      <c r="A714">
        <v>713</v>
      </c>
      <c r="B714" s="1">
        <v>45924</v>
      </c>
      <c r="C714" t="s">
        <v>350</v>
      </c>
      <c r="D714" t="s">
        <v>494</v>
      </c>
      <c r="E714">
        <v>195</v>
      </c>
      <c r="F714">
        <v>7</v>
      </c>
      <c r="G714">
        <v>1445</v>
      </c>
      <c r="H714" t="str">
        <f>TEXT(TbDespesas[[#This Row],[data_transacao]], "aaaa-mm")</f>
        <v>2025-09</v>
      </c>
    </row>
    <row r="715" spans="1:8">
      <c r="A715">
        <v>714</v>
      </c>
      <c r="B715" s="1">
        <v>45924</v>
      </c>
      <c r="C715" t="s">
        <v>350</v>
      </c>
      <c r="D715" t="s">
        <v>377</v>
      </c>
      <c r="E715">
        <v>310</v>
      </c>
      <c r="F715">
        <v>1</v>
      </c>
      <c r="G715">
        <v>490</v>
      </c>
      <c r="H715" t="str">
        <f>TEXT(TbDespesas[[#This Row],[data_transacao]], "aaaa-mm")</f>
        <v>2025-09</v>
      </c>
    </row>
    <row r="716" spans="1:8">
      <c r="A716">
        <v>715</v>
      </c>
      <c r="B716" s="1">
        <v>45924</v>
      </c>
      <c r="C716" t="s">
        <v>350</v>
      </c>
      <c r="D716" t="s">
        <v>144</v>
      </c>
      <c r="E716">
        <v>392</v>
      </c>
      <c r="F716">
        <v>2</v>
      </c>
      <c r="G716">
        <v>1151</v>
      </c>
      <c r="H716" t="str">
        <f>TEXT(TbDespesas[[#This Row],[data_transacao]], "aaaa-mm")</f>
        <v>2025-09</v>
      </c>
    </row>
    <row r="717" spans="1:8">
      <c r="A717">
        <v>716</v>
      </c>
      <c r="B717" s="1">
        <v>46240</v>
      </c>
      <c r="C717" t="s">
        <v>495</v>
      </c>
      <c r="D717" t="s">
        <v>231</v>
      </c>
      <c r="E717">
        <v>187</v>
      </c>
      <c r="F717">
        <v>11</v>
      </c>
      <c r="G717">
        <v>2084</v>
      </c>
      <c r="H717" t="str">
        <f>TEXT(TbDespesas[[#This Row],[data_transacao]], "aaaa-mm")</f>
        <v>2026-08</v>
      </c>
    </row>
    <row r="718" spans="1:8">
      <c r="A718">
        <v>717</v>
      </c>
      <c r="B718" s="1">
        <v>46240</v>
      </c>
      <c r="C718" t="s">
        <v>495</v>
      </c>
      <c r="D718" t="s">
        <v>57</v>
      </c>
      <c r="E718">
        <v>319</v>
      </c>
      <c r="F718">
        <v>3</v>
      </c>
      <c r="G718">
        <v>1102</v>
      </c>
      <c r="H718" t="str">
        <f>TEXT(TbDespesas[[#This Row],[data_transacao]], "aaaa-mm")</f>
        <v>2026-08</v>
      </c>
    </row>
    <row r="719" spans="1:8">
      <c r="A719">
        <v>718</v>
      </c>
      <c r="B719" s="1">
        <v>46240</v>
      </c>
      <c r="C719" t="s">
        <v>495</v>
      </c>
      <c r="D719" t="s">
        <v>496</v>
      </c>
      <c r="E719">
        <v>206</v>
      </c>
      <c r="F719">
        <v>3</v>
      </c>
      <c r="G719">
        <v>669</v>
      </c>
      <c r="H719" t="str">
        <f>TEXT(TbDespesas[[#This Row],[data_transacao]], "aaaa-mm")</f>
        <v>2026-08</v>
      </c>
    </row>
    <row r="720" spans="1:8">
      <c r="A720">
        <v>719</v>
      </c>
      <c r="B720" s="1">
        <v>46240</v>
      </c>
      <c r="C720" t="s">
        <v>495</v>
      </c>
      <c r="D720" t="s">
        <v>292</v>
      </c>
      <c r="E720">
        <v>129</v>
      </c>
      <c r="F720">
        <v>9</v>
      </c>
      <c r="G720">
        <v>1208</v>
      </c>
      <c r="H720" t="str">
        <f>TEXT(TbDespesas[[#This Row],[data_transacao]], "aaaa-mm")</f>
        <v>2026-08</v>
      </c>
    </row>
    <row r="721" spans="1:8">
      <c r="A721">
        <v>720</v>
      </c>
      <c r="B721" s="1">
        <v>46240</v>
      </c>
      <c r="C721" t="s">
        <v>495</v>
      </c>
      <c r="D721" t="s">
        <v>199</v>
      </c>
      <c r="E721">
        <v>487</v>
      </c>
      <c r="F721">
        <v>2</v>
      </c>
      <c r="G721">
        <v>1113</v>
      </c>
      <c r="H721" t="str">
        <f>TEXT(TbDespesas[[#This Row],[data_transacao]], "aaaa-mm")</f>
        <v>2026-08</v>
      </c>
    </row>
    <row r="722" spans="1:8">
      <c r="A722">
        <v>721</v>
      </c>
      <c r="B722" s="1">
        <v>46240</v>
      </c>
      <c r="C722" t="s">
        <v>495</v>
      </c>
      <c r="D722" t="s">
        <v>383</v>
      </c>
      <c r="E722">
        <v>169</v>
      </c>
      <c r="F722">
        <v>24</v>
      </c>
      <c r="G722">
        <v>4130</v>
      </c>
      <c r="H722" t="str">
        <f>TEXT(TbDespesas[[#This Row],[data_transacao]], "aaaa-mm")</f>
        <v>2026-08</v>
      </c>
    </row>
    <row r="723" spans="1:8">
      <c r="A723">
        <v>722</v>
      </c>
      <c r="B723" s="1">
        <v>46240</v>
      </c>
      <c r="C723" t="s">
        <v>495</v>
      </c>
      <c r="D723" t="s">
        <v>186</v>
      </c>
      <c r="E723">
        <v>30</v>
      </c>
      <c r="F723">
        <v>70</v>
      </c>
      <c r="G723">
        <v>2129</v>
      </c>
      <c r="H723" t="str">
        <f>TEXT(TbDespesas[[#This Row],[data_transacao]], "aaaa-mm")</f>
        <v>2026-08</v>
      </c>
    </row>
    <row r="724" spans="1:8">
      <c r="A724">
        <v>723</v>
      </c>
      <c r="B724" s="1">
        <v>46240</v>
      </c>
      <c r="C724" t="s">
        <v>495</v>
      </c>
      <c r="D724" t="s">
        <v>497</v>
      </c>
      <c r="E724">
        <v>441</v>
      </c>
      <c r="F724">
        <v>4</v>
      </c>
      <c r="G724">
        <v>2047</v>
      </c>
      <c r="H724" t="str">
        <f>TEXT(TbDespesas[[#This Row],[data_transacao]], "aaaa-mm")</f>
        <v>2026-08</v>
      </c>
    </row>
    <row r="725" spans="1:8">
      <c r="A725">
        <v>724</v>
      </c>
      <c r="B725" s="1">
        <v>46240</v>
      </c>
      <c r="C725" t="s">
        <v>495</v>
      </c>
      <c r="D725" t="s">
        <v>332</v>
      </c>
      <c r="E725">
        <v>19</v>
      </c>
      <c r="F725">
        <v>210</v>
      </c>
      <c r="G725">
        <v>3998</v>
      </c>
      <c r="H725" t="str">
        <f>TEXT(TbDespesas[[#This Row],[data_transacao]], "aaaa-mm")</f>
        <v>2026-08</v>
      </c>
    </row>
    <row r="726" spans="1:8">
      <c r="A726">
        <v>725</v>
      </c>
      <c r="B726" s="1">
        <v>46240</v>
      </c>
      <c r="C726" t="s">
        <v>495</v>
      </c>
      <c r="D726" t="s">
        <v>153</v>
      </c>
      <c r="E726">
        <v>136</v>
      </c>
      <c r="F726">
        <v>20</v>
      </c>
      <c r="G726">
        <v>2848</v>
      </c>
      <c r="H726" t="str">
        <f>TEXT(TbDespesas[[#This Row],[data_transacao]], "aaaa-mm")</f>
        <v>2026-08</v>
      </c>
    </row>
    <row r="727" spans="1:8">
      <c r="A727">
        <v>726</v>
      </c>
      <c r="B727" s="1">
        <v>46240</v>
      </c>
      <c r="C727" t="s">
        <v>495</v>
      </c>
      <c r="D727" t="s">
        <v>328</v>
      </c>
      <c r="E727">
        <v>137</v>
      </c>
      <c r="F727">
        <v>11</v>
      </c>
      <c r="G727">
        <v>1544</v>
      </c>
      <c r="H727" t="str">
        <f>TEXT(TbDespesas[[#This Row],[data_transacao]], "aaaa-mm")</f>
        <v>2026-08</v>
      </c>
    </row>
    <row r="728" spans="1:8">
      <c r="A728">
        <v>727</v>
      </c>
      <c r="B728" s="1">
        <v>46240</v>
      </c>
      <c r="C728" t="s">
        <v>495</v>
      </c>
      <c r="D728" t="s">
        <v>498</v>
      </c>
      <c r="E728">
        <v>310</v>
      </c>
      <c r="F728">
        <v>9</v>
      </c>
      <c r="G728">
        <v>3098</v>
      </c>
      <c r="H728" t="str">
        <f>TEXT(TbDespesas[[#This Row],[data_transacao]], "aaaa-mm")</f>
        <v>2026-08</v>
      </c>
    </row>
    <row r="729" spans="1:8">
      <c r="A729">
        <v>728</v>
      </c>
      <c r="B729" s="1">
        <v>46034</v>
      </c>
      <c r="C729" t="s">
        <v>244</v>
      </c>
      <c r="D729" t="s">
        <v>107</v>
      </c>
      <c r="E729">
        <v>312</v>
      </c>
      <c r="F729">
        <v>1</v>
      </c>
      <c r="G729">
        <v>469</v>
      </c>
      <c r="H729" t="str">
        <f>TEXT(TbDespesas[[#This Row],[data_transacao]], "aaaa-mm")</f>
        <v>2026-01</v>
      </c>
    </row>
    <row r="730" spans="1:8">
      <c r="A730">
        <v>729</v>
      </c>
      <c r="B730" s="1">
        <v>46034</v>
      </c>
      <c r="C730" t="s">
        <v>244</v>
      </c>
      <c r="D730" t="s">
        <v>202</v>
      </c>
      <c r="E730">
        <v>415</v>
      </c>
      <c r="F730">
        <v>2</v>
      </c>
      <c r="G730">
        <v>1064</v>
      </c>
      <c r="H730" t="str">
        <f>TEXT(TbDespesas[[#This Row],[data_transacao]], "aaaa-mm")</f>
        <v>2026-01</v>
      </c>
    </row>
    <row r="731" spans="1:8">
      <c r="A731">
        <v>730</v>
      </c>
      <c r="B731" s="1">
        <v>46226</v>
      </c>
      <c r="C731" t="s">
        <v>499</v>
      </c>
      <c r="D731" t="s">
        <v>95</v>
      </c>
      <c r="E731">
        <v>390</v>
      </c>
      <c r="F731">
        <v>4</v>
      </c>
      <c r="G731">
        <v>1790</v>
      </c>
      <c r="H731" t="str">
        <f>TEXT(TbDespesas[[#This Row],[data_transacao]], "aaaa-mm")</f>
        <v>2026-07</v>
      </c>
    </row>
    <row r="732" spans="1:8">
      <c r="A732">
        <v>731</v>
      </c>
      <c r="B732" s="1">
        <v>46226</v>
      </c>
      <c r="C732" t="s">
        <v>499</v>
      </c>
      <c r="D732" t="s">
        <v>500</v>
      </c>
      <c r="E732">
        <v>428</v>
      </c>
      <c r="F732">
        <v>3</v>
      </c>
      <c r="G732">
        <v>1598</v>
      </c>
      <c r="H732" t="str">
        <f>TEXT(TbDespesas[[#This Row],[data_transacao]], "aaaa-mm")</f>
        <v>2026-07</v>
      </c>
    </row>
    <row r="733" spans="1:8">
      <c r="A733">
        <v>732</v>
      </c>
      <c r="B733" s="1">
        <v>45959</v>
      </c>
      <c r="C733" t="s">
        <v>501</v>
      </c>
      <c r="D733" t="s">
        <v>425</v>
      </c>
      <c r="E733">
        <v>148</v>
      </c>
      <c r="F733">
        <v>19</v>
      </c>
      <c r="G733">
        <v>2870</v>
      </c>
      <c r="H733" t="str">
        <f>TEXT(TbDespesas[[#This Row],[data_transacao]], "aaaa-mm")</f>
        <v>2025-10</v>
      </c>
    </row>
    <row r="734" spans="1:8">
      <c r="A734">
        <v>733</v>
      </c>
      <c r="B734" s="1">
        <v>45959</v>
      </c>
      <c r="C734" t="s">
        <v>501</v>
      </c>
      <c r="D734" t="s">
        <v>352</v>
      </c>
      <c r="E734">
        <v>287</v>
      </c>
      <c r="F734">
        <v>8</v>
      </c>
      <c r="G734">
        <v>2570</v>
      </c>
      <c r="H734" t="str">
        <f>TEXT(TbDespesas[[#This Row],[data_transacao]], "aaaa-mm")</f>
        <v>2025-10</v>
      </c>
    </row>
    <row r="735" spans="1:8">
      <c r="A735">
        <v>734</v>
      </c>
      <c r="B735" s="1">
        <v>45959</v>
      </c>
      <c r="C735" t="s">
        <v>501</v>
      </c>
      <c r="D735" t="s">
        <v>16</v>
      </c>
      <c r="E735">
        <v>269</v>
      </c>
      <c r="F735">
        <v>10</v>
      </c>
      <c r="G735">
        <v>2784</v>
      </c>
      <c r="H735" t="str">
        <f>TEXT(TbDespesas[[#This Row],[data_transacao]], "aaaa-mm")</f>
        <v>2025-10</v>
      </c>
    </row>
    <row r="736" spans="1:8">
      <c r="A736">
        <v>735</v>
      </c>
      <c r="B736" s="1">
        <v>45959</v>
      </c>
      <c r="C736" t="s">
        <v>501</v>
      </c>
      <c r="D736" t="s">
        <v>502</v>
      </c>
      <c r="E736">
        <v>180</v>
      </c>
      <c r="F736">
        <v>13</v>
      </c>
      <c r="G736">
        <v>2382</v>
      </c>
      <c r="H736" t="str">
        <f>TEXT(TbDespesas[[#This Row],[data_transacao]], "aaaa-mm")</f>
        <v>2025-10</v>
      </c>
    </row>
    <row r="737" spans="1:8">
      <c r="A737">
        <v>736</v>
      </c>
      <c r="B737" s="1">
        <v>45959</v>
      </c>
      <c r="C737" t="s">
        <v>501</v>
      </c>
      <c r="D737" t="s">
        <v>465</v>
      </c>
      <c r="E737">
        <v>255</v>
      </c>
      <c r="F737">
        <v>13</v>
      </c>
      <c r="G737">
        <v>3433</v>
      </c>
      <c r="H737" t="str">
        <f>TEXT(TbDespesas[[#This Row],[data_transacao]], "aaaa-mm")</f>
        <v>2025-10</v>
      </c>
    </row>
    <row r="738" spans="1:8">
      <c r="A738">
        <v>737</v>
      </c>
      <c r="B738" s="1">
        <v>45959</v>
      </c>
      <c r="C738" t="s">
        <v>501</v>
      </c>
      <c r="D738" t="s">
        <v>411</v>
      </c>
      <c r="E738">
        <v>287</v>
      </c>
      <c r="F738">
        <v>5</v>
      </c>
      <c r="G738">
        <v>1585</v>
      </c>
      <c r="H738" t="str">
        <f>TEXT(TbDespesas[[#This Row],[data_transacao]], "aaaa-mm")</f>
        <v>2025-10</v>
      </c>
    </row>
    <row r="739" spans="1:8">
      <c r="A739">
        <v>738</v>
      </c>
      <c r="B739" s="1">
        <v>45959</v>
      </c>
      <c r="C739" t="s">
        <v>501</v>
      </c>
      <c r="D739" t="s">
        <v>503</v>
      </c>
      <c r="E739">
        <v>96</v>
      </c>
      <c r="F739">
        <v>9</v>
      </c>
      <c r="G739">
        <v>921</v>
      </c>
      <c r="H739" t="str">
        <f>TEXT(TbDespesas[[#This Row],[data_transacao]], "aaaa-mm")</f>
        <v>2025-10</v>
      </c>
    </row>
    <row r="740" spans="1:8">
      <c r="A740">
        <v>739</v>
      </c>
      <c r="B740" s="1">
        <v>45959</v>
      </c>
      <c r="C740" t="s">
        <v>501</v>
      </c>
      <c r="D740" t="s">
        <v>205</v>
      </c>
      <c r="E740">
        <v>71</v>
      </c>
      <c r="F740">
        <v>8</v>
      </c>
      <c r="G740">
        <v>585</v>
      </c>
      <c r="H740" t="str">
        <f>TEXT(TbDespesas[[#This Row],[data_transacao]], "aaaa-mm")</f>
        <v>2025-10</v>
      </c>
    </row>
    <row r="741" spans="1:8">
      <c r="A741">
        <v>740</v>
      </c>
      <c r="B741" s="1">
        <v>45945</v>
      </c>
      <c r="C741" t="s">
        <v>504</v>
      </c>
      <c r="D741" t="s">
        <v>106</v>
      </c>
      <c r="E741">
        <v>173</v>
      </c>
      <c r="F741">
        <v>10</v>
      </c>
      <c r="G741">
        <v>1872</v>
      </c>
      <c r="H741" t="str">
        <f>TEXT(TbDespesas[[#This Row],[data_transacao]], "aaaa-mm")</f>
        <v>2025-10</v>
      </c>
    </row>
    <row r="742" spans="1:8">
      <c r="A742">
        <v>741</v>
      </c>
      <c r="B742" s="1">
        <v>45945</v>
      </c>
      <c r="C742" t="s">
        <v>504</v>
      </c>
      <c r="D742" t="s">
        <v>220</v>
      </c>
      <c r="E742">
        <v>81</v>
      </c>
      <c r="F742">
        <v>26</v>
      </c>
      <c r="G742">
        <v>2152</v>
      </c>
      <c r="H742" t="str">
        <f>TEXT(TbDespesas[[#This Row],[data_transacao]], "aaaa-mm")</f>
        <v>2025-10</v>
      </c>
    </row>
    <row r="743" spans="1:8">
      <c r="A743">
        <v>742</v>
      </c>
      <c r="B743" s="1">
        <v>45945</v>
      </c>
      <c r="C743" t="s">
        <v>504</v>
      </c>
      <c r="D743" t="s">
        <v>459</v>
      </c>
      <c r="E743">
        <v>377</v>
      </c>
      <c r="F743">
        <v>5</v>
      </c>
      <c r="G743">
        <v>2157</v>
      </c>
      <c r="H743" t="str">
        <f>TEXT(TbDespesas[[#This Row],[data_transacao]], "aaaa-mm")</f>
        <v>2025-10</v>
      </c>
    </row>
    <row r="744" spans="1:8">
      <c r="A744">
        <v>743</v>
      </c>
      <c r="B744" s="1">
        <v>45945</v>
      </c>
      <c r="C744" t="s">
        <v>504</v>
      </c>
      <c r="D744" t="s">
        <v>488</v>
      </c>
      <c r="E744">
        <v>39</v>
      </c>
      <c r="F744">
        <v>62</v>
      </c>
      <c r="G744">
        <v>2432</v>
      </c>
      <c r="H744" t="str">
        <f>TEXT(TbDespesas[[#This Row],[data_transacao]], "aaaa-mm")</f>
        <v>2025-10</v>
      </c>
    </row>
    <row r="745" spans="1:8">
      <c r="A745">
        <v>744</v>
      </c>
      <c r="B745" s="1">
        <v>45945</v>
      </c>
      <c r="C745" t="s">
        <v>504</v>
      </c>
      <c r="D745" t="s">
        <v>451</v>
      </c>
      <c r="E745">
        <v>453</v>
      </c>
      <c r="F745">
        <v>3</v>
      </c>
      <c r="G745">
        <v>1778</v>
      </c>
      <c r="H745" t="str">
        <f>TEXT(TbDespesas[[#This Row],[data_transacao]], "aaaa-mm")</f>
        <v>2025-10</v>
      </c>
    </row>
    <row r="746" spans="1:8">
      <c r="A746">
        <v>745</v>
      </c>
      <c r="B746" s="1">
        <v>45945</v>
      </c>
      <c r="C746" t="s">
        <v>504</v>
      </c>
      <c r="D746" t="s">
        <v>505</v>
      </c>
      <c r="E746">
        <v>389</v>
      </c>
      <c r="F746">
        <v>5</v>
      </c>
      <c r="G746">
        <v>2176</v>
      </c>
      <c r="H746" t="str">
        <f>TEXT(TbDespesas[[#This Row],[data_transacao]], "aaaa-mm")</f>
        <v>2025-10</v>
      </c>
    </row>
    <row r="747" spans="1:8">
      <c r="A747">
        <v>746</v>
      </c>
      <c r="B747" s="1">
        <v>45945</v>
      </c>
      <c r="C747" t="s">
        <v>504</v>
      </c>
      <c r="D747" t="s">
        <v>427</v>
      </c>
      <c r="E747">
        <v>265</v>
      </c>
      <c r="F747">
        <v>9</v>
      </c>
      <c r="G747">
        <v>2484</v>
      </c>
      <c r="H747" t="str">
        <f>TEXT(TbDespesas[[#This Row],[data_transacao]], "aaaa-mm")</f>
        <v>2025-10</v>
      </c>
    </row>
    <row r="748" spans="1:8">
      <c r="A748">
        <v>747</v>
      </c>
      <c r="B748" s="1">
        <v>45945</v>
      </c>
      <c r="C748" t="s">
        <v>504</v>
      </c>
      <c r="D748" t="s">
        <v>288</v>
      </c>
      <c r="E748">
        <v>303</v>
      </c>
      <c r="F748">
        <v>6</v>
      </c>
      <c r="G748">
        <v>2071</v>
      </c>
      <c r="H748" t="str">
        <f>TEXT(TbDespesas[[#This Row],[data_transacao]], "aaaa-mm")</f>
        <v>2025-10</v>
      </c>
    </row>
    <row r="749" spans="1:8">
      <c r="A749">
        <v>748</v>
      </c>
      <c r="B749" s="1">
        <v>45945</v>
      </c>
      <c r="C749" t="s">
        <v>504</v>
      </c>
      <c r="D749" t="s">
        <v>187</v>
      </c>
      <c r="E749">
        <v>191</v>
      </c>
      <c r="F749">
        <v>7</v>
      </c>
      <c r="G749">
        <v>1464</v>
      </c>
      <c r="H749" t="str">
        <f>TEXT(TbDespesas[[#This Row],[data_transacao]], "aaaa-mm")</f>
        <v>2025-10</v>
      </c>
    </row>
    <row r="750" spans="1:8">
      <c r="A750">
        <v>749</v>
      </c>
      <c r="B750" s="1">
        <v>45945</v>
      </c>
      <c r="C750" t="s">
        <v>504</v>
      </c>
      <c r="D750" t="s">
        <v>241</v>
      </c>
      <c r="E750">
        <v>488</v>
      </c>
      <c r="F750">
        <v>2</v>
      </c>
      <c r="G750">
        <v>1262</v>
      </c>
      <c r="H750" t="str">
        <f>TEXT(TbDespesas[[#This Row],[data_transacao]], "aaaa-mm")</f>
        <v>2025-10</v>
      </c>
    </row>
    <row r="751" spans="1:8">
      <c r="A751">
        <v>750</v>
      </c>
      <c r="B751" s="1">
        <v>45945</v>
      </c>
      <c r="C751" t="s">
        <v>504</v>
      </c>
      <c r="D751" t="s">
        <v>176</v>
      </c>
      <c r="E751">
        <v>188</v>
      </c>
      <c r="F751">
        <v>5</v>
      </c>
      <c r="G751">
        <v>1052</v>
      </c>
      <c r="H751" t="str">
        <f>TEXT(TbDespesas[[#This Row],[data_transacao]], "aaaa-mm")</f>
        <v>2025-10</v>
      </c>
    </row>
    <row r="752" spans="1:8">
      <c r="A752">
        <v>751</v>
      </c>
      <c r="B752" s="1">
        <v>46158</v>
      </c>
      <c r="C752" t="s">
        <v>506</v>
      </c>
      <c r="D752" t="s">
        <v>423</v>
      </c>
      <c r="E752">
        <v>323</v>
      </c>
      <c r="F752">
        <v>10</v>
      </c>
      <c r="G752">
        <v>3459</v>
      </c>
      <c r="H752" t="str">
        <f>TEXT(TbDespesas[[#This Row],[data_transacao]], "aaaa-mm")</f>
        <v>2026-05</v>
      </c>
    </row>
    <row r="753" spans="1:8">
      <c r="A753">
        <v>752</v>
      </c>
      <c r="B753" s="1">
        <v>46158</v>
      </c>
      <c r="C753" t="s">
        <v>506</v>
      </c>
      <c r="D753" t="s">
        <v>440</v>
      </c>
      <c r="E753">
        <v>300</v>
      </c>
      <c r="F753">
        <v>3</v>
      </c>
      <c r="G753">
        <v>1047</v>
      </c>
      <c r="H753" t="str">
        <f>TEXT(TbDespesas[[#This Row],[data_transacao]], "aaaa-mm")</f>
        <v>2026-05</v>
      </c>
    </row>
    <row r="754" spans="1:8">
      <c r="A754">
        <v>753</v>
      </c>
      <c r="B754" s="1">
        <v>46158</v>
      </c>
      <c r="C754" t="s">
        <v>506</v>
      </c>
      <c r="D754" t="s">
        <v>360</v>
      </c>
      <c r="E754">
        <v>297</v>
      </c>
      <c r="F754">
        <v>11</v>
      </c>
      <c r="G754">
        <v>3475</v>
      </c>
      <c r="H754" t="str">
        <f>TEXT(TbDespesas[[#This Row],[data_transacao]], "aaaa-mm")</f>
        <v>2026-05</v>
      </c>
    </row>
    <row r="755" spans="1:8">
      <c r="A755">
        <v>754</v>
      </c>
      <c r="B755" s="1">
        <v>46158</v>
      </c>
      <c r="C755" t="s">
        <v>506</v>
      </c>
      <c r="D755" t="s">
        <v>20</v>
      </c>
      <c r="E755">
        <v>173</v>
      </c>
      <c r="F755">
        <v>10</v>
      </c>
      <c r="G755">
        <v>1849</v>
      </c>
      <c r="H755" t="str">
        <f>TEXT(TbDespesas[[#This Row],[data_transacao]], "aaaa-mm")</f>
        <v>2026-05</v>
      </c>
    </row>
    <row r="756" spans="1:8">
      <c r="A756">
        <v>755</v>
      </c>
      <c r="B756" s="1">
        <v>46158</v>
      </c>
      <c r="C756" t="s">
        <v>506</v>
      </c>
      <c r="D756" t="s">
        <v>507</v>
      </c>
      <c r="E756">
        <v>352</v>
      </c>
      <c r="F756">
        <v>2</v>
      </c>
      <c r="G756">
        <v>827</v>
      </c>
      <c r="H756" t="str">
        <f>TEXT(TbDespesas[[#This Row],[data_transacao]], "aaaa-mm")</f>
        <v>2026-05</v>
      </c>
    </row>
    <row r="757" spans="1:8">
      <c r="A757">
        <v>756</v>
      </c>
      <c r="B757" s="1">
        <v>46158</v>
      </c>
      <c r="C757" t="s">
        <v>506</v>
      </c>
      <c r="D757" t="s">
        <v>254</v>
      </c>
      <c r="E757">
        <v>98</v>
      </c>
      <c r="F757">
        <v>8</v>
      </c>
      <c r="G757">
        <v>800</v>
      </c>
      <c r="H757" t="str">
        <f>TEXT(TbDespesas[[#This Row],[data_transacao]], "aaaa-mm")</f>
        <v>2026-05</v>
      </c>
    </row>
    <row r="758" spans="1:8">
      <c r="A758">
        <v>757</v>
      </c>
      <c r="B758" s="1">
        <v>46158</v>
      </c>
      <c r="C758" t="s">
        <v>506</v>
      </c>
      <c r="D758" t="s">
        <v>503</v>
      </c>
      <c r="E758">
        <v>436</v>
      </c>
      <c r="F758">
        <v>4</v>
      </c>
      <c r="G758">
        <v>1829</v>
      </c>
      <c r="H758" t="str">
        <f>TEXT(TbDespesas[[#This Row],[data_transacao]], "aaaa-mm")</f>
        <v>2026-05</v>
      </c>
    </row>
    <row r="759" spans="1:8">
      <c r="A759">
        <v>758</v>
      </c>
      <c r="B759" s="1">
        <v>46158</v>
      </c>
      <c r="C759" t="s">
        <v>506</v>
      </c>
      <c r="D759" t="s">
        <v>508</v>
      </c>
      <c r="E759">
        <v>80</v>
      </c>
      <c r="F759">
        <v>23</v>
      </c>
      <c r="G759">
        <v>1918</v>
      </c>
      <c r="H759" t="str">
        <f>TEXT(TbDespesas[[#This Row],[data_transacao]], "aaaa-mm")</f>
        <v>2026-05</v>
      </c>
    </row>
    <row r="760" spans="1:8">
      <c r="A760">
        <v>759</v>
      </c>
      <c r="B760" s="1">
        <v>46163</v>
      </c>
      <c r="C760" t="s">
        <v>93</v>
      </c>
      <c r="D760" t="s">
        <v>413</v>
      </c>
      <c r="E760">
        <v>381</v>
      </c>
      <c r="F760">
        <v>4</v>
      </c>
      <c r="G760">
        <v>1828</v>
      </c>
      <c r="H760" t="str">
        <f>TEXT(TbDespesas[[#This Row],[data_transacao]], "aaaa-mm")</f>
        <v>2026-05</v>
      </c>
    </row>
    <row r="761" spans="1:8">
      <c r="A761">
        <v>760</v>
      </c>
      <c r="B761" s="1">
        <v>46163</v>
      </c>
      <c r="C761" t="s">
        <v>93</v>
      </c>
      <c r="D761" t="s">
        <v>509</v>
      </c>
      <c r="E761">
        <v>201</v>
      </c>
      <c r="F761">
        <v>11</v>
      </c>
      <c r="G761">
        <v>2327</v>
      </c>
      <c r="H761" t="str">
        <f>TEXT(TbDespesas[[#This Row],[data_transacao]], "aaaa-mm")</f>
        <v>2026-05</v>
      </c>
    </row>
    <row r="762" spans="1:8">
      <c r="A762">
        <v>761</v>
      </c>
      <c r="B762" s="1">
        <v>46163</v>
      </c>
      <c r="C762" t="s">
        <v>93</v>
      </c>
      <c r="D762" t="s">
        <v>333</v>
      </c>
      <c r="E762">
        <v>281</v>
      </c>
      <c r="F762">
        <v>6</v>
      </c>
      <c r="G762">
        <v>1689</v>
      </c>
      <c r="H762" t="str">
        <f>TEXT(TbDespesas[[#This Row],[data_transacao]], "aaaa-mm")</f>
        <v>2026-05</v>
      </c>
    </row>
    <row r="763" spans="1:8">
      <c r="A763">
        <v>762</v>
      </c>
      <c r="B763" s="1">
        <v>46163</v>
      </c>
      <c r="C763" t="s">
        <v>93</v>
      </c>
      <c r="D763" t="s">
        <v>510</v>
      </c>
      <c r="E763">
        <v>156</v>
      </c>
      <c r="F763">
        <v>16</v>
      </c>
      <c r="G763">
        <v>2650</v>
      </c>
      <c r="H763" t="str">
        <f>TEXT(TbDespesas[[#This Row],[data_transacao]], "aaaa-mm")</f>
        <v>2026-05</v>
      </c>
    </row>
    <row r="764" spans="1:8">
      <c r="A764">
        <v>763</v>
      </c>
      <c r="B764" s="1">
        <v>46163</v>
      </c>
      <c r="C764" t="s">
        <v>93</v>
      </c>
      <c r="D764" t="s">
        <v>511</v>
      </c>
      <c r="E764">
        <v>470</v>
      </c>
      <c r="F764">
        <v>10</v>
      </c>
      <c r="G764">
        <v>4923</v>
      </c>
      <c r="H764" t="str">
        <f>TEXT(TbDespesas[[#This Row],[data_transacao]], "aaaa-mm")</f>
        <v>2026-05</v>
      </c>
    </row>
    <row r="765" spans="1:8">
      <c r="A765">
        <v>764</v>
      </c>
      <c r="B765" s="1">
        <v>46163</v>
      </c>
      <c r="C765" t="s">
        <v>93</v>
      </c>
      <c r="D765" t="s">
        <v>423</v>
      </c>
      <c r="E765">
        <v>499</v>
      </c>
      <c r="F765">
        <v>9</v>
      </c>
      <c r="G765">
        <v>4531</v>
      </c>
      <c r="H765" t="str">
        <f>TEXT(TbDespesas[[#This Row],[data_transacao]], "aaaa-mm")</f>
        <v>2026-05</v>
      </c>
    </row>
    <row r="766" spans="1:8">
      <c r="A766">
        <v>765</v>
      </c>
      <c r="B766" s="1">
        <v>46163</v>
      </c>
      <c r="C766" t="s">
        <v>93</v>
      </c>
      <c r="D766" t="s">
        <v>87</v>
      </c>
      <c r="E766">
        <v>49</v>
      </c>
      <c r="F766">
        <v>26</v>
      </c>
      <c r="G766">
        <v>1294</v>
      </c>
      <c r="H766" t="str">
        <f>TEXT(TbDespesas[[#This Row],[data_transacao]], "aaaa-mm")</f>
        <v>2026-05</v>
      </c>
    </row>
    <row r="767" spans="1:8">
      <c r="A767">
        <v>766</v>
      </c>
      <c r="B767" s="1">
        <v>46163</v>
      </c>
      <c r="C767" t="s">
        <v>93</v>
      </c>
      <c r="D767" t="s">
        <v>131</v>
      </c>
      <c r="E767">
        <v>205</v>
      </c>
      <c r="F767">
        <v>3</v>
      </c>
      <c r="G767">
        <v>656</v>
      </c>
      <c r="H767" t="str">
        <f>TEXT(TbDespesas[[#This Row],[data_transacao]], "aaaa-mm")</f>
        <v>2026-05</v>
      </c>
    </row>
    <row r="768" spans="1:8">
      <c r="A768">
        <v>767</v>
      </c>
      <c r="B768" s="1">
        <v>46163</v>
      </c>
      <c r="C768" t="s">
        <v>93</v>
      </c>
      <c r="D768" t="s">
        <v>366</v>
      </c>
      <c r="E768">
        <v>110</v>
      </c>
      <c r="F768">
        <v>11</v>
      </c>
      <c r="G768">
        <v>1245</v>
      </c>
      <c r="H768" t="str">
        <f>TEXT(TbDespesas[[#This Row],[data_transacao]], "aaaa-mm")</f>
        <v>2026-05</v>
      </c>
    </row>
    <row r="769" spans="1:8">
      <c r="A769">
        <v>768</v>
      </c>
      <c r="B769" s="1">
        <v>46242</v>
      </c>
      <c r="C769" t="s">
        <v>350</v>
      </c>
      <c r="D769" t="s">
        <v>27</v>
      </c>
      <c r="E769">
        <v>282</v>
      </c>
      <c r="F769">
        <v>3</v>
      </c>
      <c r="G769">
        <v>885</v>
      </c>
      <c r="H769" t="str">
        <f>TEXT(TbDespesas[[#This Row],[data_transacao]], "aaaa-mm")</f>
        <v>2026-08</v>
      </c>
    </row>
    <row r="770" spans="1:8">
      <c r="A770">
        <v>769</v>
      </c>
      <c r="B770" s="1">
        <v>46242</v>
      </c>
      <c r="C770" t="s">
        <v>350</v>
      </c>
      <c r="D770" t="s">
        <v>119</v>
      </c>
      <c r="E770">
        <v>340</v>
      </c>
      <c r="F770">
        <v>10</v>
      </c>
      <c r="G770">
        <v>3430</v>
      </c>
      <c r="H770" t="str">
        <f>TEXT(TbDespesas[[#This Row],[data_transacao]], "aaaa-mm")</f>
        <v>2026-08</v>
      </c>
    </row>
    <row r="771" spans="1:8">
      <c r="A771">
        <v>770</v>
      </c>
      <c r="B771" s="1">
        <v>46242</v>
      </c>
      <c r="C771" t="s">
        <v>350</v>
      </c>
      <c r="D771" t="s">
        <v>71</v>
      </c>
      <c r="E771">
        <v>218</v>
      </c>
      <c r="F771">
        <v>11</v>
      </c>
      <c r="G771">
        <v>2544</v>
      </c>
      <c r="H771" t="str">
        <f>TEXT(TbDespesas[[#This Row],[data_transacao]], "aaaa-mm")</f>
        <v>2026-08</v>
      </c>
    </row>
    <row r="772" spans="1:8">
      <c r="A772">
        <v>771</v>
      </c>
      <c r="B772" s="1">
        <v>46242</v>
      </c>
      <c r="C772" t="s">
        <v>350</v>
      </c>
      <c r="D772" t="s">
        <v>275</v>
      </c>
      <c r="E772">
        <v>378</v>
      </c>
      <c r="F772">
        <v>11</v>
      </c>
      <c r="G772">
        <v>4519</v>
      </c>
      <c r="H772" t="str">
        <f>TEXT(TbDespesas[[#This Row],[data_transacao]], "aaaa-mm")</f>
        <v>2026-08</v>
      </c>
    </row>
    <row r="773" spans="1:8">
      <c r="A773">
        <v>772</v>
      </c>
      <c r="B773" s="1">
        <v>46242</v>
      </c>
      <c r="C773" t="s">
        <v>350</v>
      </c>
      <c r="D773" t="s">
        <v>511</v>
      </c>
      <c r="E773">
        <v>37</v>
      </c>
      <c r="F773">
        <v>55</v>
      </c>
      <c r="G773">
        <v>2064</v>
      </c>
      <c r="H773" t="str">
        <f>TEXT(TbDespesas[[#This Row],[data_transacao]], "aaaa-mm")</f>
        <v>2026-08</v>
      </c>
    </row>
    <row r="774" spans="1:8">
      <c r="A774">
        <v>773</v>
      </c>
      <c r="B774" s="1">
        <v>46084</v>
      </c>
      <c r="C774" t="s">
        <v>303</v>
      </c>
      <c r="D774" t="s">
        <v>316</v>
      </c>
      <c r="E774">
        <v>34</v>
      </c>
      <c r="F774">
        <v>67</v>
      </c>
      <c r="G774">
        <v>2278</v>
      </c>
      <c r="H774" t="str">
        <f>TEXT(TbDespesas[[#This Row],[data_transacao]], "aaaa-mm")</f>
        <v>2026-03</v>
      </c>
    </row>
    <row r="775" spans="1:8">
      <c r="A775">
        <v>774</v>
      </c>
      <c r="B775" s="1">
        <v>46084</v>
      </c>
      <c r="C775" t="s">
        <v>303</v>
      </c>
      <c r="D775" t="s">
        <v>452</v>
      </c>
      <c r="E775">
        <v>71</v>
      </c>
      <c r="F775">
        <v>31</v>
      </c>
      <c r="G775">
        <v>2232</v>
      </c>
      <c r="H775" t="str">
        <f>TEXT(TbDespesas[[#This Row],[data_transacao]], "aaaa-mm")</f>
        <v>2026-03</v>
      </c>
    </row>
    <row r="776" spans="1:8">
      <c r="A776">
        <v>775</v>
      </c>
      <c r="B776" s="1">
        <v>45979</v>
      </c>
      <c r="C776" t="s">
        <v>93</v>
      </c>
      <c r="D776" t="s">
        <v>512</v>
      </c>
      <c r="E776">
        <v>235</v>
      </c>
      <c r="F776">
        <v>6</v>
      </c>
      <c r="G776">
        <v>1614</v>
      </c>
      <c r="H776" t="str">
        <f>TEXT(TbDespesas[[#This Row],[data_transacao]], "aaaa-mm")</f>
        <v>2025-11</v>
      </c>
    </row>
    <row r="777" spans="1:8">
      <c r="A777">
        <v>776</v>
      </c>
      <c r="B777" s="1">
        <v>45979</v>
      </c>
      <c r="C777" t="s">
        <v>93</v>
      </c>
      <c r="D777" t="s">
        <v>104</v>
      </c>
      <c r="E777">
        <v>11</v>
      </c>
      <c r="F777">
        <v>221</v>
      </c>
      <c r="G777">
        <v>2440</v>
      </c>
      <c r="H777" t="str">
        <f>TEXT(TbDespesas[[#This Row],[data_transacao]], "aaaa-mm")</f>
        <v>2025-11</v>
      </c>
    </row>
    <row r="778" spans="1:8">
      <c r="A778">
        <v>777</v>
      </c>
      <c r="B778" s="1">
        <v>45979</v>
      </c>
      <c r="C778" t="s">
        <v>93</v>
      </c>
      <c r="D778" t="s">
        <v>112</v>
      </c>
      <c r="E778">
        <v>97</v>
      </c>
      <c r="F778">
        <v>30</v>
      </c>
      <c r="G778">
        <v>2980</v>
      </c>
      <c r="H778" t="str">
        <f>TEXT(TbDespesas[[#This Row],[data_transacao]], "aaaa-mm")</f>
        <v>2025-11</v>
      </c>
    </row>
    <row r="779" spans="1:8">
      <c r="A779">
        <v>778</v>
      </c>
      <c r="B779" s="1">
        <v>45979</v>
      </c>
      <c r="C779" t="s">
        <v>93</v>
      </c>
      <c r="D779" t="s">
        <v>293</v>
      </c>
      <c r="E779">
        <v>146</v>
      </c>
      <c r="F779">
        <v>11</v>
      </c>
      <c r="G779">
        <v>1701</v>
      </c>
      <c r="H779" t="str">
        <f>TEXT(TbDespesas[[#This Row],[data_transacao]], "aaaa-mm")</f>
        <v>2025-11</v>
      </c>
    </row>
    <row r="780" spans="1:8">
      <c r="A780">
        <v>779</v>
      </c>
      <c r="B780" s="1">
        <v>46025</v>
      </c>
      <c r="C780" t="s">
        <v>192</v>
      </c>
      <c r="D780" t="s">
        <v>307</v>
      </c>
      <c r="E780">
        <v>42</v>
      </c>
      <c r="F780">
        <v>65</v>
      </c>
      <c r="G780">
        <v>2750</v>
      </c>
      <c r="H780" t="str">
        <f>TEXT(TbDespesas[[#This Row],[data_transacao]], "aaaa-mm")</f>
        <v>2026-01</v>
      </c>
    </row>
    <row r="781" spans="1:8">
      <c r="A781">
        <v>780</v>
      </c>
      <c r="B781" s="1">
        <v>46025</v>
      </c>
      <c r="C781" t="s">
        <v>192</v>
      </c>
      <c r="D781" t="s">
        <v>513</v>
      </c>
      <c r="E781">
        <v>370</v>
      </c>
      <c r="F781">
        <v>9</v>
      </c>
      <c r="G781">
        <v>3490</v>
      </c>
      <c r="H781" t="str">
        <f>TEXT(TbDespesas[[#This Row],[data_transacao]], "aaaa-mm")</f>
        <v>2026-01</v>
      </c>
    </row>
    <row r="782" spans="1:8">
      <c r="A782">
        <v>781</v>
      </c>
      <c r="B782" s="1">
        <v>46025</v>
      </c>
      <c r="C782" t="s">
        <v>192</v>
      </c>
      <c r="D782" t="s">
        <v>153</v>
      </c>
      <c r="E782">
        <v>61</v>
      </c>
      <c r="F782">
        <v>53</v>
      </c>
      <c r="G782">
        <v>3263</v>
      </c>
      <c r="H782" t="str">
        <f>TEXT(TbDespesas[[#This Row],[data_transacao]], "aaaa-mm")</f>
        <v>2026-01</v>
      </c>
    </row>
    <row r="783" spans="1:8">
      <c r="A783">
        <v>782</v>
      </c>
      <c r="B783" s="1">
        <v>46025</v>
      </c>
      <c r="C783" t="s">
        <v>192</v>
      </c>
      <c r="D783" t="s">
        <v>216</v>
      </c>
      <c r="E783">
        <v>403</v>
      </c>
      <c r="F783">
        <v>8</v>
      </c>
      <c r="G783">
        <v>3540</v>
      </c>
      <c r="H783" t="str">
        <f>TEXT(TbDespesas[[#This Row],[data_transacao]], "aaaa-mm")</f>
        <v>2026-01</v>
      </c>
    </row>
    <row r="784" spans="1:8">
      <c r="A784">
        <v>783</v>
      </c>
      <c r="B784" s="1">
        <v>46025</v>
      </c>
      <c r="C784" t="s">
        <v>192</v>
      </c>
      <c r="D784" t="s">
        <v>514</v>
      </c>
      <c r="E784">
        <v>100</v>
      </c>
      <c r="F784">
        <v>21</v>
      </c>
      <c r="G784">
        <v>2144</v>
      </c>
      <c r="H784" t="str">
        <f>TEXT(TbDespesas[[#This Row],[data_transacao]], "aaaa-mm")</f>
        <v>2026-01</v>
      </c>
    </row>
    <row r="785" spans="1:8">
      <c r="A785">
        <v>784</v>
      </c>
      <c r="B785" s="1">
        <v>46025</v>
      </c>
      <c r="C785" t="s">
        <v>192</v>
      </c>
      <c r="D785" t="s">
        <v>235</v>
      </c>
      <c r="E785">
        <v>61</v>
      </c>
      <c r="F785">
        <v>32</v>
      </c>
      <c r="G785">
        <v>1954</v>
      </c>
      <c r="H785" t="str">
        <f>TEXT(TbDespesas[[#This Row],[data_transacao]], "aaaa-mm")</f>
        <v>2026-01</v>
      </c>
    </row>
    <row r="786" spans="1:8">
      <c r="A786">
        <v>785</v>
      </c>
      <c r="B786" s="1">
        <v>46025</v>
      </c>
      <c r="C786" t="s">
        <v>192</v>
      </c>
      <c r="D786" t="s">
        <v>148</v>
      </c>
      <c r="E786">
        <v>429</v>
      </c>
      <c r="F786">
        <v>2</v>
      </c>
      <c r="G786">
        <v>1174</v>
      </c>
      <c r="H786" t="str">
        <f>TEXT(TbDespesas[[#This Row],[data_transacao]], "aaaa-mm")</f>
        <v>2026-01</v>
      </c>
    </row>
    <row r="787" spans="1:8">
      <c r="A787">
        <v>786</v>
      </c>
      <c r="B787" s="1">
        <v>46025</v>
      </c>
      <c r="C787" t="s">
        <v>192</v>
      </c>
      <c r="D787" t="s">
        <v>515</v>
      </c>
      <c r="E787">
        <v>331</v>
      </c>
      <c r="F787">
        <v>1</v>
      </c>
      <c r="G787">
        <v>435</v>
      </c>
      <c r="H787" t="str">
        <f>TEXT(TbDespesas[[#This Row],[data_transacao]], "aaaa-mm")</f>
        <v>2026-01</v>
      </c>
    </row>
    <row r="788" spans="1:8">
      <c r="A788">
        <v>787</v>
      </c>
      <c r="B788" s="1">
        <v>46025</v>
      </c>
      <c r="C788" t="s">
        <v>192</v>
      </c>
      <c r="D788" t="s">
        <v>404</v>
      </c>
      <c r="E788">
        <v>472</v>
      </c>
      <c r="F788">
        <v>0</v>
      </c>
      <c r="G788">
        <v>453</v>
      </c>
      <c r="H788" t="str">
        <f>TEXT(TbDespesas[[#This Row],[data_transacao]], "aaaa-mm")</f>
        <v>2026-01</v>
      </c>
    </row>
    <row r="789" spans="1:8">
      <c r="A789">
        <v>788</v>
      </c>
      <c r="B789" s="1">
        <v>46025</v>
      </c>
      <c r="C789" t="s">
        <v>192</v>
      </c>
      <c r="D789" t="s">
        <v>194</v>
      </c>
      <c r="E789">
        <v>284</v>
      </c>
      <c r="F789">
        <v>5</v>
      </c>
      <c r="G789">
        <v>1454</v>
      </c>
      <c r="H789" t="str">
        <f>TEXT(TbDespesas[[#This Row],[data_transacao]], "aaaa-mm")</f>
        <v>2026-01</v>
      </c>
    </row>
    <row r="790" spans="1:8">
      <c r="A790">
        <v>789</v>
      </c>
      <c r="B790" s="1">
        <v>46025</v>
      </c>
      <c r="C790" t="s">
        <v>192</v>
      </c>
      <c r="D790" t="s">
        <v>516</v>
      </c>
      <c r="E790">
        <v>189</v>
      </c>
      <c r="F790">
        <v>12</v>
      </c>
      <c r="G790">
        <v>2424</v>
      </c>
      <c r="H790" t="str">
        <f>TEXT(TbDespesas[[#This Row],[data_transacao]], "aaaa-mm")</f>
        <v>2026-01</v>
      </c>
    </row>
    <row r="791" spans="1:8">
      <c r="A791">
        <v>790</v>
      </c>
      <c r="B791" s="1">
        <v>46217</v>
      </c>
      <c r="C791" t="s">
        <v>517</v>
      </c>
      <c r="D791" t="s">
        <v>401</v>
      </c>
      <c r="E791">
        <v>55</v>
      </c>
      <c r="F791">
        <v>15</v>
      </c>
      <c r="G791">
        <v>865</v>
      </c>
      <c r="H791" t="str">
        <f>TEXT(TbDespesas[[#This Row],[data_transacao]], "aaaa-mm")</f>
        <v>2026-07</v>
      </c>
    </row>
    <row r="792" spans="1:8">
      <c r="A792">
        <v>791</v>
      </c>
      <c r="B792" s="1">
        <v>46217</v>
      </c>
      <c r="C792" t="s">
        <v>517</v>
      </c>
      <c r="D792" t="s">
        <v>478</v>
      </c>
      <c r="E792">
        <v>193</v>
      </c>
      <c r="F792">
        <v>1</v>
      </c>
      <c r="G792">
        <v>305</v>
      </c>
      <c r="H792" t="str">
        <f>TEXT(TbDespesas[[#This Row],[data_transacao]], "aaaa-mm")</f>
        <v>2026-07</v>
      </c>
    </row>
    <row r="793" spans="1:8">
      <c r="A793">
        <v>792</v>
      </c>
      <c r="B793" s="1">
        <v>46217</v>
      </c>
      <c r="C793" t="s">
        <v>517</v>
      </c>
      <c r="D793" t="s">
        <v>181</v>
      </c>
      <c r="E793">
        <v>156</v>
      </c>
      <c r="F793">
        <v>1</v>
      </c>
      <c r="G793">
        <v>207</v>
      </c>
      <c r="H793" t="str">
        <f>TEXT(TbDespesas[[#This Row],[data_transacao]], "aaaa-mm")</f>
        <v>2026-07</v>
      </c>
    </row>
    <row r="794" spans="1:8">
      <c r="A794">
        <v>793</v>
      </c>
      <c r="B794" s="1">
        <v>46217</v>
      </c>
      <c r="C794" t="s">
        <v>517</v>
      </c>
      <c r="D794" t="s">
        <v>33</v>
      </c>
      <c r="E794">
        <v>191</v>
      </c>
      <c r="F794">
        <v>11</v>
      </c>
      <c r="G794">
        <v>2129</v>
      </c>
      <c r="H794" t="str">
        <f>TEXT(TbDespesas[[#This Row],[data_transacao]], "aaaa-mm")</f>
        <v>2026-07</v>
      </c>
    </row>
    <row r="795" spans="1:8">
      <c r="A795">
        <v>794</v>
      </c>
      <c r="B795" s="1">
        <v>46217</v>
      </c>
      <c r="C795" t="s">
        <v>517</v>
      </c>
      <c r="D795" t="s">
        <v>518</v>
      </c>
      <c r="E795">
        <v>222</v>
      </c>
      <c r="F795">
        <v>5</v>
      </c>
      <c r="G795">
        <v>1214</v>
      </c>
      <c r="H795" t="str">
        <f>TEXT(TbDespesas[[#This Row],[data_transacao]], "aaaa-mm")</f>
        <v>2026-07</v>
      </c>
    </row>
    <row r="796" spans="1:8">
      <c r="A796">
        <v>795</v>
      </c>
      <c r="B796" s="1">
        <v>46060</v>
      </c>
      <c r="C796" t="s">
        <v>65</v>
      </c>
      <c r="D796" t="s">
        <v>346</v>
      </c>
      <c r="E796">
        <v>45</v>
      </c>
      <c r="F796">
        <v>33</v>
      </c>
      <c r="G796">
        <v>1529</v>
      </c>
      <c r="H796" t="str">
        <f>TEXT(TbDespesas[[#This Row],[data_transacao]], "aaaa-mm")</f>
        <v>2026-02</v>
      </c>
    </row>
    <row r="797" spans="1:8">
      <c r="A797">
        <v>796</v>
      </c>
      <c r="B797" s="1">
        <v>46060</v>
      </c>
      <c r="C797" t="s">
        <v>65</v>
      </c>
      <c r="D797" t="s">
        <v>519</v>
      </c>
      <c r="E797">
        <v>119</v>
      </c>
      <c r="F797">
        <v>7</v>
      </c>
      <c r="G797">
        <v>919</v>
      </c>
      <c r="H797" t="str">
        <f>TEXT(TbDespesas[[#This Row],[data_transacao]], "aaaa-mm")</f>
        <v>2026-02</v>
      </c>
    </row>
    <row r="798" spans="1:8">
      <c r="A798">
        <v>797</v>
      </c>
      <c r="B798" s="1">
        <v>46092</v>
      </c>
      <c r="C798" t="s">
        <v>391</v>
      </c>
      <c r="D798" t="s">
        <v>25</v>
      </c>
      <c r="E798">
        <v>168</v>
      </c>
      <c r="F798">
        <v>9</v>
      </c>
      <c r="G798">
        <v>1607</v>
      </c>
      <c r="H798" t="str">
        <f>TEXT(TbDespesas[[#This Row],[data_transacao]], "aaaa-mm")</f>
        <v>2026-03</v>
      </c>
    </row>
    <row r="799" spans="1:8">
      <c r="A799">
        <v>798</v>
      </c>
      <c r="B799" s="1">
        <v>46092</v>
      </c>
      <c r="C799" t="s">
        <v>391</v>
      </c>
      <c r="D799" t="s">
        <v>333</v>
      </c>
      <c r="E799">
        <v>159</v>
      </c>
      <c r="F799">
        <v>22</v>
      </c>
      <c r="G799">
        <v>3646</v>
      </c>
      <c r="H799" t="str">
        <f>TEXT(TbDespesas[[#This Row],[data_transacao]], "aaaa-mm")</f>
        <v>2026-03</v>
      </c>
    </row>
    <row r="800" spans="1:8">
      <c r="A800">
        <v>799</v>
      </c>
      <c r="B800" s="1">
        <v>46092</v>
      </c>
      <c r="C800" t="s">
        <v>391</v>
      </c>
      <c r="D800" t="s">
        <v>520</v>
      </c>
      <c r="E800">
        <v>300</v>
      </c>
      <c r="F800">
        <v>14</v>
      </c>
      <c r="G800">
        <v>4280</v>
      </c>
      <c r="H800" t="str">
        <f>TEXT(TbDespesas[[#This Row],[data_transacao]], "aaaa-mm")</f>
        <v>2026-03</v>
      </c>
    </row>
    <row r="801" spans="1:8">
      <c r="A801">
        <v>800</v>
      </c>
      <c r="B801" s="1">
        <v>46177</v>
      </c>
      <c r="C801" t="s">
        <v>521</v>
      </c>
      <c r="D801" t="s">
        <v>522</v>
      </c>
      <c r="E801">
        <v>54</v>
      </c>
      <c r="F801">
        <v>27</v>
      </c>
      <c r="G801">
        <v>1467</v>
      </c>
      <c r="H801" t="str">
        <f>TEXT(TbDespesas[[#This Row],[data_transacao]], "aaaa-mm")</f>
        <v>2026-06</v>
      </c>
    </row>
    <row r="802" spans="1:8">
      <c r="A802">
        <v>801</v>
      </c>
      <c r="B802" s="1">
        <v>46177</v>
      </c>
      <c r="C802" t="s">
        <v>521</v>
      </c>
      <c r="D802" t="s">
        <v>165</v>
      </c>
      <c r="E802">
        <v>342</v>
      </c>
      <c r="F802">
        <v>4</v>
      </c>
      <c r="G802">
        <v>1523</v>
      </c>
      <c r="H802" t="str">
        <f>TEXT(TbDespesas[[#This Row],[data_transacao]], "aaaa-mm")</f>
        <v>2026-06</v>
      </c>
    </row>
    <row r="803" spans="1:8">
      <c r="A803">
        <v>802</v>
      </c>
      <c r="B803" s="1">
        <v>46177</v>
      </c>
      <c r="C803" t="s">
        <v>521</v>
      </c>
      <c r="D803" t="s">
        <v>442</v>
      </c>
      <c r="E803">
        <v>27</v>
      </c>
      <c r="F803">
        <v>41</v>
      </c>
      <c r="G803">
        <v>1120</v>
      </c>
      <c r="H803" t="str">
        <f>TEXT(TbDespesas[[#This Row],[data_transacao]], "aaaa-mm")</f>
        <v>2026-06</v>
      </c>
    </row>
    <row r="804" spans="1:8">
      <c r="A804">
        <v>803</v>
      </c>
      <c r="B804" s="1">
        <v>46177</v>
      </c>
      <c r="C804" t="s">
        <v>521</v>
      </c>
      <c r="D804" t="s">
        <v>102</v>
      </c>
      <c r="E804">
        <v>188</v>
      </c>
      <c r="F804">
        <v>11</v>
      </c>
      <c r="G804">
        <v>2183</v>
      </c>
      <c r="H804" t="str">
        <f>TEXT(TbDespesas[[#This Row],[data_transacao]], "aaaa-mm")</f>
        <v>2026-06</v>
      </c>
    </row>
    <row r="805" spans="1:8">
      <c r="A805">
        <v>804</v>
      </c>
      <c r="B805" s="1">
        <v>46177</v>
      </c>
      <c r="C805" t="s">
        <v>521</v>
      </c>
      <c r="D805" t="s">
        <v>523</v>
      </c>
      <c r="E805">
        <v>347</v>
      </c>
      <c r="F805">
        <v>5</v>
      </c>
      <c r="G805">
        <v>1813</v>
      </c>
      <c r="H805" t="str">
        <f>TEXT(TbDespesas[[#This Row],[data_transacao]], "aaaa-mm")</f>
        <v>2026-06</v>
      </c>
    </row>
    <row r="806" spans="1:8">
      <c r="A806">
        <v>805</v>
      </c>
      <c r="B806" s="1">
        <v>46011</v>
      </c>
      <c r="C806" t="s">
        <v>524</v>
      </c>
      <c r="D806" t="s">
        <v>525</v>
      </c>
      <c r="E806">
        <v>440</v>
      </c>
      <c r="F806">
        <v>5</v>
      </c>
      <c r="G806">
        <v>2630</v>
      </c>
      <c r="H806" t="str">
        <f>TEXT(TbDespesas[[#This Row],[data_transacao]], "aaaa-mm")</f>
        <v>2025-12</v>
      </c>
    </row>
    <row r="807" spans="1:8">
      <c r="A807">
        <v>806</v>
      </c>
      <c r="B807" s="1">
        <v>46011</v>
      </c>
      <c r="C807" t="s">
        <v>524</v>
      </c>
      <c r="D807" t="s">
        <v>171</v>
      </c>
      <c r="E807">
        <v>396</v>
      </c>
      <c r="F807">
        <v>6</v>
      </c>
      <c r="G807">
        <v>2744</v>
      </c>
      <c r="H807" t="str">
        <f>TEXT(TbDespesas[[#This Row],[data_transacao]], "aaaa-mm")</f>
        <v>2025-12</v>
      </c>
    </row>
    <row r="808" spans="1:8">
      <c r="A808">
        <v>807</v>
      </c>
      <c r="B808" s="1">
        <v>46180</v>
      </c>
      <c r="C808" t="s">
        <v>521</v>
      </c>
      <c r="D808" t="s">
        <v>242</v>
      </c>
      <c r="E808">
        <v>124</v>
      </c>
      <c r="F808">
        <v>14</v>
      </c>
      <c r="G808">
        <v>1740</v>
      </c>
      <c r="H808" t="str">
        <f>TEXT(TbDespesas[[#This Row],[data_transacao]], "aaaa-mm")</f>
        <v>2026-06</v>
      </c>
    </row>
    <row r="809" spans="1:8">
      <c r="A809">
        <v>808</v>
      </c>
      <c r="B809" s="1">
        <v>46180</v>
      </c>
      <c r="C809" t="s">
        <v>521</v>
      </c>
      <c r="D809" t="s">
        <v>526</v>
      </c>
      <c r="E809">
        <v>333</v>
      </c>
      <c r="F809">
        <v>1</v>
      </c>
      <c r="G809">
        <v>584</v>
      </c>
      <c r="H809" t="str">
        <f>TEXT(TbDespesas[[#This Row],[data_transacao]], "aaaa-mm")</f>
        <v>2026-06</v>
      </c>
    </row>
    <row r="810" spans="1:8">
      <c r="A810">
        <v>809</v>
      </c>
      <c r="B810" s="1">
        <v>46180</v>
      </c>
      <c r="C810" t="s">
        <v>521</v>
      </c>
      <c r="D810" t="s">
        <v>527</v>
      </c>
      <c r="E810">
        <v>470</v>
      </c>
      <c r="F810">
        <v>3</v>
      </c>
      <c r="G810">
        <v>1511</v>
      </c>
      <c r="H810" t="str">
        <f>TEXT(TbDespesas[[#This Row],[data_transacao]], "aaaa-mm")</f>
        <v>2026-06</v>
      </c>
    </row>
    <row r="811" spans="1:8">
      <c r="A811">
        <v>810</v>
      </c>
      <c r="B811" s="1">
        <v>46251</v>
      </c>
      <c r="C811" t="s">
        <v>350</v>
      </c>
      <c r="D811" t="s">
        <v>457</v>
      </c>
      <c r="E811">
        <v>449</v>
      </c>
      <c r="F811">
        <v>3</v>
      </c>
      <c r="G811">
        <v>1600</v>
      </c>
      <c r="H811" t="str">
        <f>TEXT(TbDespesas[[#This Row],[data_transacao]], "aaaa-mm")</f>
        <v>2026-08</v>
      </c>
    </row>
    <row r="812" spans="1:8">
      <c r="A812">
        <v>811</v>
      </c>
      <c r="B812" s="1">
        <v>46251</v>
      </c>
      <c r="C812" t="s">
        <v>350</v>
      </c>
      <c r="D812" t="s">
        <v>308</v>
      </c>
      <c r="E812">
        <v>468</v>
      </c>
      <c r="F812">
        <v>3</v>
      </c>
      <c r="G812">
        <v>1519</v>
      </c>
      <c r="H812" t="str">
        <f>TEXT(TbDespesas[[#This Row],[data_transacao]], "aaaa-mm")</f>
        <v>2026-08</v>
      </c>
    </row>
    <row r="813" spans="1:8">
      <c r="A813">
        <v>812</v>
      </c>
      <c r="B813" s="1">
        <v>46251</v>
      </c>
      <c r="C813" t="s">
        <v>350</v>
      </c>
      <c r="D813" t="s">
        <v>22</v>
      </c>
      <c r="E813">
        <v>284</v>
      </c>
      <c r="F813">
        <v>12</v>
      </c>
      <c r="G813">
        <v>3448</v>
      </c>
      <c r="H813" t="str">
        <f>TEXT(TbDespesas[[#This Row],[data_transacao]], "aaaa-mm")</f>
        <v>2026-08</v>
      </c>
    </row>
    <row r="814" spans="1:8">
      <c r="A814">
        <v>813</v>
      </c>
      <c r="B814" s="1">
        <v>46251</v>
      </c>
      <c r="C814" t="s">
        <v>350</v>
      </c>
      <c r="D814" t="s">
        <v>528</v>
      </c>
      <c r="E814">
        <v>387</v>
      </c>
      <c r="F814">
        <v>2</v>
      </c>
      <c r="G814">
        <v>974</v>
      </c>
      <c r="H814" t="str">
        <f>TEXT(TbDespesas[[#This Row],[data_transacao]], "aaaa-mm")</f>
        <v>2026-08</v>
      </c>
    </row>
    <row r="815" spans="1:8">
      <c r="A815">
        <v>814</v>
      </c>
      <c r="B815" s="1">
        <v>46251</v>
      </c>
      <c r="C815" t="s">
        <v>350</v>
      </c>
      <c r="D815" t="s">
        <v>46</v>
      </c>
      <c r="E815">
        <v>145</v>
      </c>
      <c r="F815">
        <v>5</v>
      </c>
      <c r="G815">
        <v>787</v>
      </c>
      <c r="H815" t="str">
        <f>TEXT(TbDespesas[[#This Row],[data_transacao]], "aaaa-mm")</f>
        <v>2026-08</v>
      </c>
    </row>
    <row r="816" spans="1:8">
      <c r="A816">
        <v>815</v>
      </c>
      <c r="B816" s="1">
        <v>46251</v>
      </c>
      <c r="C816" t="s">
        <v>350</v>
      </c>
      <c r="D816" t="s">
        <v>529</v>
      </c>
      <c r="E816">
        <v>118</v>
      </c>
      <c r="F816">
        <v>11</v>
      </c>
      <c r="G816">
        <v>1380</v>
      </c>
      <c r="H816" t="str">
        <f>TEXT(TbDespesas[[#This Row],[data_transacao]], "aaaa-mm")</f>
        <v>2026-08</v>
      </c>
    </row>
    <row r="817" spans="1:8">
      <c r="A817">
        <v>816</v>
      </c>
      <c r="B817" s="1">
        <v>46251</v>
      </c>
      <c r="C817" t="s">
        <v>350</v>
      </c>
      <c r="D817" t="s">
        <v>460</v>
      </c>
      <c r="E817">
        <v>183</v>
      </c>
      <c r="F817">
        <v>15</v>
      </c>
      <c r="G817">
        <v>2811</v>
      </c>
      <c r="H817" t="str">
        <f>TEXT(TbDespesas[[#This Row],[data_transacao]], "aaaa-mm")</f>
        <v>2026-08</v>
      </c>
    </row>
    <row r="818" spans="1:8">
      <c r="A818">
        <v>817</v>
      </c>
      <c r="B818" s="1">
        <v>46251</v>
      </c>
      <c r="C818" t="s">
        <v>350</v>
      </c>
      <c r="D818" t="s">
        <v>92</v>
      </c>
      <c r="E818">
        <v>143</v>
      </c>
      <c r="F818">
        <v>18</v>
      </c>
      <c r="G818">
        <v>2639</v>
      </c>
      <c r="H818" t="str">
        <f>TEXT(TbDespesas[[#This Row],[data_transacao]], "aaaa-mm")</f>
        <v>2026-08</v>
      </c>
    </row>
    <row r="819" spans="1:8">
      <c r="A819">
        <v>818</v>
      </c>
      <c r="B819" s="1">
        <v>46251</v>
      </c>
      <c r="C819" t="s">
        <v>350</v>
      </c>
      <c r="D819" t="s">
        <v>282</v>
      </c>
      <c r="E819">
        <v>395</v>
      </c>
      <c r="F819">
        <v>5</v>
      </c>
      <c r="G819">
        <v>2324</v>
      </c>
      <c r="H819" t="str">
        <f>TEXT(TbDespesas[[#This Row],[data_transacao]], "aaaa-mm")</f>
        <v>2026-08</v>
      </c>
    </row>
    <row r="820" spans="1:8">
      <c r="A820">
        <v>819</v>
      </c>
      <c r="B820" s="1">
        <v>46251</v>
      </c>
      <c r="C820" t="s">
        <v>350</v>
      </c>
      <c r="D820" t="s">
        <v>422</v>
      </c>
      <c r="E820">
        <v>207</v>
      </c>
      <c r="F820">
        <v>6</v>
      </c>
      <c r="G820">
        <v>1349</v>
      </c>
      <c r="H820" t="str">
        <f>TEXT(TbDespesas[[#This Row],[data_transacao]], "aaaa-mm")</f>
        <v>2026-08</v>
      </c>
    </row>
    <row r="821" spans="1:8">
      <c r="A821">
        <v>820</v>
      </c>
      <c r="B821" s="1">
        <v>46120</v>
      </c>
      <c r="C821" t="s">
        <v>530</v>
      </c>
      <c r="D821" t="s">
        <v>442</v>
      </c>
      <c r="E821">
        <v>83</v>
      </c>
      <c r="F821">
        <v>50</v>
      </c>
      <c r="G821">
        <v>4182</v>
      </c>
      <c r="H821" t="str">
        <f>TEXT(TbDespesas[[#This Row],[data_transacao]], "aaaa-mm")</f>
        <v>2026-04</v>
      </c>
    </row>
    <row r="822" spans="1:8">
      <c r="A822">
        <v>821</v>
      </c>
      <c r="B822" s="1">
        <v>46120</v>
      </c>
      <c r="C822" t="s">
        <v>530</v>
      </c>
      <c r="D822" t="s">
        <v>418</v>
      </c>
      <c r="E822">
        <v>135</v>
      </c>
      <c r="F822">
        <v>17</v>
      </c>
      <c r="G822">
        <v>2339</v>
      </c>
      <c r="H822" t="str">
        <f>TEXT(TbDespesas[[#This Row],[data_transacao]], "aaaa-mm")</f>
        <v>2026-04</v>
      </c>
    </row>
    <row r="823" spans="1:8">
      <c r="A823">
        <v>822</v>
      </c>
      <c r="B823" s="1">
        <v>46120</v>
      </c>
      <c r="C823" t="s">
        <v>530</v>
      </c>
      <c r="D823" t="s">
        <v>343</v>
      </c>
      <c r="E823">
        <v>58</v>
      </c>
      <c r="F823">
        <v>19</v>
      </c>
      <c r="G823">
        <v>1104</v>
      </c>
      <c r="H823" t="str">
        <f>TEXT(TbDespesas[[#This Row],[data_transacao]], "aaaa-mm")</f>
        <v>2026-04</v>
      </c>
    </row>
    <row r="824" spans="1:8">
      <c r="A824">
        <v>823</v>
      </c>
      <c r="B824" s="1">
        <v>46120</v>
      </c>
      <c r="C824" t="s">
        <v>530</v>
      </c>
      <c r="D824" t="s">
        <v>212</v>
      </c>
      <c r="E824">
        <v>316</v>
      </c>
      <c r="F824">
        <v>14</v>
      </c>
      <c r="G824">
        <v>4484</v>
      </c>
      <c r="H824" t="str">
        <f>TEXT(TbDespesas[[#This Row],[data_transacao]], "aaaa-mm")</f>
        <v>2026-04</v>
      </c>
    </row>
    <row r="825" spans="1:8">
      <c r="A825">
        <v>824</v>
      </c>
      <c r="B825" s="1">
        <v>46120</v>
      </c>
      <c r="C825" t="s">
        <v>530</v>
      </c>
      <c r="D825" t="s">
        <v>273</v>
      </c>
      <c r="E825">
        <v>147</v>
      </c>
      <c r="F825">
        <v>3</v>
      </c>
      <c r="G825">
        <v>542</v>
      </c>
      <c r="H825" t="str">
        <f>TEXT(TbDespesas[[#This Row],[data_transacao]], "aaaa-mm")</f>
        <v>2026-04</v>
      </c>
    </row>
    <row r="826" spans="1:8">
      <c r="A826">
        <v>825</v>
      </c>
      <c r="B826" s="1">
        <v>46120</v>
      </c>
      <c r="C826" t="s">
        <v>530</v>
      </c>
      <c r="D826" t="s">
        <v>531</v>
      </c>
      <c r="E826">
        <v>244</v>
      </c>
      <c r="F826">
        <v>9</v>
      </c>
      <c r="G826">
        <v>2279</v>
      </c>
      <c r="H826" t="str">
        <f>TEXT(TbDespesas[[#This Row],[data_transacao]], "aaaa-mm")</f>
        <v>2026-04</v>
      </c>
    </row>
    <row r="827" spans="1:8">
      <c r="A827">
        <v>826</v>
      </c>
      <c r="B827" s="1">
        <v>46122</v>
      </c>
      <c r="C827" t="s">
        <v>532</v>
      </c>
      <c r="D827" t="s">
        <v>533</v>
      </c>
      <c r="E827">
        <v>446</v>
      </c>
      <c r="F827">
        <v>7</v>
      </c>
      <c r="G827">
        <v>3194</v>
      </c>
      <c r="H827" t="str">
        <f>TEXT(TbDespesas[[#This Row],[data_transacao]], "aaaa-mm")</f>
        <v>2026-04</v>
      </c>
    </row>
    <row r="828" spans="1:8">
      <c r="A828">
        <v>827</v>
      </c>
      <c r="B828" s="1">
        <v>46122</v>
      </c>
      <c r="C828" t="s">
        <v>532</v>
      </c>
      <c r="D828" t="s">
        <v>534</v>
      </c>
      <c r="E828">
        <v>447</v>
      </c>
      <c r="F828">
        <v>1</v>
      </c>
      <c r="G828">
        <v>878</v>
      </c>
      <c r="H828" t="str">
        <f>TEXT(TbDespesas[[#This Row],[data_transacao]], "aaaa-mm")</f>
        <v>2026-04</v>
      </c>
    </row>
    <row r="829" spans="1:8">
      <c r="A829">
        <v>828</v>
      </c>
      <c r="B829" s="1">
        <v>46122</v>
      </c>
      <c r="C829" t="s">
        <v>532</v>
      </c>
      <c r="D829" t="s">
        <v>240</v>
      </c>
      <c r="E829">
        <v>84</v>
      </c>
      <c r="F829">
        <v>24</v>
      </c>
      <c r="G829">
        <v>2055</v>
      </c>
      <c r="H829" t="str">
        <f>TEXT(TbDespesas[[#This Row],[data_transacao]], "aaaa-mm")</f>
        <v>2026-04</v>
      </c>
    </row>
    <row r="830" spans="1:8">
      <c r="A830">
        <v>829</v>
      </c>
      <c r="B830" s="1">
        <v>46122</v>
      </c>
      <c r="C830" t="s">
        <v>532</v>
      </c>
      <c r="D830" t="s">
        <v>148</v>
      </c>
      <c r="E830">
        <v>13</v>
      </c>
      <c r="F830">
        <v>129</v>
      </c>
      <c r="G830">
        <v>1685</v>
      </c>
      <c r="H830" t="str">
        <f>TEXT(TbDespesas[[#This Row],[data_transacao]], "aaaa-mm")</f>
        <v>2026-04</v>
      </c>
    </row>
    <row r="831" spans="1:8">
      <c r="A831">
        <v>830</v>
      </c>
      <c r="B831" s="1">
        <v>46122</v>
      </c>
      <c r="C831" t="s">
        <v>532</v>
      </c>
      <c r="D831" t="s">
        <v>71</v>
      </c>
      <c r="E831">
        <v>422</v>
      </c>
      <c r="F831">
        <v>3</v>
      </c>
      <c r="G831">
        <v>1374</v>
      </c>
      <c r="H831" t="str">
        <f>TEXT(TbDespesas[[#This Row],[data_transacao]], "aaaa-mm")</f>
        <v>2026-04</v>
      </c>
    </row>
    <row r="832" spans="1:8">
      <c r="A832">
        <v>831</v>
      </c>
      <c r="B832" s="1">
        <v>46122</v>
      </c>
      <c r="C832" t="s">
        <v>532</v>
      </c>
      <c r="D832" t="s">
        <v>298</v>
      </c>
      <c r="E832">
        <v>386</v>
      </c>
      <c r="F832">
        <v>3</v>
      </c>
      <c r="G832">
        <v>1522</v>
      </c>
      <c r="H832" t="str">
        <f>TEXT(TbDespesas[[#This Row],[data_transacao]], "aaaa-mm")</f>
        <v>2026-04</v>
      </c>
    </row>
    <row r="833" spans="1:8">
      <c r="A833">
        <v>832</v>
      </c>
      <c r="B833" s="1">
        <v>46122</v>
      </c>
      <c r="C833" t="s">
        <v>532</v>
      </c>
      <c r="D833" t="s">
        <v>535</v>
      </c>
      <c r="E833">
        <v>267</v>
      </c>
      <c r="F833">
        <v>7</v>
      </c>
      <c r="G833">
        <v>1970</v>
      </c>
      <c r="H833" t="str">
        <f>TEXT(TbDespesas[[#This Row],[data_transacao]], "aaaa-mm")</f>
        <v>2026-04</v>
      </c>
    </row>
    <row r="834" spans="1:8">
      <c r="A834">
        <v>833</v>
      </c>
      <c r="B834" s="1">
        <v>46225</v>
      </c>
      <c r="C834" t="s">
        <v>536</v>
      </c>
      <c r="D834" t="s">
        <v>87</v>
      </c>
      <c r="E834">
        <v>83</v>
      </c>
      <c r="F834">
        <v>12</v>
      </c>
      <c r="G834">
        <v>999</v>
      </c>
      <c r="H834" t="str">
        <f>TEXT(TbDespesas[[#This Row],[data_transacao]], "aaaa-mm")</f>
        <v>2026-07</v>
      </c>
    </row>
    <row r="835" spans="1:8">
      <c r="A835">
        <v>834</v>
      </c>
      <c r="B835" s="1">
        <v>46225</v>
      </c>
      <c r="C835" t="s">
        <v>536</v>
      </c>
      <c r="D835" t="s">
        <v>241</v>
      </c>
      <c r="E835">
        <v>319</v>
      </c>
      <c r="F835">
        <v>0</v>
      </c>
      <c r="G835">
        <v>145</v>
      </c>
      <c r="H835" t="str">
        <f>TEXT(TbDespesas[[#This Row],[data_transacao]], "aaaa-mm")</f>
        <v>2026-07</v>
      </c>
    </row>
    <row r="836" spans="1:8">
      <c r="A836">
        <v>835</v>
      </c>
      <c r="B836" s="1">
        <v>46225</v>
      </c>
      <c r="C836" t="s">
        <v>536</v>
      </c>
      <c r="D836" t="s">
        <v>55</v>
      </c>
      <c r="E836">
        <v>41</v>
      </c>
      <c r="F836">
        <v>43</v>
      </c>
      <c r="G836">
        <v>1797</v>
      </c>
      <c r="H836" t="str">
        <f>TEXT(TbDespesas[[#This Row],[data_transacao]], "aaaa-mm")</f>
        <v>2026-07</v>
      </c>
    </row>
    <row r="837" spans="1:8">
      <c r="A837">
        <v>836</v>
      </c>
      <c r="B837" s="1">
        <v>46225</v>
      </c>
      <c r="C837" t="s">
        <v>536</v>
      </c>
      <c r="D837" t="s">
        <v>229</v>
      </c>
      <c r="E837">
        <v>188</v>
      </c>
      <c r="F837">
        <v>8</v>
      </c>
      <c r="G837">
        <v>1684</v>
      </c>
      <c r="H837" t="str">
        <f>TEXT(TbDespesas[[#This Row],[data_transacao]], "aaaa-mm")</f>
        <v>2026-07</v>
      </c>
    </row>
    <row r="838" spans="1:8">
      <c r="A838">
        <v>837</v>
      </c>
      <c r="B838" s="1">
        <v>46225</v>
      </c>
      <c r="C838" t="s">
        <v>536</v>
      </c>
      <c r="D838" t="s">
        <v>537</v>
      </c>
      <c r="E838">
        <v>63</v>
      </c>
      <c r="F838">
        <v>19</v>
      </c>
      <c r="G838">
        <v>1252</v>
      </c>
      <c r="H838" t="str">
        <f>TEXT(TbDespesas[[#This Row],[data_transacao]], "aaaa-mm")</f>
        <v>2026-07</v>
      </c>
    </row>
    <row r="839" spans="1:8">
      <c r="A839">
        <v>838</v>
      </c>
      <c r="B839" s="1">
        <v>46273</v>
      </c>
      <c r="C839" t="s">
        <v>538</v>
      </c>
      <c r="D839" t="s">
        <v>58</v>
      </c>
      <c r="E839">
        <v>350</v>
      </c>
      <c r="F839">
        <v>2</v>
      </c>
      <c r="G839">
        <v>702</v>
      </c>
      <c r="H839" t="str">
        <f>TEXT(TbDespesas[[#This Row],[data_transacao]], "aaaa-mm")</f>
        <v>2026-09</v>
      </c>
    </row>
    <row r="840" spans="1:8">
      <c r="A840">
        <v>839</v>
      </c>
      <c r="B840" s="1">
        <v>46273</v>
      </c>
      <c r="C840" t="s">
        <v>538</v>
      </c>
      <c r="D840" t="s">
        <v>452</v>
      </c>
      <c r="E840">
        <v>279</v>
      </c>
      <c r="F840">
        <v>8</v>
      </c>
      <c r="G840">
        <v>2370</v>
      </c>
      <c r="H840" t="str">
        <f>TEXT(TbDespesas[[#This Row],[data_transacao]], "aaaa-mm")</f>
        <v>2026-09</v>
      </c>
    </row>
    <row r="841" spans="1:8">
      <c r="A841">
        <v>840</v>
      </c>
      <c r="B841" s="1">
        <v>46273</v>
      </c>
      <c r="C841" t="s">
        <v>538</v>
      </c>
      <c r="D841" t="s">
        <v>71</v>
      </c>
      <c r="E841">
        <v>347</v>
      </c>
      <c r="F841">
        <v>1</v>
      </c>
      <c r="G841">
        <v>407</v>
      </c>
      <c r="H841" t="str">
        <f>TEXT(TbDespesas[[#This Row],[data_transacao]], "aaaa-mm")</f>
        <v>2026-09</v>
      </c>
    </row>
    <row r="842" spans="1:8">
      <c r="A842">
        <v>841</v>
      </c>
      <c r="B842" s="1">
        <v>46273</v>
      </c>
      <c r="C842" t="s">
        <v>538</v>
      </c>
      <c r="D842" t="s">
        <v>539</v>
      </c>
      <c r="E842">
        <v>149</v>
      </c>
      <c r="F842">
        <v>4</v>
      </c>
      <c r="G842">
        <v>613</v>
      </c>
      <c r="H842" t="str">
        <f>TEXT(TbDespesas[[#This Row],[data_transacao]], "aaaa-mm")</f>
        <v>2026-09</v>
      </c>
    </row>
    <row r="843" spans="1:8">
      <c r="A843">
        <v>842</v>
      </c>
      <c r="B843" s="1">
        <v>46273</v>
      </c>
      <c r="C843" t="s">
        <v>538</v>
      </c>
      <c r="D843" t="s">
        <v>540</v>
      </c>
      <c r="E843">
        <v>255</v>
      </c>
      <c r="F843">
        <v>0</v>
      </c>
      <c r="G843">
        <v>60</v>
      </c>
      <c r="H843" t="str">
        <f>TEXT(TbDespesas[[#This Row],[data_transacao]], "aaaa-mm")</f>
        <v>2026-09</v>
      </c>
    </row>
    <row r="844" spans="1:8">
      <c r="A844">
        <v>843</v>
      </c>
      <c r="B844" s="1">
        <v>46273</v>
      </c>
      <c r="C844" t="s">
        <v>538</v>
      </c>
      <c r="D844" t="s">
        <v>91</v>
      </c>
      <c r="E844">
        <v>292</v>
      </c>
      <c r="F844">
        <v>4</v>
      </c>
      <c r="G844">
        <v>1336</v>
      </c>
      <c r="H844" t="str">
        <f>TEXT(TbDespesas[[#This Row],[data_transacao]], "aaaa-mm")</f>
        <v>2026-09</v>
      </c>
    </row>
    <row r="845" spans="1:8">
      <c r="A845">
        <v>844</v>
      </c>
      <c r="B845" s="1">
        <v>46273</v>
      </c>
      <c r="C845" t="s">
        <v>538</v>
      </c>
      <c r="D845" t="s">
        <v>541</v>
      </c>
      <c r="E845">
        <v>122</v>
      </c>
      <c r="F845">
        <v>27</v>
      </c>
      <c r="G845">
        <v>3339</v>
      </c>
      <c r="H845" t="str">
        <f>TEXT(TbDespesas[[#This Row],[data_transacao]], "aaaa-mm")</f>
        <v>2026-09</v>
      </c>
    </row>
    <row r="846" spans="1:8">
      <c r="A846">
        <v>845</v>
      </c>
      <c r="B846" s="1">
        <v>46273</v>
      </c>
      <c r="C846" t="s">
        <v>538</v>
      </c>
      <c r="D846" t="s">
        <v>373</v>
      </c>
      <c r="E846">
        <v>164</v>
      </c>
      <c r="F846">
        <v>9</v>
      </c>
      <c r="G846">
        <v>1577</v>
      </c>
      <c r="H846" t="str">
        <f>TEXT(TbDespesas[[#This Row],[data_transacao]], "aaaa-mm")</f>
        <v>2026-09</v>
      </c>
    </row>
    <row r="847" spans="1:8">
      <c r="A847">
        <v>846</v>
      </c>
      <c r="B847" s="1">
        <v>46273</v>
      </c>
      <c r="C847" t="s">
        <v>538</v>
      </c>
      <c r="D847" t="s">
        <v>542</v>
      </c>
      <c r="E847">
        <v>211</v>
      </c>
      <c r="F847">
        <v>12</v>
      </c>
      <c r="G847">
        <v>2598</v>
      </c>
      <c r="H847" t="str">
        <f>TEXT(TbDespesas[[#This Row],[data_transacao]], "aaaa-mm")</f>
        <v>2026-09</v>
      </c>
    </row>
    <row r="848" spans="1:8">
      <c r="A848">
        <v>847</v>
      </c>
      <c r="B848" s="1">
        <v>46273</v>
      </c>
      <c r="C848" t="s">
        <v>538</v>
      </c>
      <c r="D848" t="s">
        <v>543</v>
      </c>
      <c r="E848">
        <v>138</v>
      </c>
      <c r="F848">
        <v>16</v>
      </c>
      <c r="G848">
        <v>2227</v>
      </c>
      <c r="H848" t="str">
        <f>TEXT(TbDespesas[[#This Row],[data_transacao]], "aaaa-mm")</f>
        <v>2026-09</v>
      </c>
    </row>
    <row r="849" spans="1:8">
      <c r="A849">
        <v>848</v>
      </c>
      <c r="B849" s="1">
        <v>46273</v>
      </c>
      <c r="C849" t="s">
        <v>538</v>
      </c>
      <c r="D849" t="s">
        <v>544</v>
      </c>
      <c r="E849">
        <v>243</v>
      </c>
      <c r="F849">
        <v>6</v>
      </c>
      <c r="G849">
        <v>1464</v>
      </c>
      <c r="H849" t="str">
        <f>TEXT(TbDespesas[[#This Row],[data_transacao]], "aaaa-mm")</f>
        <v>2026-09</v>
      </c>
    </row>
    <row r="850" spans="1:8">
      <c r="A850">
        <v>849</v>
      </c>
      <c r="B850" s="1">
        <v>46273</v>
      </c>
      <c r="C850" t="s">
        <v>538</v>
      </c>
      <c r="D850" t="s">
        <v>166</v>
      </c>
      <c r="E850">
        <v>263</v>
      </c>
      <c r="F850">
        <v>1</v>
      </c>
      <c r="G850">
        <v>377</v>
      </c>
      <c r="H850" t="str">
        <f>TEXT(TbDespesas[[#This Row],[data_transacao]], "aaaa-mm")</f>
        <v>2026-09</v>
      </c>
    </row>
    <row r="851" spans="1:8">
      <c r="A851">
        <v>850</v>
      </c>
      <c r="B851" s="1">
        <v>46044</v>
      </c>
      <c r="C851" t="s">
        <v>524</v>
      </c>
      <c r="D851" t="s">
        <v>260</v>
      </c>
      <c r="E851">
        <v>206</v>
      </c>
      <c r="F851">
        <v>9</v>
      </c>
      <c r="G851">
        <v>2001</v>
      </c>
      <c r="H851" t="str">
        <f>TEXT(TbDespesas[[#This Row],[data_transacao]], "aaaa-mm")</f>
        <v>2026-01</v>
      </c>
    </row>
    <row r="852" spans="1:8">
      <c r="A852">
        <v>851</v>
      </c>
      <c r="B852" s="1">
        <v>46044</v>
      </c>
      <c r="C852" t="s">
        <v>524</v>
      </c>
      <c r="D852" t="s">
        <v>229</v>
      </c>
      <c r="E852">
        <v>238</v>
      </c>
      <c r="F852">
        <v>2</v>
      </c>
      <c r="G852">
        <v>638</v>
      </c>
      <c r="H852" t="str">
        <f>TEXT(TbDespesas[[#This Row],[data_transacao]], "aaaa-mm")</f>
        <v>2026-01</v>
      </c>
    </row>
    <row r="853" spans="1:8">
      <c r="A853">
        <v>852</v>
      </c>
      <c r="B853" s="1">
        <v>46044</v>
      </c>
      <c r="C853" t="s">
        <v>524</v>
      </c>
      <c r="D853" t="s">
        <v>144</v>
      </c>
      <c r="E853">
        <v>167</v>
      </c>
      <c r="F853">
        <v>4</v>
      </c>
      <c r="G853">
        <v>783</v>
      </c>
      <c r="H853" t="str">
        <f>TEXT(TbDespesas[[#This Row],[data_transacao]], "aaaa-mm")</f>
        <v>2026-01</v>
      </c>
    </row>
    <row r="854" spans="1:8">
      <c r="A854">
        <v>853</v>
      </c>
      <c r="B854" s="1">
        <v>45960</v>
      </c>
      <c r="C854" t="s">
        <v>408</v>
      </c>
      <c r="D854" t="s">
        <v>168</v>
      </c>
      <c r="E854">
        <v>323</v>
      </c>
      <c r="F854">
        <v>5</v>
      </c>
      <c r="G854">
        <v>1918</v>
      </c>
      <c r="H854" t="str">
        <f>TEXT(TbDespesas[[#This Row],[data_transacao]], "aaaa-mm")</f>
        <v>2025-10</v>
      </c>
    </row>
    <row r="855" spans="1:8">
      <c r="A855">
        <v>854</v>
      </c>
      <c r="B855" s="1">
        <v>46137</v>
      </c>
      <c r="C855" t="s">
        <v>97</v>
      </c>
      <c r="D855" t="s">
        <v>121</v>
      </c>
      <c r="E855">
        <v>445</v>
      </c>
      <c r="F855">
        <v>3</v>
      </c>
      <c r="G855">
        <v>1752</v>
      </c>
      <c r="H855" t="str">
        <f>TEXT(TbDespesas[[#This Row],[data_transacao]], "aaaa-mm")</f>
        <v>2026-04</v>
      </c>
    </row>
    <row r="856" spans="1:8">
      <c r="A856">
        <v>855</v>
      </c>
      <c r="B856" s="1">
        <v>46137</v>
      </c>
      <c r="C856" t="s">
        <v>97</v>
      </c>
      <c r="D856" t="s">
        <v>545</v>
      </c>
      <c r="E856">
        <v>411</v>
      </c>
      <c r="F856">
        <v>2</v>
      </c>
      <c r="G856">
        <v>947</v>
      </c>
      <c r="H856" t="str">
        <f>TEXT(TbDespesas[[#This Row],[data_transacao]], "aaaa-mm")</f>
        <v>2026-04</v>
      </c>
    </row>
    <row r="857" spans="1:8">
      <c r="A857">
        <v>856</v>
      </c>
      <c r="B857" s="1">
        <v>46137</v>
      </c>
      <c r="C857" t="s">
        <v>97</v>
      </c>
      <c r="D857" t="s">
        <v>52</v>
      </c>
      <c r="E857">
        <v>390</v>
      </c>
      <c r="F857">
        <v>7</v>
      </c>
      <c r="G857">
        <v>2923</v>
      </c>
      <c r="H857" t="str">
        <f>TEXT(TbDespesas[[#This Row],[data_transacao]], "aaaa-mm")</f>
        <v>2026-04</v>
      </c>
    </row>
    <row r="858" spans="1:8">
      <c r="A858">
        <v>857</v>
      </c>
      <c r="B858" s="1">
        <v>45916</v>
      </c>
      <c r="C858" t="s">
        <v>179</v>
      </c>
      <c r="D858" t="s">
        <v>136</v>
      </c>
      <c r="E858">
        <v>88</v>
      </c>
      <c r="F858">
        <v>20</v>
      </c>
      <c r="G858">
        <v>1812</v>
      </c>
      <c r="H858" t="str">
        <f>TEXT(TbDespesas[[#This Row],[data_transacao]], "aaaa-mm")</f>
        <v>2025-09</v>
      </c>
    </row>
    <row r="859" spans="1:8">
      <c r="A859">
        <v>858</v>
      </c>
      <c r="B859" s="1">
        <v>45916</v>
      </c>
      <c r="C859" t="s">
        <v>179</v>
      </c>
      <c r="D859" t="s">
        <v>546</v>
      </c>
      <c r="E859">
        <v>212</v>
      </c>
      <c r="F859">
        <v>12</v>
      </c>
      <c r="G859">
        <v>2679</v>
      </c>
      <c r="H859" t="str">
        <f>TEXT(TbDespesas[[#This Row],[data_transacao]], "aaaa-mm")</f>
        <v>2025-09</v>
      </c>
    </row>
    <row r="860" spans="1:8">
      <c r="A860">
        <v>859</v>
      </c>
      <c r="B860" s="1">
        <v>45916</v>
      </c>
      <c r="C860" t="s">
        <v>179</v>
      </c>
      <c r="D860" t="s">
        <v>547</v>
      </c>
      <c r="E860">
        <v>167</v>
      </c>
      <c r="F860">
        <v>4</v>
      </c>
      <c r="G860">
        <v>693</v>
      </c>
      <c r="H860" t="str">
        <f>TEXT(TbDespesas[[#This Row],[data_transacao]], "aaaa-mm")</f>
        <v>2025-09</v>
      </c>
    </row>
    <row r="861" spans="1:8">
      <c r="A861">
        <v>860</v>
      </c>
      <c r="B861" s="1">
        <v>45916</v>
      </c>
      <c r="C861" t="s">
        <v>179</v>
      </c>
      <c r="D861" t="s">
        <v>174</v>
      </c>
      <c r="E861">
        <v>388</v>
      </c>
      <c r="F861">
        <v>3</v>
      </c>
      <c r="G861">
        <v>1541</v>
      </c>
      <c r="H861" t="str">
        <f>TEXT(TbDespesas[[#This Row],[data_transacao]], "aaaa-mm")</f>
        <v>2025-09</v>
      </c>
    </row>
    <row r="862" spans="1:8">
      <c r="A862">
        <v>861</v>
      </c>
      <c r="B862" s="1">
        <v>45916</v>
      </c>
      <c r="C862" t="s">
        <v>179</v>
      </c>
      <c r="D862" t="s">
        <v>534</v>
      </c>
      <c r="E862">
        <v>58</v>
      </c>
      <c r="F862">
        <v>35</v>
      </c>
      <c r="G862">
        <v>2058</v>
      </c>
      <c r="H862" t="str">
        <f>TEXT(TbDespesas[[#This Row],[data_transacao]], "aaaa-mm")</f>
        <v>2025-09</v>
      </c>
    </row>
    <row r="863" spans="1:8">
      <c r="A863">
        <v>862</v>
      </c>
      <c r="B863" s="1">
        <v>45916</v>
      </c>
      <c r="C863" t="s">
        <v>179</v>
      </c>
      <c r="D863" t="s">
        <v>42</v>
      </c>
      <c r="E863">
        <v>245</v>
      </c>
      <c r="F863">
        <v>13</v>
      </c>
      <c r="G863">
        <v>3428</v>
      </c>
      <c r="H863" t="str">
        <f>TEXT(TbDespesas[[#This Row],[data_transacao]], "aaaa-mm")</f>
        <v>2025-09</v>
      </c>
    </row>
    <row r="864" spans="1:8">
      <c r="A864">
        <v>863</v>
      </c>
      <c r="B864" s="1">
        <v>45916</v>
      </c>
      <c r="C864" t="s">
        <v>179</v>
      </c>
      <c r="D864" t="s">
        <v>401</v>
      </c>
      <c r="E864">
        <v>318</v>
      </c>
      <c r="F864">
        <v>4</v>
      </c>
      <c r="G864">
        <v>1530</v>
      </c>
      <c r="H864" t="str">
        <f>TEXT(TbDespesas[[#This Row],[data_transacao]], "aaaa-mm")</f>
        <v>2025-09</v>
      </c>
    </row>
    <row r="865" spans="1:8">
      <c r="A865">
        <v>864</v>
      </c>
      <c r="B865" s="1">
        <v>45916</v>
      </c>
      <c r="C865" t="s">
        <v>179</v>
      </c>
      <c r="D865" t="s">
        <v>68</v>
      </c>
      <c r="E865">
        <v>157</v>
      </c>
      <c r="F865">
        <v>11</v>
      </c>
      <c r="G865">
        <v>1856</v>
      </c>
      <c r="H865" t="str">
        <f>TEXT(TbDespesas[[#This Row],[data_transacao]], "aaaa-mm")</f>
        <v>2025-09</v>
      </c>
    </row>
    <row r="866" spans="1:8">
      <c r="A866">
        <v>865</v>
      </c>
      <c r="B866" s="1">
        <v>45916</v>
      </c>
      <c r="C866" t="s">
        <v>179</v>
      </c>
      <c r="D866" t="s">
        <v>256</v>
      </c>
      <c r="E866">
        <v>372</v>
      </c>
      <c r="F866">
        <v>6</v>
      </c>
      <c r="G866">
        <v>2286</v>
      </c>
      <c r="H866" t="str">
        <f>TEXT(TbDespesas[[#This Row],[data_transacao]], "aaaa-mm")</f>
        <v>2025-09</v>
      </c>
    </row>
    <row r="867" spans="1:8">
      <c r="A867">
        <v>866</v>
      </c>
      <c r="B867" s="1">
        <v>45916</v>
      </c>
      <c r="C867" t="s">
        <v>179</v>
      </c>
      <c r="D867" t="s">
        <v>61</v>
      </c>
      <c r="E867">
        <v>71</v>
      </c>
      <c r="F867">
        <v>40</v>
      </c>
      <c r="G867">
        <v>2874</v>
      </c>
      <c r="H867" t="str">
        <f>TEXT(TbDespesas[[#This Row],[data_transacao]], "aaaa-mm")</f>
        <v>2025-09</v>
      </c>
    </row>
    <row r="868" spans="1:8">
      <c r="A868">
        <v>867</v>
      </c>
      <c r="B868" s="1">
        <v>45916</v>
      </c>
      <c r="C868" t="s">
        <v>179</v>
      </c>
      <c r="D868" t="s">
        <v>548</v>
      </c>
      <c r="E868">
        <v>387</v>
      </c>
      <c r="F868">
        <v>6</v>
      </c>
      <c r="G868">
        <v>2705</v>
      </c>
      <c r="H868" t="str">
        <f>TEXT(TbDespesas[[#This Row],[data_transacao]], "aaaa-mm")</f>
        <v>2025-09</v>
      </c>
    </row>
    <row r="869" spans="1:8">
      <c r="A869">
        <v>868</v>
      </c>
      <c r="B869" s="1">
        <v>45916</v>
      </c>
      <c r="C869" t="s">
        <v>179</v>
      </c>
      <c r="D869" t="s">
        <v>12</v>
      </c>
      <c r="E869">
        <v>446</v>
      </c>
      <c r="F869">
        <v>0</v>
      </c>
      <c r="G869">
        <v>214</v>
      </c>
      <c r="H869" t="str">
        <f>TEXT(TbDespesas[[#This Row],[data_transacao]], "aaaa-mm")</f>
        <v>2025-09</v>
      </c>
    </row>
    <row r="870" spans="1:8">
      <c r="A870">
        <v>869</v>
      </c>
      <c r="B870" s="1">
        <v>45979</v>
      </c>
      <c r="C870" t="s">
        <v>218</v>
      </c>
      <c r="D870" t="s">
        <v>471</v>
      </c>
      <c r="E870">
        <v>163</v>
      </c>
      <c r="F870">
        <v>21</v>
      </c>
      <c r="G870">
        <v>3517</v>
      </c>
      <c r="H870" t="str">
        <f>TEXT(TbDespesas[[#This Row],[data_transacao]], "aaaa-mm")</f>
        <v>2025-11</v>
      </c>
    </row>
    <row r="871" spans="1:8">
      <c r="A871">
        <v>870</v>
      </c>
      <c r="B871" s="1">
        <v>45994</v>
      </c>
      <c r="C871" t="s">
        <v>549</v>
      </c>
      <c r="D871" t="s">
        <v>140</v>
      </c>
      <c r="E871">
        <v>178</v>
      </c>
      <c r="F871">
        <v>10</v>
      </c>
      <c r="G871">
        <v>1943</v>
      </c>
      <c r="H871" t="str">
        <f>TEXT(TbDespesas[[#This Row],[data_transacao]], "aaaa-mm")</f>
        <v>2025-12</v>
      </c>
    </row>
    <row r="872" spans="1:8">
      <c r="A872">
        <v>871</v>
      </c>
      <c r="B872" s="1">
        <v>45994</v>
      </c>
      <c r="C872" t="s">
        <v>549</v>
      </c>
      <c r="D872" t="s">
        <v>550</v>
      </c>
      <c r="E872">
        <v>324</v>
      </c>
      <c r="F872">
        <v>8</v>
      </c>
      <c r="G872">
        <v>2639</v>
      </c>
      <c r="H872" t="str">
        <f>TEXT(TbDespesas[[#This Row],[data_transacao]], "aaaa-mm")</f>
        <v>2025-12</v>
      </c>
    </row>
    <row r="873" spans="1:8">
      <c r="A873">
        <v>872</v>
      </c>
      <c r="B873" s="1">
        <v>45994</v>
      </c>
      <c r="C873" t="s">
        <v>549</v>
      </c>
      <c r="D873" t="s">
        <v>131</v>
      </c>
      <c r="E873">
        <v>204</v>
      </c>
      <c r="F873">
        <v>1</v>
      </c>
      <c r="G873">
        <v>224</v>
      </c>
      <c r="H873" t="str">
        <f>TEXT(TbDespesas[[#This Row],[data_transacao]], "aaaa-mm")</f>
        <v>2025-12</v>
      </c>
    </row>
    <row r="874" spans="1:8">
      <c r="A874">
        <v>873</v>
      </c>
      <c r="B874" s="1">
        <v>45994</v>
      </c>
      <c r="C874" t="s">
        <v>549</v>
      </c>
      <c r="D874" t="s">
        <v>231</v>
      </c>
      <c r="E874">
        <v>225</v>
      </c>
      <c r="F874">
        <v>9</v>
      </c>
      <c r="G874">
        <v>2045</v>
      </c>
      <c r="H874" t="str">
        <f>TEXT(TbDespesas[[#This Row],[data_transacao]], "aaaa-mm")</f>
        <v>2025-12</v>
      </c>
    </row>
    <row r="875" spans="1:8">
      <c r="A875">
        <v>874</v>
      </c>
      <c r="B875" s="1">
        <v>45994</v>
      </c>
      <c r="C875" t="s">
        <v>549</v>
      </c>
      <c r="D875" t="s">
        <v>92</v>
      </c>
      <c r="E875">
        <v>65</v>
      </c>
      <c r="F875">
        <v>9</v>
      </c>
      <c r="G875">
        <v>601</v>
      </c>
      <c r="H875" t="str">
        <f>TEXT(TbDespesas[[#This Row],[data_transacao]], "aaaa-mm")</f>
        <v>2025-12</v>
      </c>
    </row>
    <row r="876" spans="1:8">
      <c r="A876">
        <v>875</v>
      </c>
      <c r="B876" s="1">
        <v>45994</v>
      </c>
      <c r="C876" t="s">
        <v>549</v>
      </c>
      <c r="D876" t="s">
        <v>26</v>
      </c>
      <c r="E876">
        <v>51</v>
      </c>
      <c r="F876">
        <v>47</v>
      </c>
      <c r="G876">
        <v>2419</v>
      </c>
      <c r="H876" t="str">
        <f>TEXT(TbDespesas[[#This Row],[data_transacao]], "aaaa-mm")</f>
        <v>2025-12</v>
      </c>
    </row>
    <row r="877" spans="1:8">
      <c r="A877">
        <v>876</v>
      </c>
      <c r="B877" s="1">
        <v>45994</v>
      </c>
      <c r="C877" t="s">
        <v>549</v>
      </c>
      <c r="D877" t="s">
        <v>306</v>
      </c>
      <c r="E877">
        <v>329</v>
      </c>
      <c r="F877">
        <v>3</v>
      </c>
      <c r="G877">
        <v>1160</v>
      </c>
      <c r="H877" t="str">
        <f>TEXT(TbDespesas[[#This Row],[data_transacao]], "aaaa-mm")</f>
        <v>2025-12</v>
      </c>
    </row>
    <row r="878" spans="1:8">
      <c r="A878">
        <v>877</v>
      </c>
      <c r="B878" s="1">
        <v>45994</v>
      </c>
      <c r="C878" t="s">
        <v>549</v>
      </c>
      <c r="D878" t="s">
        <v>445</v>
      </c>
      <c r="E878">
        <v>264</v>
      </c>
      <c r="F878">
        <v>3</v>
      </c>
      <c r="G878">
        <v>1052</v>
      </c>
      <c r="H878" t="str">
        <f>TEXT(TbDespesas[[#This Row],[data_transacao]], "aaaa-mm")</f>
        <v>2025-12</v>
      </c>
    </row>
    <row r="879" spans="1:8">
      <c r="A879">
        <v>878</v>
      </c>
      <c r="B879" s="1">
        <v>45994</v>
      </c>
      <c r="C879" t="s">
        <v>549</v>
      </c>
      <c r="D879" t="s">
        <v>461</v>
      </c>
      <c r="E879">
        <v>361</v>
      </c>
      <c r="F879">
        <v>7</v>
      </c>
      <c r="G879">
        <v>2585</v>
      </c>
      <c r="H879" t="str">
        <f>TEXT(TbDespesas[[#This Row],[data_transacao]], "aaaa-mm")</f>
        <v>2025-12</v>
      </c>
    </row>
    <row r="880" spans="1:8">
      <c r="A880">
        <v>879</v>
      </c>
      <c r="B880" s="1">
        <v>46075</v>
      </c>
      <c r="C880" t="s">
        <v>200</v>
      </c>
      <c r="D880" t="s">
        <v>551</v>
      </c>
      <c r="E880">
        <v>351</v>
      </c>
      <c r="F880">
        <v>6</v>
      </c>
      <c r="G880">
        <v>2300</v>
      </c>
      <c r="H880" t="str">
        <f>TEXT(TbDespesas[[#This Row],[data_transacao]], "aaaa-mm")</f>
        <v>2026-02</v>
      </c>
    </row>
    <row r="881" spans="1:8">
      <c r="A881">
        <v>880</v>
      </c>
      <c r="B881" s="1">
        <v>46186</v>
      </c>
      <c r="C881" t="s">
        <v>552</v>
      </c>
      <c r="D881" t="s">
        <v>26</v>
      </c>
      <c r="E881">
        <v>45</v>
      </c>
      <c r="F881">
        <v>38</v>
      </c>
      <c r="G881">
        <v>1740</v>
      </c>
      <c r="H881" t="str">
        <f>TEXT(TbDespesas[[#This Row],[data_transacao]], "aaaa-mm")</f>
        <v>2026-06</v>
      </c>
    </row>
    <row r="882" spans="1:8">
      <c r="A882">
        <v>881</v>
      </c>
      <c r="B882" s="1">
        <v>46186</v>
      </c>
      <c r="C882" t="s">
        <v>552</v>
      </c>
      <c r="D882" t="s">
        <v>553</v>
      </c>
      <c r="E882">
        <v>253</v>
      </c>
      <c r="F882">
        <v>3</v>
      </c>
      <c r="G882">
        <v>844</v>
      </c>
      <c r="H882" t="str">
        <f>TEXT(TbDespesas[[#This Row],[data_transacao]], "aaaa-mm")</f>
        <v>2026-06</v>
      </c>
    </row>
    <row r="883" spans="1:8">
      <c r="A883">
        <v>882</v>
      </c>
      <c r="B883" s="1">
        <v>46186</v>
      </c>
      <c r="C883" t="s">
        <v>552</v>
      </c>
      <c r="D883" t="s">
        <v>554</v>
      </c>
      <c r="E883">
        <v>155</v>
      </c>
      <c r="F883">
        <v>22</v>
      </c>
      <c r="G883">
        <v>3531</v>
      </c>
      <c r="H883" t="str">
        <f>TEXT(TbDespesas[[#This Row],[data_transacao]], "aaaa-mm")</f>
        <v>2026-06</v>
      </c>
    </row>
    <row r="884" spans="1:8">
      <c r="A884">
        <v>883</v>
      </c>
      <c r="B884" s="1">
        <v>46186</v>
      </c>
      <c r="C884" t="s">
        <v>552</v>
      </c>
      <c r="D884" t="s">
        <v>518</v>
      </c>
      <c r="E884">
        <v>26</v>
      </c>
      <c r="F884">
        <v>61</v>
      </c>
      <c r="G884">
        <v>1603</v>
      </c>
      <c r="H884" t="str">
        <f>TEXT(TbDespesas[[#This Row],[data_transacao]], "aaaa-mm")</f>
        <v>2026-06</v>
      </c>
    </row>
    <row r="885" spans="1:8">
      <c r="A885">
        <v>884</v>
      </c>
      <c r="B885" s="1">
        <v>46186</v>
      </c>
      <c r="C885" t="s">
        <v>552</v>
      </c>
      <c r="D885" t="s">
        <v>535</v>
      </c>
      <c r="E885">
        <v>130</v>
      </c>
      <c r="F885">
        <v>12</v>
      </c>
      <c r="G885">
        <v>1610</v>
      </c>
      <c r="H885" t="str">
        <f>TEXT(TbDespesas[[#This Row],[data_transacao]], "aaaa-mm")</f>
        <v>2026-06</v>
      </c>
    </row>
    <row r="886" spans="1:8">
      <c r="A886">
        <v>885</v>
      </c>
      <c r="B886" s="1">
        <v>46186</v>
      </c>
      <c r="C886" t="s">
        <v>552</v>
      </c>
      <c r="D886" t="s">
        <v>105</v>
      </c>
      <c r="E886">
        <v>77</v>
      </c>
      <c r="F886">
        <v>17</v>
      </c>
      <c r="G886">
        <v>1380</v>
      </c>
      <c r="H886" t="str">
        <f>TEXT(TbDespesas[[#This Row],[data_transacao]], "aaaa-mm")</f>
        <v>2026-06</v>
      </c>
    </row>
    <row r="887" spans="1:8">
      <c r="A887">
        <v>886</v>
      </c>
      <c r="B887" s="1">
        <v>46186</v>
      </c>
      <c r="C887" t="s">
        <v>552</v>
      </c>
      <c r="D887" t="s">
        <v>288</v>
      </c>
      <c r="E887">
        <v>24</v>
      </c>
      <c r="F887">
        <v>94</v>
      </c>
      <c r="G887">
        <v>2272</v>
      </c>
      <c r="H887" t="str">
        <f>TEXT(TbDespesas[[#This Row],[data_transacao]], "aaaa-mm")</f>
        <v>2026-06</v>
      </c>
    </row>
    <row r="888" spans="1:8">
      <c r="A888">
        <v>887</v>
      </c>
      <c r="B888" s="1">
        <v>46186</v>
      </c>
      <c r="C888" t="s">
        <v>552</v>
      </c>
      <c r="D888" t="s">
        <v>163</v>
      </c>
      <c r="E888">
        <v>17</v>
      </c>
      <c r="F888">
        <v>80</v>
      </c>
      <c r="G888">
        <v>1360</v>
      </c>
      <c r="H888" t="str">
        <f>TEXT(TbDespesas[[#This Row],[data_transacao]], "aaaa-mm")</f>
        <v>2026-06</v>
      </c>
    </row>
    <row r="889" spans="1:8">
      <c r="A889">
        <v>888</v>
      </c>
      <c r="B889" s="1">
        <v>46186</v>
      </c>
      <c r="C889" t="s">
        <v>552</v>
      </c>
      <c r="D889" t="s">
        <v>527</v>
      </c>
      <c r="E889">
        <v>259</v>
      </c>
      <c r="F889">
        <v>0</v>
      </c>
      <c r="G889">
        <v>246</v>
      </c>
      <c r="H889" t="str">
        <f>TEXT(TbDespesas[[#This Row],[data_transacao]], "aaaa-mm")</f>
        <v>2026-06</v>
      </c>
    </row>
    <row r="890" spans="1:8">
      <c r="A890">
        <v>889</v>
      </c>
      <c r="B890" s="1">
        <v>46186</v>
      </c>
      <c r="C890" t="s">
        <v>552</v>
      </c>
      <c r="D890" t="s">
        <v>355</v>
      </c>
      <c r="E890">
        <v>355</v>
      </c>
      <c r="F890">
        <v>7</v>
      </c>
      <c r="G890">
        <v>2806</v>
      </c>
      <c r="H890" t="str">
        <f>TEXT(TbDespesas[[#This Row],[data_transacao]], "aaaa-mm")</f>
        <v>2026-06</v>
      </c>
    </row>
    <row r="891" spans="1:8">
      <c r="A891">
        <v>890</v>
      </c>
      <c r="B891" s="1">
        <v>46186</v>
      </c>
      <c r="C891" t="s">
        <v>552</v>
      </c>
      <c r="D891" t="s">
        <v>434</v>
      </c>
      <c r="E891">
        <v>73</v>
      </c>
      <c r="F891">
        <v>43</v>
      </c>
      <c r="G891">
        <v>3154</v>
      </c>
      <c r="H891" t="str">
        <f>TEXT(TbDespesas[[#This Row],[data_transacao]], "aaaa-mm")</f>
        <v>2026-06</v>
      </c>
    </row>
    <row r="892" spans="1:8">
      <c r="A892">
        <v>891</v>
      </c>
      <c r="B892" s="1">
        <v>46186</v>
      </c>
      <c r="C892" t="s">
        <v>552</v>
      </c>
      <c r="D892" t="s">
        <v>203</v>
      </c>
      <c r="E892">
        <v>191</v>
      </c>
      <c r="F892">
        <v>9</v>
      </c>
      <c r="G892">
        <v>1796</v>
      </c>
      <c r="H892" t="str">
        <f>TEXT(TbDespesas[[#This Row],[data_transacao]], "aaaa-mm")</f>
        <v>2026-06</v>
      </c>
    </row>
    <row r="893" spans="1:8">
      <c r="A893">
        <v>892</v>
      </c>
      <c r="B893" s="1">
        <v>46026</v>
      </c>
      <c r="C893" t="s">
        <v>310</v>
      </c>
      <c r="D893" t="s">
        <v>398</v>
      </c>
      <c r="E893">
        <v>54</v>
      </c>
      <c r="F893">
        <v>23</v>
      </c>
      <c r="G893">
        <v>1268</v>
      </c>
      <c r="H893" t="str">
        <f>TEXT(TbDespesas[[#This Row],[data_transacao]], "aaaa-mm")</f>
        <v>2026-01</v>
      </c>
    </row>
    <row r="894" spans="1:8">
      <c r="A894">
        <v>893</v>
      </c>
      <c r="B894" s="1">
        <v>46026</v>
      </c>
      <c r="C894" t="s">
        <v>310</v>
      </c>
      <c r="D894" t="s">
        <v>452</v>
      </c>
      <c r="E894">
        <v>454</v>
      </c>
      <c r="F894">
        <v>0</v>
      </c>
      <c r="G894">
        <v>256</v>
      </c>
      <c r="H894" t="str">
        <f>TEXT(TbDespesas[[#This Row],[data_transacao]], "aaaa-mm")</f>
        <v>2026-01</v>
      </c>
    </row>
    <row r="895" spans="1:8">
      <c r="A895">
        <v>894</v>
      </c>
      <c r="B895" s="1">
        <v>46026</v>
      </c>
      <c r="C895" t="s">
        <v>310</v>
      </c>
      <c r="D895" t="s">
        <v>555</v>
      </c>
      <c r="E895">
        <v>478</v>
      </c>
      <c r="F895">
        <v>7</v>
      </c>
      <c r="G895">
        <v>3639</v>
      </c>
      <c r="H895" t="str">
        <f>TEXT(TbDespesas[[#This Row],[data_transacao]], "aaaa-mm")</f>
        <v>2026-01</v>
      </c>
    </row>
    <row r="896" spans="1:8">
      <c r="A896">
        <v>895</v>
      </c>
      <c r="B896" s="1">
        <v>46026</v>
      </c>
      <c r="C896" t="s">
        <v>310</v>
      </c>
      <c r="D896" t="s">
        <v>136</v>
      </c>
      <c r="E896">
        <v>188</v>
      </c>
      <c r="F896">
        <v>8</v>
      </c>
      <c r="G896">
        <v>1675</v>
      </c>
      <c r="H896" t="str">
        <f>TEXT(TbDespesas[[#This Row],[data_transacao]], "aaaa-mm")</f>
        <v>2026-01</v>
      </c>
    </row>
    <row r="897" spans="1:8">
      <c r="A897">
        <v>896</v>
      </c>
      <c r="B897" s="1">
        <v>46026</v>
      </c>
      <c r="C897" t="s">
        <v>310</v>
      </c>
      <c r="D897" t="s">
        <v>158</v>
      </c>
      <c r="E897">
        <v>211</v>
      </c>
      <c r="F897">
        <v>13</v>
      </c>
      <c r="G897">
        <v>2944</v>
      </c>
      <c r="H897" t="str">
        <f>TEXT(TbDespesas[[#This Row],[data_transacao]], "aaaa-mm")</f>
        <v>2026-01</v>
      </c>
    </row>
    <row r="898" spans="1:8">
      <c r="A898">
        <v>897</v>
      </c>
      <c r="B898" s="1">
        <v>46026</v>
      </c>
      <c r="C898" t="s">
        <v>310</v>
      </c>
      <c r="D898" t="s">
        <v>556</v>
      </c>
      <c r="E898">
        <v>201</v>
      </c>
      <c r="F898">
        <v>9</v>
      </c>
      <c r="G898">
        <v>1991</v>
      </c>
      <c r="H898" t="str">
        <f>TEXT(TbDespesas[[#This Row],[data_transacao]], "aaaa-mm")</f>
        <v>2026-01</v>
      </c>
    </row>
    <row r="899" spans="1:8">
      <c r="A899">
        <v>898</v>
      </c>
      <c r="B899" s="1">
        <v>46026</v>
      </c>
      <c r="C899" t="s">
        <v>310</v>
      </c>
      <c r="D899" t="s">
        <v>557</v>
      </c>
      <c r="E899">
        <v>413</v>
      </c>
      <c r="F899">
        <v>8</v>
      </c>
      <c r="G899">
        <v>3408</v>
      </c>
      <c r="H899" t="str">
        <f>TEXT(TbDespesas[[#This Row],[data_transacao]], "aaaa-mm")</f>
        <v>2026-01</v>
      </c>
    </row>
    <row r="900" spans="1:8">
      <c r="A900">
        <v>899</v>
      </c>
      <c r="B900" s="1">
        <v>46026</v>
      </c>
      <c r="C900" t="s">
        <v>310</v>
      </c>
      <c r="D900" t="s">
        <v>282</v>
      </c>
      <c r="E900">
        <v>11</v>
      </c>
      <c r="F900">
        <v>371</v>
      </c>
      <c r="G900">
        <v>4084</v>
      </c>
      <c r="H900" t="str">
        <f>TEXT(TbDespesas[[#This Row],[data_transacao]], "aaaa-mm")</f>
        <v>2026-01</v>
      </c>
    </row>
    <row r="901" spans="1:8">
      <c r="A901">
        <v>900</v>
      </c>
      <c r="B901" s="1">
        <v>45969</v>
      </c>
      <c r="C901" t="s">
        <v>192</v>
      </c>
      <c r="D901" t="s">
        <v>337</v>
      </c>
      <c r="E901">
        <v>462</v>
      </c>
      <c r="F901">
        <v>3</v>
      </c>
      <c r="G901">
        <v>1717</v>
      </c>
      <c r="H901" t="str">
        <f>TEXT(TbDespesas[[#This Row],[data_transacao]], "aaaa-mm")</f>
        <v>2025-11</v>
      </c>
    </row>
    <row r="902" spans="1:8">
      <c r="A902">
        <v>901</v>
      </c>
      <c r="B902" s="1">
        <v>45969</v>
      </c>
      <c r="C902" t="s">
        <v>192</v>
      </c>
      <c r="D902" t="s">
        <v>558</v>
      </c>
      <c r="E902">
        <v>141</v>
      </c>
      <c r="F902">
        <v>18</v>
      </c>
      <c r="G902">
        <v>2645</v>
      </c>
      <c r="H902" t="str">
        <f>TEXT(TbDespesas[[#This Row],[data_transacao]], "aaaa-mm")</f>
        <v>2025-11</v>
      </c>
    </row>
    <row r="903" spans="1:8">
      <c r="A903">
        <v>902</v>
      </c>
      <c r="B903" s="1">
        <v>45969</v>
      </c>
      <c r="C903" t="s">
        <v>192</v>
      </c>
      <c r="D903" t="s">
        <v>559</v>
      </c>
      <c r="E903">
        <v>326</v>
      </c>
      <c r="F903">
        <v>4</v>
      </c>
      <c r="G903">
        <v>1453</v>
      </c>
      <c r="H903" t="str">
        <f>TEXT(TbDespesas[[#This Row],[data_transacao]], "aaaa-mm")</f>
        <v>2025-11</v>
      </c>
    </row>
    <row r="904" spans="1:8">
      <c r="A904">
        <v>903</v>
      </c>
      <c r="B904" s="1">
        <v>46016</v>
      </c>
      <c r="C904" t="s">
        <v>93</v>
      </c>
      <c r="D904" t="s">
        <v>323</v>
      </c>
      <c r="E904">
        <v>65</v>
      </c>
      <c r="F904">
        <v>40</v>
      </c>
      <c r="G904">
        <v>2611</v>
      </c>
      <c r="H904" t="str">
        <f>TEXT(TbDespesas[[#This Row],[data_transacao]], "aaaa-mm")</f>
        <v>2025-12</v>
      </c>
    </row>
    <row r="905" spans="1:8">
      <c r="A905">
        <v>904</v>
      </c>
      <c r="B905" s="1">
        <v>46014</v>
      </c>
      <c r="C905" t="s">
        <v>560</v>
      </c>
      <c r="D905" t="s">
        <v>427</v>
      </c>
      <c r="E905">
        <v>146</v>
      </c>
      <c r="F905">
        <v>3</v>
      </c>
      <c r="G905">
        <v>565</v>
      </c>
      <c r="H905" t="str">
        <f>TEXT(TbDespesas[[#This Row],[data_transacao]], "aaaa-mm")</f>
        <v>2025-12</v>
      </c>
    </row>
    <row r="906" spans="1:8">
      <c r="A906">
        <v>905</v>
      </c>
      <c r="B906" s="1">
        <v>46046</v>
      </c>
      <c r="C906" t="s">
        <v>443</v>
      </c>
      <c r="D906" t="s">
        <v>561</v>
      </c>
      <c r="E906">
        <v>177</v>
      </c>
      <c r="F906">
        <v>6</v>
      </c>
      <c r="G906">
        <v>1092</v>
      </c>
      <c r="H906" t="str">
        <f>TEXT(TbDespesas[[#This Row],[data_transacao]], "aaaa-mm")</f>
        <v>2026-01</v>
      </c>
    </row>
    <row r="907" spans="1:8">
      <c r="A907">
        <v>906</v>
      </c>
      <c r="B907" s="1">
        <v>46046</v>
      </c>
      <c r="C907" t="s">
        <v>443</v>
      </c>
      <c r="D907" t="s">
        <v>562</v>
      </c>
      <c r="E907">
        <v>115</v>
      </c>
      <c r="F907">
        <v>37</v>
      </c>
      <c r="G907">
        <v>4313</v>
      </c>
      <c r="H907" t="str">
        <f>TEXT(TbDespesas[[#This Row],[data_transacao]], "aaaa-mm")</f>
        <v>2026-01</v>
      </c>
    </row>
    <row r="908" spans="1:8">
      <c r="A908">
        <v>907</v>
      </c>
      <c r="B908" s="1">
        <v>46046</v>
      </c>
      <c r="C908" t="s">
        <v>443</v>
      </c>
      <c r="D908" t="s">
        <v>320</v>
      </c>
      <c r="E908">
        <v>297</v>
      </c>
      <c r="F908">
        <v>9</v>
      </c>
      <c r="G908">
        <v>2917</v>
      </c>
      <c r="H908" t="str">
        <f>TEXT(TbDespesas[[#This Row],[data_transacao]], "aaaa-mm")</f>
        <v>2026-01</v>
      </c>
    </row>
    <row r="909" spans="1:8">
      <c r="A909">
        <v>908</v>
      </c>
      <c r="B909" s="1">
        <v>46046</v>
      </c>
      <c r="C909" t="s">
        <v>443</v>
      </c>
      <c r="D909" t="s">
        <v>563</v>
      </c>
      <c r="E909">
        <v>424</v>
      </c>
      <c r="F909">
        <v>5</v>
      </c>
      <c r="G909">
        <v>2527</v>
      </c>
      <c r="H909" t="str">
        <f>TEXT(TbDespesas[[#This Row],[data_transacao]], "aaaa-mm")</f>
        <v>2026-01</v>
      </c>
    </row>
    <row r="910" spans="1:8">
      <c r="A910">
        <v>909</v>
      </c>
      <c r="B910" s="1">
        <v>46046</v>
      </c>
      <c r="C910" t="s">
        <v>443</v>
      </c>
      <c r="D910" t="s">
        <v>515</v>
      </c>
      <c r="E910">
        <v>409</v>
      </c>
      <c r="F910">
        <v>5</v>
      </c>
      <c r="G910">
        <v>2391</v>
      </c>
      <c r="H910" t="str">
        <f>TEXT(TbDespesas[[#This Row],[data_transacao]], "aaaa-mm")</f>
        <v>2026-01</v>
      </c>
    </row>
    <row r="911" spans="1:8">
      <c r="A911">
        <v>910</v>
      </c>
      <c r="B911" s="1">
        <v>46046</v>
      </c>
      <c r="C911" t="s">
        <v>443</v>
      </c>
      <c r="D911" t="s">
        <v>564</v>
      </c>
      <c r="E911">
        <v>430</v>
      </c>
      <c r="F911">
        <v>0</v>
      </c>
      <c r="G911">
        <v>279</v>
      </c>
      <c r="H911" t="str">
        <f>TEXT(TbDespesas[[#This Row],[data_transacao]], "aaaa-mm")</f>
        <v>2026-01</v>
      </c>
    </row>
    <row r="912" spans="1:8">
      <c r="A912">
        <v>911</v>
      </c>
      <c r="B912" s="1">
        <v>46046</v>
      </c>
      <c r="C912" t="s">
        <v>443</v>
      </c>
      <c r="D912" t="s">
        <v>497</v>
      </c>
      <c r="E912">
        <v>249</v>
      </c>
      <c r="F912">
        <v>10</v>
      </c>
      <c r="G912">
        <v>2679</v>
      </c>
      <c r="H912" t="str">
        <f>TEXT(TbDespesas[[#This Row],[data_transacao]], "aaaa-mm")</f>
        <v>2026-01</v>
      </c>
    </row>
    <row r="913" spans="1:8">
      <c r="A913">
        <v>912</v>
      </c>
      <c r="B913" s="1">
        <v>46046</v>
      </c>
      <c r="C913" t="s">
        <v>443</v>
      </c>
      <c r="D913" t="s">
        <v>565</v>
      </c>
      <c r="E913">
        <v>87</v>
      </c>
      <c r="F913">
        <v>52</v>
      </c>
      <c r="G913">
        <v>4586</v>
      </c>
      <c r="H913" t="str">
        <f>TEXT(TbDespesas[[#This Row],[data_transacao]], "aaaa-mm")</f>
        <v>2026-01</v>
      </c>
    </row>
    <row r="914" spans="1:8">
      <c r="A914">
        <v>913</v>
      </c>
      <c r="B914" s="1">
        <v>46046</v>
      </c>
      <c r="C914" t="s">
        <v>443</v>
      </c>
      <c r="D914" t="s">
        <v>566</v>
      </c>
      <c r="E914">
        <v>156</v>
      </c>
      <c r="F914">
        <v>10</v>
      </c>
      <c r="G914">
        <v>1577</v>
      </c>
      <c r="H914" t="str">
        <f>TEXT(TbDespesas[[#This Row],[data_transacao]], "aaaa-mm")</f>
        <v>2026-01</v>
      </c>
    </row>
    <row r="915" spans="1:8">
      <c r="A915">
        <v>914</v>
      </c>
      <c r="B915" s="1">
        <v>46213</v>
      </c>
      <c r="C915" t="s">
        <v>521</v>
      </c>
      <c r="D915" t="s">
        <v>58</v>
      </c>
      <c r="E915">
        <v>271</v>
      </c>
      <c r="F915">
        <v>6</v>
      </c>
      <c r="G915">
        <v>1666</v>
      </c>
      <c r="H915" t="str">
        <f>TEXT(TbDespesas[[#This Row],[data_transacao]], "aaaa-mm")</f>
        <v>2026-07</v>
      </c>
    </row>
    <row r="916" spans="1:8">
      <c r="A916">
        <v>915</v>
      </c>
      <c r="B916" s="1">
        <v>46213</v>
      </c>
      <c r="C916" t="s">
        <v>521</v>
      </c>
      <c r="D916" t="s">
        <v>157</v>
      </c>
      <c r="E916">
        <v>393</v>
      </c>
      <c r="F916">
        <v>0</v>
      </c>
      <c r="G916">
        <v>281</v>
      </c>
      <c r="H916" t="str">
        <f>TEXT(TbDespesas[[#This Row],[data_transacao]], "aaaa-mm")</f>
        <v>2026-07</v>
      </c>
    </row>
    <row r="917" spans="1:8">
      <c r="A917">
        <v>916</v>
      </c>
      <c r="B917" s="1">
        <v>46213</v>
      </c>
      <c r="C917" t="s">
        <v>521</v>
      </c>
      <c r="D917" t="s">
        <v>170</v>
      </c>
      <c r="E917">
        <v>69</v>
      </c>
      <c r="F917">
        <v>13</v>
      </c>
      <c r="G917">
        <v>899</v>
      </c>
      <c r="H917" t="str">
        <f>TEXT(TbDespesas[[#This Row],[data_transacao]], "aaaa-mm")</f>
        <v>2026-07</v>
      </c>
    </row>
    <row r="918" spans="1:8">
      <c r="A918">
        <v>917</v>
      </c>
      <c r="B918" s="1">
        <v>46213</v>
      </c>
      <c r="C918" t="s">
        <v>521</v>
      </c>
      <c r="D918" t="s">
        <v>302</v>
      </c>
      <c r="E918">
        <v>307</v>
      </c>
      <c r="F918">
        <v>3</v>
      </c>
      <c r="G918">
        <v>1061</v>
      </c>
      <c r="H918" t="str">
        <f>TEXT(TbDespesas[[#This Row],[data_transacao]], "aaaa-mm")</f>
        <v>2026-07</v>
      </c>
    </row>
    <row r="919" spans="1:8">
      <c r="A919">
        <v>918</v>
      </c>
      <c r="B919" s="1">
        <v>46213</v>
      </c>
      <c r="C919" t="s">
        <v>521</v>
      </c>
      <c r="D919" t="s">
        <v>487</v>
      </c>
      <c r="E919">
        <v>20</v>
      </c>
      <c r="F919">
        <v>142</v>
      </c>
      <c r="G919">
        <v>2841</v>
      </c>
      <c r="H919" t="str">
        <f>TEXT(TbDespesas[[#This Row],[data_transacao]], "aaaa-mm")</f>
        <v>2026-07</v>
      </c>
    </row>
    <row r="920" spans="1:8">
      <c r="A920">
        <v>919</v>
      </c>
      <c r="B920" s="1">
        <v>46213</v>
      </c>
      <c r="C920" t="s">
        <v>521</v>
      </c>
      <c r="D920" t="s">
        <v>315</v>
      </c>
      <c r="E920">
        <v>345</v>
      </c>
      <c r="F920">
        <v>6</v>
      </c>
      <c r="G920">
        <v>2099</v>
      </c>
      <c r="H920" t="str">
        <f>TEXT(TbDespesas[[#This Row],[data_transacao]], "aaaa-mm")</f>
        <v>2026-07</v>
      </c>
    </row>
    <row r="921" spans="1:8">
      <c r="A921">
        <v>920</v>
      </c>
      <c r="B921" s="1">
        <v>46213</v>
      </c>
      <c r="C921" t="s">
        <v>521</v>
      </c>
      <c r="D921" t="s">
        <v>272</v>
      </c>
      <c r="E921">
        <v>139</v>
      </c>
      <c r="F921">
        <v>4</v>
      </c>
      <c r="G921">
        <v>686</v>
      </c>
      <c r="H921" t="str">
        <f>TEXT(TbDespesas[[#This Row],[data_transacao]], "aaaa-mm")</f>
        <v>2026-07</v>
      </c>
    </row>
    <row r="922" spans="1:8">
      <c r="A922">
        <v>921</v>
      </c>
      <c r="B922" s="1">
        <v>46213</v>
      </c>
      <c r="C922" t="s">
        <v>521</v>
      </c>
      <c r="D922" t="s">
        <v>322</v>
      </c>
      <c r="E922">
        <v>14</v>
      </c>
      <c r="F922">
        <v>13</v>
      </c>
      <c r="G922">
        <v>183</v>
      </c>
      <c r="H922" t="str">
        <f>TEXT(TbDespesas[[#This Row],[data_transacao]], "aaaa-mm")</f>
        <v>2026-07</v>
      </c>
    </row>
    <row r="923" spans="1:8">
      <c r="A923">
        <v>922</v>
      </c>
      <c r="B923" s="1">
        <v>46213</v>
      </c>
      <c r="C923" t="s">
        <v>521</v>
      </c>
      <c r="D923" t="s">
        <v>264</v>
      </c>
      <c r="E923">
        <v>406</v>
      </c>
      <c r="F923">
        <v>9</v>
      </c>
      <c r="G923">
        <v>3909</v>
      </c>
      <c r="H923" t="str">
        <f>TEXT(TbDespesas[[#This Row],[data_transacao]], "aaaa-mm")</f>
        <v>2026-07</v>
      </c>
    </row>
    <row r="924" spans="1:8">
      <c r="A924">
        <v>923</v>
      </c>
      <c r="B924" s="1">
        <v>46009</v>
      </c>
      <c r="C924" t="s">
        <v>521</v>
      </c>
      <c r="D924" t="s">
        <v>152</v>
      </c>
      <c r="E924">
        <v>241</v>
      </c>
      <c r="F924">
        <v>0</v>
      </c>
      <c r="G924">
        <v>227</v>
      </c>
      <c r="H924" t="str">
        <f>TEXT(TbDespesas[[#This Row],[data_transacao]], "aaaa-mm")</f>
        <v>2025-12</v>
      </c>
    </row>
    <row r="925" spans="1:8">
      <c r="A925">
        <v>924</v>
      </c>
      <c r="B925" s="1">
        <v>46009</v>
      </c>
      <c r="C925" t="s">
        <v>521</v>
      </c>
      <c r="D925" t="s">
        <v>82</v>
      </c>
      <c r="E925">
        <v>459</v>
      </c>
      <c r="F925">
        <v>2</v>
      </c>
      <c r="G925">
        <v>1074</v>
      </c>
      <c r="H925" t="str">
        <f>TEXT(TbDespesas[[#This Row],[data_transacao]], "aaaa-mm")</f>
        <v>2025-12</v>
      </c>
    </row>
    <row r="926" spans="1:8">
      <c r="A926">
        <v>925</v>
      </c>
      <c r="B926" s="1">
        <v>46009</v>
      </c>
      <c r="C926" t="s">
        <v>521</v>
      </c>
      <c r="D926" t="s">
        <v>567</v>
      </c>
      <c r="E926">
        <v>190</v>
      </c>
      <c r="F926">
        <v>8</v>
      </c>
      <c r="G926">
        <v>1570</v>
      </c>
      <c r="H926" t="str">
        <f>TEXT(TbDespesas[[#This Row],[data_transacao]], "aaaa-mm")</f>
        <v>2025-12</v>
      </c>
    </row>
    <row r="927" spans="1:8">
      <c r="A927">
        <v>926</v>
      </c>
      <c r="B927" s="1">
        <v>46009</v>
      </c>
      <c r="C927" t="s">
        <v>521</v>
      </c>
      <c r="D927" t="s">
        <v>568</v>
      </c>
      <c r="E927">
        <v>337</v>
      </c>
      <c r="F927">
        <v>0</v>
      </c>
      <c r="G927">
        <v>107</v>
      </c>
      <c r="H927" t="str">
        <f>TEXT(TbDespesas[[#This Row],[data_transacao]], "aaaa-mm")</f>
        <v>2025-12</v>
      </c>
    </row>
    <row r="928" spans="1:8">
      <c r="A928">
        <v>927</v>
      </c>
      <c r="B928" s="1">
        <v>46009</v>
      </c>
      <c r="C928" t="s">
        <v>521</v>
      </c>
      <c r="D928" t="s">
        <v>258</v>
      </c>
      <c r="E928">
        <v>266</v>
      </c>
      <c r="F928">
        <v>7</v>
      </c>
      <c r="G928">
        <v>1989</v>
      </c>
      <c r="H928" t="str">
        <f>TEXT(TbDespesas[[#This Row],[data_transacao]], "aaaa-mm")</f>
        <v>2025-12</v>
      </c>
    </row>
    <row r="929" spans="1:8">
      <c r="A929">
        <v>928</v>
      </c>
      <c r="B929" s="1">
        <v>46075</v>
      </c>
      <c r="C929" t="s">
        <v>569</v>
      </c>
      <c r="D929" t="s">
        <v>562</v>
      </c>
      <c r="E929">
        <v>460</v>
      </c>
      <c r="F929">
        <v>2</v>
      </c>
      <c r="G929">
        <v>1025</v>
      </c>
      <c r="H929" t="str">
        <f>TEXT(TbDespesas[[#This Row],[data_transacao]], "aaaa-mm")</f>
        <v>2026-02</v>
      </c>
    </row>
    <row r="930" spans="1:8">
      <c r="A930">
        <v>929</v>
      </c>
      <c r="B930" s="1">
        <v>46075</v>
      </c>
      <c r="C930" t="s">
        <v>569</v>
      </c>
      <c r="D930" t="s">
        <v>120</v>
      </c>
      <c r="E930">
        <v>367</v>
      </c>
      <c r="F930">
        <v>3</v>
      </c>
      <c r="G930">
        <v>1142</v>
      </c>
      <c r="H930" t="str">
        <f>TEXT(TbDespesas[[#This Row],[data_transacao]], "aaaa-mm")</f>
        <v>2026-02</v>
      </c>
    </row>
    <row r="931" spans="1:8">
      <c r="A931">
        <v>930</v>
      </c>
      <c r="B931" s="1">
        <v>46075</v>
      </c>
      <c r="C931" t="s">
        <v>569</v>
      </c>
      <c r="D931" t="s">
        <v>25</v>
      </c>
      <c r="E931">
        <v>419</v>
      </c>
      <c r="F931">
        <v>5</v>
      </c>
      <c r="G931">
        <v>2137</v>
      </c>
      <c r="H931" t="str">
        <f>TEXT(TbDespesas[[#This Row],[data_transacao]], "aaaa-mm")</f>
        <v>2026-02</v>
      </c>
    </row>
    <row r="932" spans="1:8">
      <c r="A932">
        <v>931</v>
      </c>
      <c r="B932" s="1">
        <v>46075</v>
      </c>
      <c r="C932" t="s">
        <v>569</v>
      </c>
      <c r="D932" t="s">
        <v>306</v>
      </c>
      <c r="E932">
        <v>332</v>
      </c>
      <c r="F932">
        <v>4</v>
      </c>
      <c r="G932">
        <v>1400</v>
      </c>
      <c r="H932" t="str">
        <f>TEXT(TbDespesas[[#This Row],[data_transacao]], "aaaa-mm")</f>
        <v>2026-02</v>
      </c>
    </row>
    <row r="933" spans="1:8">
      <c r="A933">
        <v>932</v>
      </c>
      <c r="B933" s="1">
        <v>46075</v>
      </c>
      <c r="C933" t="s">
        <v>569</v>
      </c>
      <c r="D933" t="s">
        <v>414</v>
      </c>
      <c r="E933">
        <v>466</v>
      </c>
      <c r="F933">
        <v>4</v>
      </c>
      <c r="G933">
        <v>1984</v>
      </c>
      <c r="H933" t="str">
        <f>TEXT(TbDespesas[[#This Row],[data_transacao]], "aaaa-mm")</f>
        <v>2026-02</v>
      </c>
    </row>
    <row r="934" spans="1:8">
      <c r="A934">
        <v>933</v>
      </c>
      <c r="B934" s="1">
        <v>46075</v>
      </c>
      <c r="C934" t="s">
        <v>569</v>
      </c>
      <c r="D934" t="s">
        <v>75</v>
      </c>
      <c r="E934">
        <v>138</v>
      </c>
      <c r="F934">
        <v>11</v>
      </c>
      <c r="G934">
        <v>1518</v>
      </c>
      <c r="H934" t="str">
        <f>TEXT(TbDespesas[[#This Row],[data_transacao]], "aaaa-mm")</f>
        <v>2026-02</v>
      </c>
    </row>
    <row r="935" spans="1:8">
      <c r="A935">
        <v>934</v>
      </c>
      <c r="B935" s="1">
        <v>46075</v>
      </c>
      <c r="C935" t="s">
        <v>569</v>
      </c>
      <c r="D935" t="s">
        <v>553</v>
      </c>
      <c r="E935">
        <v>362</v>
      </c>
      <c r="F935">
        <v>2</v>
      </c>
      <c r="G935">
        <v>830</v>
      </c>
      <c r="H935" t="str">
        <f>TEXT(TbDespesas[[#This Row],[data_transacao]], "aaaa-mm")</f>
        <v>2026-02</v>
      </c>
    </row>
    <row r="936" spans="1:8">
      <c r="A936">
        <v>935</v>
      </c>
      <c r="B936" s="1">
        <v>46075</v>
      </c>
      <c r="C936" t="s">
        <v>569</v>
      </c>
      <c r="D936" t="s">
        <v>156</v>
      </c>
      <c r="E936">
        <v>99</v>
      </c>
      <c r="F936">
        <v>0</v>
      </c>
      <c r="G936">
        <v>24</v>
      </c>
      <c r="H936" t="str">
        <f>TEXT(TbDespesas[[#This Row],[data_transacao]], "aaaa-mm")</f>
        <v>2026-02</v>
      </c>
    </row>
    <row r="937" spans="1:8">
      <c r="A937">
        <v>936</v>
      </c>
      <c r="B937" s="1">
        <v>46075</v>
      </c>
      <c r="C937" t="s">
        <v>569</v>
      </c>
      <c r="D937" t="s">
        <v>155</v>
      </c>
      <c r="E937">
        <v>463</v>
      </c>
      <c r="F937">
        <v>7</v>
      </c>
      <c r="G937">
        <v>3645</v>
      </c>
      <c r="H937" t="str">
        <f>TEXT(TbDespesas[[#This Row],[data_transacao]], "aaaa-mm")</f>
        <v>2026-02</v>
      </c>
    </row>
    <row r="938" spans="1:8">
      <c r="A938">
        <v>937</v>
      </c>
      <c r="B938" s="1">
        <v>46075</v>
      </c>
      <c r="C938" t="s">
        <v>569</v>
      </c>
      <c r="D938" t="s">
        <v>570</v>
      </c>
      <c r="E938">
        <v>327</v>
      </c>
      <c r="F938">
        <v>3</v>
      </c>
      <c r="G938">
        <v>1275</v>
      </c>
      <c r="H938" t="str">
        <f>TEXT(TbDespesas[[#This Row],[data_transacao]], "aaaa-mm")</f>
        <v>2026-02</v>
      </c>
    </row>
    <row r="939" spans="1:8">
      <c r="A939">
        <v>938</v>
      </c>
      <c r="B939" s="1">
        <v>45987</v>
      </c>
      <c r="C939" t="s">
        <v>504</v>
      </c>
      <c r="D939" t="s">
        <v>201</v>
      </c>
      <c r="E939">
        <v>314</v>
      </c>
      <c r="F939">
        <v>2</v>
      </c>
      <c r="G939">
        <v>750</v>
      </c>
      <c r="H939" t="str">
        <f>TEXT(TbDespesas[[#This Row],[data_transacao]], "aaaa-mm")</f>
        <v>2025-11</v>
      </c>
    </row>
    <row r="940" spans="1:8">
      <c r="A940">
        <v>939</v>
      </c>
      <c r="B940" s="1">
        <v>45987</v>
      </c>
      <c r="C940" t="s">
        <v>504</v>
      </c>
      <c r="D940" t="s">
        <v>571</v>
      </c>
      <c r="E940">
        <v>434</v>
      </c>
      <c r="F940">
        <v>2</v>
      </c>
      <c r="G940">
        <v>1297</v>
      </c>
      <c r="H940" t="str">
        <f>TEXT(TbDespesas[[#This Row],[data_transacao]], "aaaa-mm")</f>
        <v>2025-11</v>
      </c>
    </row>
    <row r="941" spans="1:8">
      <c r="A941">
        <v>940</v>
      </c>
      <c r="B941" s="1">
        <v>45987</v>
      </c>
      <c r="C941" t="s">
        <v>504</v>
      </c>
      <c r="D941" t="s">
        <v>67</v>
      </c>
      <c r="E941">
        <v>119</v>
      </c>
      <c r="F941">
        <v>21</v>
      </c>
      <c r="G941">
        <v>2535</v>
      </c>
      <c r="H941" t="str">
        <f>TEXT(TbDespesas[[#This Row],[data_transacao]], "aaaa-mm")</f>
        <v>2025-11</v>
      </c>
    </row>
    <row r="942" spans="1:8">
      <c r="A942">
        <v>941</v>
      </c>
      <c r="B942" s="1">
        <v>45987</v>
      </c>
      <c r="C942" t="s">
        <v>504</v>
      </c>
      <c r="D942" t="s">
        <v>298</v>
      </c>
      <c r="E942">
        <v>234</v>
      </c>
      <c r="F942">
        <v>10</v>
      </c>
      <c r="G942">
        <v>2473</v>
      </c>
      <c r="H942" t="str">
        <f>TEXT(TbDespesas[[#This Row],[data_transacao]], "aaaa-mm")</f>
        <v>2025-11</v>
      </c>
    </row>
    <row r="943" spans="1:8">
      <c r="A943">
        <v>942</v>
      </c>
      <c r="B943" s="1">
        <v>45987</v>
      </c>
      <c r="C943" t="s">
        <v>504</v>
      </c>
      <c r="D943" t="s">
        <v>140</v>
      </c>
      <c r="E943">
        <v>59</v>
      </c>
      <c r="F943">
        <v>8</v>
      </c>
      <c r="G943">
        <v>472</v>
      </c>
      <c r="H943" t="str">
        <f>TEXT(TbDespesas[[#This Row],[data_transacao]], "aaaa-mm")</f>
        <v>2025-11</v>
      </c>
    </row>
    <row r="944" spans="1:8">
      <c r="A944">
        <v>943</v>
      </c>
      <c r="B944" s="1">
        <v>45987</v>
      </c>
      <c r="C944" t="s">
        <v>504</v>
      </c>
      <c r="D944" t="s">
        <v>572</v>
      </c>
      <c r="E944">
        <v>166</v>
      </c>
      <c r="F944">
        <v>6</v>
      </c>
      <c r="G944">
        <v>1144</v>
      </c>
      <c r="H944" t="str">
        <f>TEXT(TbDespesas[[#This Row],[data_transacao]], "aaaa-mm")</f>
        <v>2025-11</v>
      </c>
    </row>
    <row r="945" spans="1:8">
      <c r="A945">
        <v>944</v>
      </c>
      <c r="B945" s="1">
        <v>46030</v>
      </c>
      <c r="C945" t="s">
        <v>319</v>
      </c>
      <c r="D945" t="s">
        <v>481</v>
      </c>
      <c r="E945">
        <v>200</v>
      </c>
      <c r="F945">
        <v>12</v>
      </c>
      <c r="G945">
        <v>2562</v>
      </c>
      <c r="H945" t="str">
        <f>TEXT(TbDespesas[[#This Row],[data_transacao]], "aaaa-mm")</f>
        <v>2026-01</v>
      </c>
    </row>
    <row r="946" spans="1:8">
      <c r="A946">
        <v>945</v>
      </c>
      <c r="B946" s="1">
        <v>46030</v>
      </c>
      <c r="C946" t="s">
        <v>319</v>
      </c>
      <c r="D946" t="s">
        <v>573</v>
      </c>
      <c r="E946">
        <v>293</v>
      </c>
      <c r="F946">
        <v>3</v>
      </c>
      <c r="G946">
        <v>1012</v>
      </c>
      <c r="H946" t="str">
        <f>TEXT(TbDespesas[[#This Row],[data_transacao]], "aaaa-mm")</f>
        <v>2026-01</v>
      </c>
    </row>
    <row r="947" spans="1:8">
      <c r="A947">
        <v>946</v>
      </c>
      <c r="B947" s="1">
        <v>46030</v>
      </c>
      <c r="C947" t="s">
        <v>319</v>
      </c>
      <c r="D947" t="s">
        <v>62</v>
      </c>
      <c r="E947">
        <v>450</v>
      </c>
      <c r="F947">
        <v>5</v>
      </c>
      <c r="G947">
        <v>2620</v>
      </c>
      <c r="H947" t="str">
        <f>TEXT(TbDespesas[[#This Row],[data_transacao]], "aaaa-mm")</f>
        <v>2026-01</v>
      </c>
    </row>
    <row r="948" spans="1:8">
      <c r="A948">
        <v>947</v>
      </c>
      <c r="B948" s="1">
        <v>46030</v>
      </c>
      <c r="C948" t="s">
        <v>319</v>
      </c>
      <c r="D948" t="s">
        <v>199</v>
      </c>
      <c r="E948">
        <v>186</v>
      </c>
      <c r="F948">
        <v>13</v>
      </c>
      <c r="G948">
        <v>2598</v>
      </c>
      <c r="H948" t="str">
        <f>TEXT(TbDespesas[[#This Row],[data_transacao]], "aaaa-mm")</f>
        <v>2026-01</v>
      </c>
    </row>
    <row r="949" spans="1:8">
      <c r="A949">
        <v>948</v>
      </c>
      <c r="B949" s="1">
        <v>46030</v>
      </c>
      <c r="C949" t="s">
        <v>319</v>
      </c>
      <c r="D949" t="s">
        <v>131</v>
      </c>
      <c r="E949">
        <v>236</v>
      </c>
      <c r="F949">
        <v>6</v>
      </c>
      <c r="G949">
        <v>1558</v>
      </c>
      <c r="H949" t="str">
        <f>TEXT(TbDespesas[[#This Row],[data_transacao]], "aaaa-mm")</f>
        <v>2026-01</v>
      </c>
    </row>
    <row r="950" spans="1:8">
      <c r="A950">
        <v>949</v>
      </c>
      <c r="B950" s="1">
        <v>46030</v>
      </c>
      <c r="C950" t="s">
        <v>319</v>
      </c>
      <c r="D950" t="s">
        <v>113</v>
      </c>
      <c r="E950">
        <v>468</v>
      </c>
      <c r="F950">
        <v>4</v>
      </c>
      <c r="G950">
        <v>2290</v>
      </c>
      <c r="H950" t="str">
        <f>TEXT(TbDespesas[[#This Row],[data_transacao]], "aaaa-mm")</f>
        <v>2026-01</v>
      </c>
    </row>
    <row r="951" spans="1:8">
      <c r="A951">
        <v>950</v>
      </c>
      <c r="B951" s="1">
        <v>46030</v>
      </c>
      <c r="C951" t="s">
        <v>319</v>
      </c>
      <c r="D951" t="s">
        <v>574</v>
      </c>
      <c r="E951">
        <v>266</v>
      </c>
      <c r="F951">
        <v>4</v>
      </c>
      <c r="G951">
        <v>1269</v>
      </c>
      <c r="H951" t="str">
        <f>TEXT(TbDespesas[[#This Row],[data_transacao]], "aaaa-mm")</f>
        <v>2026-01</v>
      </c>
    </row>
    <row r="952" spans="1:8">
      <c r="A952">
        <v>951</v>
      </c>
      <c r="B952" s="1">
        <v>46075</v>
      </c>
      <c r="C952" t="s">
        <v>287</v>
      </c>
      <c r="D952" t="s">
        <v>111</v>
      </c>
      <c r="E952">
        <v>323</v>
      </c>
      <c r="F952">
        <v>8</v>
      </c>
      <c r="G952">
        <v>2695</v>
      </c>
      <c r="H952" t="str">
        <f>TEXT(TbDespesas[[#This Row],[data_transacao]], "aaaa-mm")</f>
        <v>2026-02</v>
      </c>
    </row>
    <row r="953" spans="1:8">
      <c r="A953">
        <v>952</v>
      </c>
      <c r="B953" s="1">
        <v>46075</v>
      </c>
      <c r="C953" t="s">
        <v>287</v>
      </c>
      <c r="D953" t="s">
        <v>511</v>
      </c>
      <c r="E953">
        <v>445</v>
      </c>
      <c r="F953">
        <v>0</v>
      </c>
      <c r="G953">
        <v>88</v>
      </c>
      <c r="H953" t="str">
        <f>TEXT(TbDespesas[[#This Row],[data_transacao]], "aaaa-mm")</f>
        <v>2026-02</v>
      </c>
    </row>
    <row r="954" spans="1:8">
      <c r="A954">
        <v>953</v>
      </c>
      <c r="B954" s="1">
        <v>46075</v>
      </c>
      <c r="C954" t="s">
        <v>287</v>
      </c>
      <c r="D954" t="s">
        <v>217</v>
      </c>
      <c r="E954">
        <v>221</v>
      </c>
      <c r="F954">
        <v>14</v>
      </c>
      <c r="G954">
        <v>3223</v>
      </c>
      <c r="H954" t="str">
        <f>TEXT(TbDespesas[[#This Row],[data_transacao]], "aaaa-mm")</f>
        <v>2026-02</v>
      </c>
    </row>
    <row r="955" spans="1:8">
      <c r="A955">
        <v>954</v>
      </c>
      <c r="B955" s="1">
        <v>46103</v>
      </c>
      <c r="C955" t="s">
        <v>575</v>
      </c>
      <c r="D955" t="s">
        <v>576</v>
      </c>
      <c r="E955">
        <v>315</v>
      </c>
      <c r="F955">
        <v>3</v>
      </c>
      <c r="G955">
        <v>1054</v>
      </c>
      <c r="H955" t="str">
        <f>TEXT(TbDespesas[[#This Row],[data_transacao]], "aaaa-mm")</f>
        <v>2026-03</v>
      </c>
    </row>
    <row r="956" spans="1:8">
      <c r="A956">
        <v>955</v>
      </c>
      <c r="B956" s="1">
        <v>45973</v>
      </c>
      <c r="C956" t="s">
        <v>210</v>
      </c>
      <c r="D956" t="s">
        <v>516</v>
      </c>
      <c r="E956">
        <v>367</v>
      </c>
      <c r="F956">
        <v>6</v>
      </c>
      <c r="G956">
        <v>2508</v>
      </c>
      <c r="H956" t="str">
        <f>TEXT(TbDespesas[[#This Row],[data_transacao]], "aaaa-mm")</f>
        <v>2025-11</v>
      </c>
    </row>
    <row r="957" spans="1:8">
      <c r="A957">
        <v>956</v>
      </c>
      <c r="B957" s="1">
        <v>45973</v>
      </c>
      <c r="C957" t="s">
        <v>210</v>
      </c>
      <c r="D957" t="s">
        <v>359</v>
      </c>
      <c r="E957">
        <v>365</v>
      </c>
      <c r="F957">
        <v>6</v>
      </c>
      <c r="G957">
        <v>2510</v>
      </c>
      <c r="H957" t="str">
        <f>TEXT(TbDespesas[[#This Row],[data_transacao]], "aaaa-mm")</f>
        <v>2025-11</v>
      </c>
    </row>
    <row r="958" spans="1:8">
      <c r="A958">
        <v>957</v>
      </c>
      <c r="B958" s="1">
        <v>45973</v>
      </c>
      <c r="C958" t="s">
        <v>210</v>
      </c>
      <c r="D958" t="s">
        <v>577</v>
      </c>
      <c r="E958">
        <v>380</v>
      </c>
      <c r="F958">
        <v>8</v>
      </c>
      <c r="G958">
        <v>3281</v>
      </c>
      <c r="H958" t="str">
        <f>TEXT(TbDespesas[[#This Row],[data_transacao]], "aaaa-mm")</f>
        <v>2025-11</v>
      </c>
    </row>
    <row r="959" spans="1:8">
      <c r="A959">
        <v>958</v>
      </c>
      <c r="B959" s="1">
        <v>45944</v>
      </c>
      <c r="C959" t="s">
        <v>578</v>
      </c>
      <c r="D959" t="s">
        <v>547</v>
      </c>
      <c r="E959">
        <v>383</v>
      </c>
      <c r="F959">
        <v>8</v>
      </c>
      <c r="G959">
        <v>3154</v>
      </c>
      <c r="H959" t="str">
        <f>TEXT(TbDespesas[[#This Row],[data_transacao]], "aaaa-mm")</f>
        <v>2025-10</v>
      </c>
    </row>
    <row r="960" spans="1:8">
      <c r="A960">
        <v>959</v>
      </c>
      <c r="B960" s="1">
        <v>45944</v>
      </c>
      <c r="C960" t="s">
        <v>578</v>
      </c>
      <c r="D960" t="s">
        <v>523</v>
      </c>
      <c r="E960">
        <v>456</v>
      </c>
      <c r="F960">
        <v>5</v>
      </c>
      <c r="G960">
        <v>2453</v>
      </c>
      <c r="H960" t="str">
        <f>TEXT(TbDespesas[[#This Row],[data_transacao]], "aaaa-mm")</f>
        <v>2025-10</v>
      </c>
    </row>
    <row r="961" spans="1:8">
      <c r="A961">
        <v>960</v>
      </c>
      <c r="B961" s="1">
        <v>45944</v>
      </c>
      <c r="C961" t="s">
        <v>578</v>
      </c>
      <c r="D961" t="s">
        <v>458</v>
      </c>
      <c r="E961">
        <v>381</v>
      </c>
      <c r="F961">
        <v>2</v>
      </c>
      <c r="G961">
        <v>986</v>
      </c>
      <c r="H961" t="str">
        <f>TEXT(TbDespesas[[#This Row],[data_transacao]], "aaaa-mm")</f>
        <v>2025-10</v>
      </c>
    </row>
    <row r="962" spans="1:8">
      <c r="A962">
        <v>961</v>
      </c>
      <c r="B962" s="1">
        <v>45944</v>
      </c>
      <c r="C962" t="s">
        <v>578</v>
      </c>
      <c r="D962" t="s">
        <v>8</v>
      </c>
      <c r="E962">
        <v>314</v>
      </c>
      <c r="F962">
        <v>5</v>
      </c>
      <c r="G962">
        <v>1801</v>
      </c>
      <c r="H962" t="str">
        <f>TEXT(TbDespesas[[#This Row],[data_transacao]], "aaaa-mm")</f>
        <v>2025-10</v>
      </c>
    </row>
    <row r="963" spans="1:8">
      <c r="A963">
        <v>962</v>
      </c>
      <c r="B963" s="1">
        <v>45944</v>
      </c>
      <c r="C963" t="s">
        <v>578</v>
      </c>
      <c r="D963" t="s">
        <v>199</v>
      </c>
      <c r="E963">
        <v>459</v>
      </c>
      <c r="F963">
        <v>0</v>
      </c>
      <c r="G963">
        <v>354</v>
      </c>
      <c r="H963" t="str">
        <f>TEXT(TbDespesas[[#This Row],[data_transacao]], "aaaa-mm")</f>
        <v>2025-10</v>
      </c>
    </row>
    <row r="964" spans="1:8">
      <c r="A964">
        <v>963</v>
      </c>
      <c r="B964" s="1">
        <v>45944</v>
      </c>
      <c r="C964" t="s">
        <v>578</v>
      </c>
      <c r="D964" t="s">
        <v>516</v>
      </c>
      <c r="E964">
        <v>130</v>
      </c>
      <c r="F964">
        <v>5</v>
      </c>
      <c r="G964">
        <v>659</v>
      </c>
      <c r="H964" t="str">
        <f>TEXT(TbDespesas[[#This Row],[data_transacao]], "aaaa-mm")</f>
        <v>2025-10</v>
      </c>
    </row>
    <row r="965" spans="1:8">
      <c r="A965">
        <v>964</v>
      </c>
      <c r="B965" s="1">
        <v>45944</v>
      </c>
      <c r="C965" t="s">
        <v>578</v>
      </c>
      <c r="D965" t="s">
        <v>364</v>
      </c>
      <c r="E965">
        <v>328</v>
      </c>
      <c r="F965">
        <v>5</v>
      </c>
      <c r="G965">
        <v>1877</v>
      </c>
      <c r="H965" t="str">
        <f>TEXT(TbDespesas[[#This Row],[data_transacao]], "aaaa-mm")</f>
        <v>2025-10</v>
      </c>
    </row>
    <row r="966" spans="1:8">
      <c r="A966">
        <v>965</v>
      </c>
      <c r="B966" s="1">
        <v>45944</v>
      </c>
      <c r="C966" t="s">
        <v>578</v>
      </c>
      <c r="D966" t="s">
        <v>442</v>
      </c>
      <c r="E966">
        <v>315</v>
      </c>
      <c r="F966">
        <v>8</v>
      </c>
      <c r="G966">
        <v>2830</v>
      </c>
      <c r="H966" t="str">
        <f>TEXT(TbDespesas[[#This Row],[data_transacao]], "aaaa-mm")</f>
        <v>2025-10</v>
      </c>
    </row>
    <row r="967" spans="1:8">
      <c r="A967">
        <v>966</v>
      </c>
      <c r="B967" s="1">
        <v>46251</v>
      </c>
      <c r="C967" t="s">
        <v>437</v>
      </c>
      <c r="D967" t="s">
        <v>579</v>
      </c>
      <c r="E967">
        <v>477</v>
      </c>
      <c r="F967">
        <v>1</v>
      </c>
      <c r="G967">
        <v>737</v>
      </c>
      <c r="H967" t="str">
        <f>TEXT(TbDespesas[[#This Row],[data_transacao]], "aaaa-mm")</f>
        <v>2026-08</v>
      </c>
    </row>
    <row r="968" spans="1:8">
      <c r="A968">
        <v>967</v>
      </c>
      <c r="B968" s="1">
        <v>46251</v>
      </c>
      <c r="C968" t="s">
        <v>437</v>
      </c>
      <c r="D968" t="s">
        <v>27</v>
      </c>
      <c r="E968">
        <v>221</v>
      </c>
      <c r="F968">
        <v>23</v>
      </c>
      <c r="G968">
        <v>5097</v>
      </c>
      <c r="H968" t="str">
        <f>TEXT(TbDespesas[[#This Row],[data_transacao]], "aaaa-mm")</f>
        <v>2026-08</v>
      </c>
    </row>
    <row r="969" spans="1:8">
      <c r="A969">
        <v>968</v>
      </c>
      <c r="B969" s="1">
        <v>46251</v>
      </c>
      <c r="C969" t="s">
        <v>437</v>
      </c>
      <c r="D969" t="s">
        <v>332</v>
      </c>
      <c r="E969">
        <v>170</v>
      </c>
      <c r="F969">
        <v>11</v>
      </c>
      <c r="G969">
        <v>2010</v>
      </c>
      <c r="H969" t="str">
        <f>TEXT(TbDespesas[[#This Row],[data_transacao]], "aaaa-mm")</f>
        <v>2026-08</v>
      </c>
    </row>
    <row r="970" spans="1:8">
      <c r="A970">
        <v>969</v>
      </c>
      <c r="B970" s="1">
        <v>46093</v>
      </c>
      <c r="C970" t="s">
        <v>580</v>
      </c>
      <c r="D970" t="s">
        <v>320</v>
      </c>
      <c r="E970">
        <v>104</v>
      </c>
      <c r="F970">
        <v>6</v>
      </c>
      <c r="G970">
        <v>650</v>
      </c>
      <c r="H970" t="str">
        <f>TEXT(TbDespesas[[#This Row],[data_transacao]], "aaaa-mm")</f>
        <v>2026-03</v>
      </c>
    </row>
    <row r="971" spans="1:8">
      <c r="A971">
        <v>970</v>
      </c>
      <c r="B971" s="1">
        <v>46093</v>
      </c>
      <c r="C971" t="s">
        <v>580</v>
      </c>
      <c r="D971" t="s">
        <v>515</v>
      </c>
      <c r="E971">
        <v>107</v>
      </c>
      <c r="F971">
        <v>31</v>
      </c>
      <c r="G971">
        <v>3385</v>
      </c>
      <c r="H971" t="str">
        <f>TEXT(TbDespesas[[#This Row],[data_transacao]], "aaaa-mm")</f>
        <v>2026-03</v>
      </c>
    </row>
    <row r="972" spans="1:8">
      <c r="A972">
        <v>971</v>
      </c>
      <c r="B972" s="1">
        <v>46093</v>
      </c>
      <c r="C972" t="s">
        <v>580</v>
      </c>
      <c r="D972" t="s">
        <v>581</v>
      </c>
      <c r="E972">
        <v>385</v>
      </c>
      <c r="F972">
        <v>5</v>
      </c>
      <c r="G972">
        <v>2039</v>
      </c>
      <c r="H972" t="str">
        <f>TEXT(TbDespesas[[#This Row],[data_transacao]], "aaaa-mm")</f>
        <v>2026-03</v>
      </c>
    </row>
    <row r="973" spans="1:8">
      <c r="A973">
        <v>972</v>
      </c>
      <c r="B973" s="1">
        <v>46093</v>
      </c>
      <c r="C973" t="s">
        <v>580</v>
      </c>
      <c r="D973" t="s">
        <v>89</v>
      </c>
      <c r="E973">
        <v>450</v>
      </c>
      <c r="F973">
        <v>9</v>
      </c>
      <c r="G973">
        <v>4163</v>
      </c>
      <c r="H973" t="str">
        <f>TEXT(TbDespesas[[#This Row],[data_transacao]], "aaaa-mm")</f>
        <v>2026-03</v>
      </c>
    </row>
    <row r="974" spans="1:8">
      <c r="A974">
        <v>973</v>
      </c>
      <c r="B974" s="1">
        <v>46093</v>
      </c>
      <c r="C974" t="s">
        <v>580</v>
      </c>
      <c r="D974" t="s">
        <v>386</v>
      </c>
      <c r="E974">
        <v>412</v>
      </c>
      <c r="F974">
        <v>1</v>
      </c>
      <c r="G974">
        <v>434</v>
      </c>
      <c r="H974" t="str">
        <f>TEXT(TbDespesas[[#This Row],[data_transacao]], "aaaa-mm")</f>
        <v>2026-03</v>
      </c>
    </row>
    <row r="975" spans="1:8">
      <c r="A975">
        <v>974</v>
      </c>
      <c r="B975" s="1">
        <v>46218</v>
      </c>
      <c r="C975" t="s">
        <v>384</v>
      </c>
      <c r="D975" t="s">
        <v>388</v>
      </c>
      <c r="E975">
        <v>100</v>
      </c>
      <c r="F975">
        <v>16</v>
      </c>
      <c r="G975">
        <v>1653</v>
      </c>
      <c r="H975" t="str">
        <f>TEXT(TbDespesas[[#This Row],[data_transacao]], "aaaa-mm")</f>
        <v>2026-07</v>
      </c>
    </row>
    <row r="976" spans="1:8">
      <c r="A976">
        <v>975</v>
      </c>
      <c r="B976" s="1">
        <v>46218</v>
      </c>
      <c r="C976" t="s">
        <v>384</v>
      </c>
      <c r="D976" t="s">
        <v>379</v>
      </c>
      <c r="E976">
        <v>369</v>
      </c>
      <c r="F976">
        <v>4</v>
      </c>
      <c r="G976">
        <v>1567</v>
      </c>
      <c r="H976" t="str">
        <f>TEXT(TbDespesas[[#This Row],[data_transacao]], "aaaa-mm")</f>
        <v>2026-07</v>
      </c>
    </row>
    <row r="977" spans="1:8">
      <c r="A977">
        <v>976</v>
      </c>
      <c r="B977" s="1">
        <v>46218</v>
      </c>
      <c r="C977" t="s">
        <v>384</v>
      </c>
      <c r="D977" t="s">
        <v>108</v>
      </c>
      <c r="E977">
        <v>275</v>
      </c>
      <c r="F977">
        <v>1</v>
      </c>
      <c r="G977">
        <v>369</v>
      </c>
      <c r="H977" t="str">
        <f>TEXT(TbDespesas[[#This Row],[data_transacao]], "aaaa-mm")</f>
        <v>2026-07</v>
      </c>
    </row>
    <row r="978" spans="1:8">
      <c r="A978">
        <v>977</v>
      </c>
      <c r="B978" s="1">
        <v>46218</v>
      </c>
      <c r="C978" t="s">
        <v>384</v>
      </c>
      <c r="D978" t="s">
        <v>299</v>
      </c>
      <c r="E978">
        <v>410</v>
      </c>
      <c r="F978">
        <v>2</v>
      </c>
      <c r="G978">
        <v>1218</v>
      </c>
      <c r="H978" t="str">
        <f>TEXT(TbDespesas[[#This Row],[data_transacao]], "aaaa-mm")</f>
        <v>2026-07</v>
      </c>
    </row>
    <row r="979" spans="1:8">
      <c r="A979">
        <v>978</v>
      </c>
      <c r="B979" s="1">
        <v>46218</v>
      </c>
      <c r="C979" t="s">
        <v>384</v>
      </c>
      <c r="D979" t="s">
        <v>209</v>
      </c>
      <c r="E979">
        <v>307</v>
      </c>
      <c r="F979">
        <v>10</v>
      </c>
      <c r="G979">
        <v>3106</v>
      </c>
      <c r="H979" t="str">
        <f>TEXT(TbDespesas[[#This Row],[data_transacao]], "aaaa-mm")</f>
        <v>2026-07</v>
      </c>
    </row>
    <row r="980" spans="1:8">
      <c r="A980">
        <v>979</v>
      </c>
      <c r="B980" s="1">
        <v>45943</v>
      </c>
      <c r="C980" t="s">
        <v>485</v>
      </c>
      <c r="D980" t="s">
        <v>341</v>
      </c>
      <c r="E980">
        <v>441</v>
      </c>
      <c r="F980">
        <v>5</v>
      </c>
      <c r="G980">
        <v>2614</v>
      </c>
      <c r="H980" t="str">
        <f>TEXT(TbDespesas[[#This Row],[data_transacao]], "aaaa-mm")</f>
        <v>2025-10</v>
      </c>
    </row>
    <row r="981" spans="1:8">
      <c r="A981">
        <v>980</v>
      </c>
      <c r="B981" s="1">
        <v>45943</v>
      </c>
      <c r="C981" t="s">
        <v>485</v>
      </c>
      <c r="D981" t="s">
        <v>582</v>
      </c>
      <c r="E981">
        <v>24</v>
      </c>
      <c r="F981">
        <v>145</v>
      </c>
      <c r="G981">
        <v>3485</v>
      </c>
      <c r="H981" t="str">
        <f>TEXT(TbDespesas[[#This Row],[data_transacao]], "aaaa-mm")</f>
        <v>2025-10</v>
      </c>
    </row>
    <row r="982" spans="1:8">
      <c r="A982">
        <v>981</v>
      </c>
      <c r="B982" s="1">
        <v>45943</v>
      </c>
      <c r="C982" t="s">
        <v>485</v>
      </c>
      <c r="D982" t="s">
        <v>371</v>
      </c>
      <c r="E982">
        <v>23</v>
      </c>
      <c r="F982">
        <v>95</v>
      </c>
      <c r="G982">
        <v>2196</v>
      </c>
      <c r="H982" t="str">
        <f>TEXT(TbDespesas[[#This Row],[data_transacao]], "aaaa-mm")</f>
        <v>2025-10</v>
      </c>
    </row>
    <row r="983" spans="1:8">
      <c r="A983">
        <v>982</v>
      </c>
      <c r="B983" s="1">
        <v>45943</v>
      </c>
      <c r="C983" t="s">
        <v>485</v>
      </c>
      <c r="D983" t="s">
        <v>358</v>
      </c>
      <c r="E983">
        <v>494</v>
      </c>
      <c r="F983">
        <v>0</v>
      </c>
      <c r="G983">
        <v>429</v>
      </c>
      <c r="H983" t="str">
        <f>TEXT(TbDespesas[[#This Row],[data_transacao]], "aaaa-mm")</f>
        <v>2025-10</v>
      </c>
    </row>
    <row r="984" spans="1:8">
      <c r="A984">
        <v>983</v>
      </c>
      <c r="B984" s="1">
        <v>45943</v>
      </c>
      <c r="C984" t="s">
        <v>485</v>
      </c>
      <c r="D984" t="s">
        <v>374</v>
      </c>
      <c r="E984">
        <v>269</v>
      </c>
      <c r="F984">
        <v>9</v>
      </c>
      <c r="G984">
        <v>2519</v>
      </c>
      <c r="H984" t="str">
        <f>TEXT(TbDespesas[[#This Row],[data_transacao]], "aaaa-mm")</f>
        <v>2025-10</v>
      </c>
    </row>
    <row r="985" spans="1:8">
      <c r="A985">
        <v>984</v>
      </c>
      <c r="B985" s="1">
        <v>45943</v>
      </c>
      <c r="C985" t="s">
        <v>485</v>
      </c>
      <c r="D985" t="s">
        <v>297</v>
      </c>
      <c r="E985">
        <v>337</v>
      </c>
      <c r="F985">
        <v>9</v>
      </c>
      <c r="G985">
        <v>3312</v>
      </c>
      <c r="H985" t="str">
        <f>TEXT(TbDespesas[[#This Row],[data_transacao]], "aaaa-mm")</f>
        <v>2025-10</v>
      </c>
    </row>
    <row r="986" spans="1:8">
      <c r="A986">
        <v>985</v>
      </c>
      <c r="B986" s="1">
        <v>45943</v>
      </c>
      <c r="C986" t="s">
        <v>485</v>
      </c>
      <c r="D986" t="s">
        <v>12</v>
      </c>
      <c r="E986">
        <v>416</v>
      </c>
      <c r="F986">
        <v>3</v>
      </c>
      <c r="G986">
        <v>1314</v>
      </c>
      <c r="H986" t="str">
        <f>TEXT(TbDespesas[[#This Row],[data_transacao]], "aaaa-mm")</f>
        <v>2025-10</v>
      </c>
    </row>
    <row r="987" spans="1:8">
      <c r="A987">
        <v>986</v>
      </c>
      <c r="B987" s="1">
        <v>45943</v>
      </c>
      <c r="C987" t="s">
        <v>485</v>
      </c>
      <c r="D987" t="s">
        <v>555</v>
      </c>
      <c r="E987">
        <v>213</v>
      </c>
      <c r="F987">
        <v>10</v>
      </c>
      <c r="G987">
        <v>2158</v>
      </c>
      <c r="H987" t="str">
        <f>TEXT(TbDespesas[[#This Row],[data_transacao]], "aaaa-mm")</f>
        <v>2025-10</v>
      </c>
    </row>
    <row r="988" spans="1:8">
      <c r="A988">
        <v>987</v>
      </c>
      <c r="B988" s="1">
        <v>45943</v>
      </c>
      <c r="C988" t="s">
        <v>485</v>
      </c>
      <c r="D988" t="s">
        <v>583</v>
      </c>
      <c r="E988">
        <v>159</v>
      </c>
      <c r="F988">
        <v>13</v>
      </c>
      <c r="G988">
        <v>2122</v>
      </c>
      <c r="H988" t="str">
        <f>TEXT(TbDespesas[[#This Row],[data_transacao]], "aaaa-mm")</f>
        <v>2025-10</v>
      </c>
    </row>
    <row r="989" spans="1:8">
      <c r="A989">
        <v>988</v>
      </c>
      <c r="B989" s="1">
        <v>45943</v>
      </c>
      <c r="C989" t="s">
        <v>485</v>
      </c>
      <c r="D989" t="s">
        <v>220</v>
      </c>
      <c r="E989">
        <v>298</v>
      </c>
      <c r="F989">
        <v>11</v>
      </c>
      <c r="G989">
        <v>3423</v>
      </c>
      <c r="H989" t="str">
        <f>TEXT(TbDespesas[[#This Row],[data_transacao]], "aaaa-mm")</f>
        <v>2025-10</v>
      </c>
    </row>
    <row r="990" spans="1:8">
      <c r="A990">
        <v>989</v>
      </c>
      <c r="B990" s="1">
        <v>46031</v>
      </c>
      <c r="C990" t="s">
        <v>244</v>
      </c>
      <c r="D990" t="s">
        <v>494</v>
      </c>
      <c r="E990">
        <v>53</v>
      </c>
      <c r="F990">
        <v>6</v>
      </c>
      <c r="G990">
        <v>338</v>
      </c>
      <c r="H990" t="str">
        <f>TEXT(TbDespesas[[#This Row],[data_transacao]], "aaaa-mm")</f>
        <v>2026-01</v>
      </c>
    </row>
    <row r="991" spans="1:8">
      <c r="A991">
        <v>990</v>
      </c>
      <c r="B991" s="1">
        <v>46031</v>
      </c>
      <c r="C991" t="s">
        <v>244</v>
      </c>
      <c r="D991" t="s">
        <v>167</v>
      </c>
      <c r="E991">
        <v>175</v>
      </c>
      <c r="F991">
        <v>4</v>
      </c>
      <c r="G991">
        <v>818</v>
      </c>
      <c r="H991" t="str">
        <f>TEXT(TbDespesas[[#This Row],[data_transacao]], "aaaa-mm")</f>
        <v>2026-01</v>
      </c>
    </row>
    <row r="992" spans="1:8">
      <c r="A992">
        <v>991</v>
      </c>
      <c r="B992" s="1">
        <v>46031</v>
      </c>
      <c r="C992" t="s">
        <v>244</v>
      </c>
      <c r="D992" t="s">
        <v>104</v>
      </c>
      <c r="E992">
        <v>194</v>
      </c>
      <c r="F992">
        <v>20</v>
      </c>
      <c r="G992">
        <v>4069</v>
      </c>
      <c r="H992" t="str">
        <f>TEXT(TbDespesas[[#This Row],[data_transacao]], "aaaa-mm")</f>
        <v>2026-01</v>
      </c>
    </row>
    <row r="993" spans="1:8">
      <c r="A993">
        <v>992</v>
      </c>
      <c r="B993" s="1">
        <v>46031</v>
      </c>
      <c r="C993" t="s">
        <v>244</v>
      </c>
      <c r="D993" t="s">
        <v>425</v>
      </c>
      <c r="E993">
        <v>395</v>
      </c>
      <c r="F993">
        <v>9</v>
      </c>
      <c r="G993">
        <v>3555</v>
      </c>
      <c r="H993" t="str">
        <f>TEXT(TbDespesas[[#This Row],[data_transacao]], "aaaa-mm")</f>
        <v>2026-01</v>
      </c>
    </row>
    <row r="994" spans="1:8">
      <c r="A994">
        <v>993</v>
      </c>
      <c r="B994" s="1">
        <v>46078</v>
      </c>
      <c r="C994" t="s">
        <v>179</v>
      </c>
      <c r="D994" t="s">
        <v>448</v>
      </c>
      <c r="E994">
        <v>370</v>
      </c>
      <c r="F994">
        <v>8</v>
      </c>
      <c r="G994">
        <v>3183</v>
      </c>
      <c r="H994" t="str">
        <f>TEXT(TbDespesas[[#This Row],[data_transacao]], "aaaa-mm")</f>
        <v>2026-02</v>
      </c>
    </row>
    <row r="995" spans="1:8">
      <c r="A995">
        <v>994</v>
      </c>
      <c r="B995" s="1">
        <v>46078</v>
      </c>
      <c r="C995" t="s">
        <v>179</v>
      </c>
      <c r="D995" t="s">
        <v>146</v>
      </c>
      <c r="E995">
        <v>297</v>
      </c>
      <c r="F995">
        <v>9</v>
      </c>
      <c r="G995">
        <v>2771</v>
      </c>
      <c r="H995" t="str">
        <f>TEXT(TbDespesas[[#This Row],[data_transacao]], "aaaa-mm")</f>
        <v>2026-02</v>
      </c>
    </row>
    <row r="996" spans="1:8">
      <c r="A996">
        <v>995</v>
      </c>
      <c r="B996" s="1">
        <v>46078</v>
      </c>
      <c r="C996" t="s">
        <v>179</v>
      </c>
      <c r="D996" t="s">
        <v>581</v>
      </c>
      <c r="E996">
        <v>417</v>
      </c>
      <c r="F996">
        <v>3</v>
      </c>
      <c r="G996">
        <v>1377</v>
      </c>
      <c r="H996" t="str">
        <f>TEXT(TbDespesas[[#This Row],[data_transacao]], "aaaa-mm")</f>
        <v>2026-02</v>
      </c>
    </row>
    <row r="997" spans="1:8">
      <c r="A997">
        <v>996</v>
      </c>
      <c r="B997" s="1">
        <v>46078</v>
      </c>
      <c r="C997" t="s">
        <v>179</v>
      </c>
      <c r="D997" t="s">
        <v>227</v>
      </c>
      <c r="E997">
        <v>103</v>
      </c>
      <c r="F997">
        <v>33</v>
      </c>
      <c r="G997">
        <v>3497</v>
      </c>
      <c r="H997" t="str">
        <f>TEXT(TbDespesas[[#This Row],[data_transacao]], "aaaa-mm")</f>
        <v>2026-02</v>
      </c>
    </row>
    <row r="998" spans="1:8">
      <c r="A998">
        <v>997</v>
      </c>
      <c r="B998" s="1">
        <v>46078</v>
      </c>
      <c r="C998" t="s">
        <v>179</v>
      </c>
      <c r="D998" t="s">
        <v>42</v>
      </c>
      <c r="E998">
        <v>432</v>
      </c>
      <c r="F998">
        <v>7</v>
      </c>
      <c r="G998">
        <v>3118</v>
      </c>
      <c r="H998" t="str">
        <f>TEXT(TbDespesas[[#This Row],[data_transacao]], "aaaa-mm")</f>
        <v>2026-02</v>
      </c>
    </row>
    <row r="999" spans="1:8">
      <c r="A999">
        <v>998</v>
      </c>
      <c r="B999" s="1">
        <v>46078</v>
      </c>
      <c r="C999" t="s">
        <v>179</v>
      </c>
      <c r="D999" t="s">
        <v>335</v>
      </c>
      <c r="E999">
        <v>413</v>
      </c>
      <c r="F999">
        <v>3</v>
      </c>
      <c r="G999">
        <v>1320</v>
      </c>
      <c r="H999" t="str">
        <f>TEXT(TbDespesas[[#This Row],[data_transacao]], "aaaa-mm")</f>
        <v>2026-02</v>
      </c>
    </row>
    <row r="1000" spans="1:8">
      <c r="A1000">
        <v>999</v>
      </c>
      <c r="B1000" s="1">
        <v>46078</v>
      </c>
      <c r="C1000" t="s">
        <v>179</v>
      </c>
      <c r="D1000" t="s">
        <v>402</v>
      </c>
      <c r="E1000">
        <v>326</v>
      </c>
      <c r="F1000">
        <v>2</v>
      </c>
      <c r="G1000">
        <v>786</v>
      </c>
      <c r="H1000" t="str">
        <f>TEXT(TbDespesas[[#This Row],[data_transacao]], "aaaa-mm")</f>
        <v>2026-02</v>
      </c>
    </row>
    <row r="1001" spans="1:8">
      <c r="A1001">
        <v>1000</v>
      </c>
      <c r="B1001" s="1">
        <v>46078</v>
      </c>
      <c r="C1001" t="s">
        <v>179</v>
      </c>
      <c r="D1001" t="s">
        <v>50</v>
      </c>
      <c r="E1001">
        <v>337</v>
      </c>
      <c r="F1001">
        <v>5</v>
      </c>
      <c r="G1001">
        <v>1689</v>
      </c>
      <c r="H1001" t="str">
        <f>TEXT(TbDespesas[[#This Row],[data_transacao]], "aaaa-mm")</f>
        <v>2026-02</v>
      </c>
    </row>
    <row r="1002" spans="1:8">
      <c r="A1002">
        <v>1001</v>
      </c>
      <c r="B1002" s="1">
        <v>46078</v>
      </c>
      <c r="C1002" t="s">
        <v>179</v>
      </c>
      <c r="D1002" t="s">
        <v>39</v>
      </c>
      <c r="E1002">
        <v>376</v>
      </c>
      <c r="F1002">
        <v>8</v>
      </c>
      <c r="G1002">
        <v>3313</v>
      </c>
      <c r="H1002" t="str">
        <f>TEXT(TbDespesas[[#This Row],[data_transacao]], "aaaa-mm")</f>
        <v>2026-02</v>
      </c>
    </row>
    <row r="1003" spans="1:8">
      <c r="A1003">
        <v>1002</v>
      </c>
      <c r="B1003" s="1">
        <v>46078</v>
      </c>
      <c r="C1003" t="s">
        <v>179</v>
      </c>
      <c r="D1003" t="s">
        <v>55</v>
      </c>
      <c r="E1003">
        <v>495</v>
      </c>
      <c r="F1003">
        <v>6</v>
      </c>
      <c r="G1003">
        <v>3145</v>
      </c>
      <c r="H1003" t="str">
        <f>TEXT(TbDespesas[[#This Row],[data_transacao]], "aaaa-mm")</f>
        <v>2026-02</v>
      </c>
    </row>
    <row r="1004" spans="1:8">
      <c r="A1004">
        <v>1003</v>
      </c>
      <c r="B1004" s="1">
        <v>46078</v>
      </c>
      <c r="C1004" t="s">
        <v>179</v>
      </c>
      <c r="D1004" t="s">
        <v>136</v>
      </c>
      <c r="E1004">
        <v>425</v>
      </c>
      <c r="F1004">
        <v>2</v>
      </c>
      <c r="G1004">
        <v>1245</v>
      </c>
      <c r="H1004" t="str">
        <f>TEXT(TbDespesas[[#This Row],[data_transacao]], "aaaa-mm")</f>
        <v>2026-02</v>
      </c>
    </row>
    <row r="1005" spans="1:8">
      <c r="A1005">
        <v>1004</v>
      </c>
      <c r="B1005" s="1">
        <v>45971</v>
      </c>
      <c r="C1005" t="s">
        <v>97</v>
      </c>
      <c r="D1005" t="s">
        <v>261</v>
      </c>
      <c r="E1005">
        <v>481</v>
      </c>
      <c r="F1005">
        <v>4</v>
      </c>
      <c r="G1005">
        <v>2391</v>
      </c>
      <c r="H1005" t="str">
        <f>TEXT(TbDespesas[[#This Row],[data_transacao]], "aaaa-mm")</f>
        <v>2025-11</v>
      </c>
    </row>
    <row r="1006" spans="1:8">
      <c r="A1006">
        <v>1005</v>
      </c>
      <c r="B1006" s="1">
        <v>45971</v>
      </c>
      <c r="C1006" t="s">
        <v>97</v>
      </c>
      <c r="D1006" t="s">
        <v>37</v>
      </c>
      <c r="E1006">
        <v>24</v>
      </c>
      <c r="F1006">
        <v>131</v>
      </c>
      <c r="G1006">
        <v>3161</v>
      </c>
      <c r="H1006" t="str">
        <f>TEXT(TbDespesas[[#This Row],[data_transacao]], "aaaa-mm")</f>
        <v>2025-11</v>
      </c>
    </row>
    <row r="1007" spans="1:8">
      <c r="A1007">
        <v>1006</v>
      </c>
      <c r="B1007" s="1">
        <v>45971</v>
      </c>
      <c r="C1007" t="s">
        <v>97</v>
      </c>
      <c r="D1007" t="s">
        <v>488</v>
      </c>
      <c r="E1007">
        <v>167</v>
      </c>
      <c r="F1007">
        <v>5</v>
      </c>
      <c r="G1007">
        <v>919</v>
      </c>
      <c r="H1007" t="str">
        <f>TEXT(TbDespesas[[#This Row],[data_transacao]], "aaaa-mm")</f>
        <v>2025-11</v>
      </c>
    </row>
    <row r="1008" spans="1:8">
      <c r="A1008">
        <v>1007</v>
      </c>
      <c r="B1008" s="1">
        <v>45971</v>
      </c>
      <c r="C1008" t="s">
        <v>97</v>
      </c>
      <c r="D1008" t="s">
        <v>116</v>
      </c>
      <c r="E1008">
        <v>183</v>
      </c>
      <c r="F1008">
        <v>4</v>
      </c>
      <c r="G1008">
        <v>785</v>
      </c>
      <c r="H1008" t="str">
        <f>TEXT(TbDespesas[[#This Row],[data_transacao]], "aaaa-mm")</f>
        <v>2025-11</v>
      </c>
    </row>
    <row r="1009" spans="1:8">
      <c r="A1009">
        <v>1008</v>
      </c>
      <c r="B1009" s="1">
        <v>45971</v>
      </c>
      <c r="C1009" t="s">
        <v>97</v>
      </c>
      <c r="D1009" t="s">
        <v>209</v>
      </c>
      <c r="E1009">
        <v>195</v>
      </c>
      <c r="F1009">
        <v>11</v>
      </c>
      <c r="G1009">
        <v>2151</v>
      </c>
      <c r="H1009" t="str">
        <f>TEXT(TbDespesas[[#This Row],[data_transacao]], "aaaa-mm")</f>
        <v>2025-11</v>
      </c>
    </row>
    <row r="1010" spans="1:8">
      <c r="A1010">
        <v>1009</v>
      </c>
      <c r="B1010" s="1">
        <v>45971</v>
      </c>
      <c r="C1010" t="s">
        <v>97</v>
      </c>
      <c r="D1010" t="s">
        <v>94</v>
      </c>
      <c r="E1010">
        <v>215</v>
      </c>
      <c r="F1010">
        <v>4</v>
      </c>
      <c r="G1010">
        <v>1044</v>
      </c>
      <c r="H1010" t="str">
        <f>TEXT(TbDespesas[[#This Row],[data_transacao]], "aaaa-mm")</f>
        <v>2025-11</v>
      </c>
    </row>
    <row r="1011" spans="1:8">
      <c r="A1011">
        <v>1010</v>
      </c>
      <c r="B1011" s="1">
        <v>45971</v>
      </c>
      <c r="C1011" t="s">
        <v>97</v>
      </c>
      <c r="D1011" t="s">
        <v>351</v>
      </c>
      <c r="E1011">
        <v>80</v>
      </c>
      <c r="F1011">
        <v>35</v>
      </c>
      <c r="G1011">
        <v>2842</v>
      </c>
      <c r="H1011" t="str">
        <f>TEXT(TbDespesas[[#This Row],[data_transacao]], "aaaa-mm")</f>
        <v>2025-11</v>
      </c>
    </row>
    <row r="1012" spans="1:8">
      <c r="A1012">
        <v>1011</v>
      </c>
      <c r="B1012" s="1">
        <v>46261</v>
      </c>
      <c r="C1012" t="s">
        <v>584</v>
      </c>
      <c r="D1012" t="s">
        <v>148</v>
      </c>
      <c r="E1012">
        <v>291</v>
      </c>
      <c r="F1012">
        <v>4</v>
      </c>
      <c r="G1012">
        <v>1390</v>
      </c>
      <c r="H1012" t="str">
        <f>TEXT(TbDespesas[[#This Row],[data_transacao]], "aaaa-mm")</f>
        <v>2026-08</v>
      </c>
    </row>
    <row r="1013" spans="1:8">
      <c r="A1013">
        <v>1012</v>
      </c>
      <c r="B1013" s="1">
        <v>46261</v>
      </c>
      <c r="C1013" t="s">
        <v>584</v>
      </c>
      <c r="D1013" t="s">
        <v>42</v>
      </c>
      <c r="E1013">
        <v>288</v>
      </c>
      <c r="F1013">
        <v>5</v>
      </c>
      <c r="G1013">
        <v>1475</v>
      </c>
      <c r="H1013" t="str">
        <f>TEXT(TbDespesas[[#This Row],[data_transacao]], "aaaa-mm")</f>
        <v>2026-08</v>
      </c>
    </row>
    <row r="1014" spans="1:8">
      <c r="A1014">
        <v>1013</v>
      </c>
      <c r="B1014" s="1">
        <v>46261</v>
      </c>
      <c r="C1014" t="s">
        <v>584</v>
      </c>
      <c r="D1014" t="s">
        <v>140</v>
      </c>
      <c r="E1014">
        <v>340</v>
      </c>
      <c r="F1014">
        <v>4</v>
      </c>
      <c r="G1014">
        <v>1431</v>
      </c>
      <c r="H1014" t="str">
        <f>TEXT(TbDespesas[[#This Row],[data_transacao]], "aaaa-mm")</f>
        <v>2026-08</v>
      </c>
    </row>
    <row r="1015" spans="1:8">
      <c r="A1015">
        <v>1014</v>
      </c>
      <c r="B1015" s="1">
        <v>46261</v>
      </c>
      <c r="C1015" t="s">
        <v>584</v>
      </c>
      <c r="D1015" t="s">
        <v>467</v>
      </c>
      <c r="E1015">
        <v>207</v>
      </c>
      <c r="F1015">
        <v>12</v>
      </c>
      <c r="G1015">
        <v>2612</v>
      </c>
      <c r="H1015" t="str">
        <f>TEXT(TbDespesas[[#This Row],[data_transacao]], "aaaa-mm")</f>
        <v>2026-08</v>
      </c>
    </row>
    <row r="1016" spans="1:8">
      <c r="A1016">
        <v>1015</v>
      </c>
      <c r="B1016" s="1">
        <v>46261</v>
      </c>
      <c r="C1016" t="s">
        <v>584</v>
      </c>
      <c r="D1016" t="s">
        <v>276</v>
      </c>
      <c r="E1016">
        <v>162</v>
      </c>
      <c r="F1016">
        <v>1</v>
      </c>
      <c r="G1016">
        <v>301</v>
      </c>
      <c r="H1016" t="str">
        <f>TEXT(TbDespesas[[#This Row],[data_transacao]], "aaaa-mm")</f>
        <v>2026-08</v>
      </c>
    </row>
    <row r="1017" spans="1:8">
      <c r="A1017">
        <v>1016</v>
      </c>
      <c r="B1017" s="1">
        <v>46261</v>
      </c>
      <c r="C1017" t="s">
        <v>584</v>
      </c>
      <c r="D1017" t="s">
        <v>585</v>
      </c>
      <c r="E1017">
        <v>415</v>
      </c>
      <c r="F1017">
        <v>4</v>
      </c>
      <c r="G1017">
        <v>2032</v>
      </c>
      <c r="H1017" t="str">
        <f>TEXT(TbDespesas[[#This Row],[data_transacao]], "aaaa-mm")</f>
        <v>2026-08</v>
      </c>
    </row>
    <row r="1018" spans="1:8">
      <c r="A1018">
        <v>1017</v>
      </c>
      <c r="B1018" s="1">
        <v>46268</v>
      </c>
      <c r="C1018" t="s">
        <v>586</v>
      </c>
      <c r="D1018" t="s">
        <v>299</v>
      </c>
      <c r="E1018">
        <v>202</v>
      </c>
      <c r="F1018">
        <v>18</v>
      </c>
      <c r="G1018">
        <v>3709</v>
      </c>
      <c r="H1018" t="str">
        <f>TEXT(TbDespesas[[#This Row],[data_transacao]], "aaaa-mm")</f>
        <v>2026-09</v>
      </c>
    </row>
    <row r="1019" spans="1:8">
      <c r="A1019">
        <v>1018</v>
      </c>
      <c r="B1019" s="1">
        <v>46268</v>
      </c>
      <c r="C1019" t="s">
        <v>586</v>
      </c>
      <c r="D1019" t="s">
        <v>282</v>
      </c>
      <c r="E1019">
        <v>477</v>
      </c>
      <c r="F1019">
        <v>5</v>
      </c>
      <c r="G1019">
        <v>2415</v>
      </c>
      <c r="H1019" t="str">
        <f>TEXT(TbDespesas[[#This Row],[data_transacao]], "aaaa-mm")</f>
        <v>2026-09</v>
      </c>
    </row>
    <row r="1020" spans="1:8">
      <c r="A1020">
        <v>1019</v>
      </c>
      <c r="B1020" s="1">
        <v>46268</v>
      </c>
      <c r="C1020" t="s">
        <v>586</v>
      </c>
      <c r="D1020" t="s">
        <v>585</v>
      </c>
      <c r="E1020">
        <v>364</v>
      </c>
      <c r="F1020">
        <v>3</v>
      </c>
      <c r="G1020">
        <v>1096</v>
      </c>
      <c r="H1020" t="str">
        <f>TEXT(TbDespesas[[#This Row],[data_transacao]], "aaaa-mm")</f>
        <v>2026-09</v>
      </c>
    </row>
    <row r="1021" spans="1:8">
      <c r="A1021">
        <v>1020</v>
      </c>
      <c r="B1021" s="1">
        <v>46268</v>
      </c>
      <c r="C1021" t="s">
        <v>586</v>
      </c>
      <c r="D1021" t="s">
        <v>587</v>
      </c>
      <c r="E1021">
        <v>30</v>
      </c>
      <c r="F1021">
        <v>87</v>
      </c>
      <c r="G1021">
        <v>2631</v>
      </c>
      <c r="H1021" t="str">
        <f>TEXT(TbDespesas[[#This Row],[data_transacao]], "aaaa-mm")</f>
        <v>2026-09</v>
      </c>
    </row>
    <row r="1022" spans="1:8">
      <c r="A1022">
        <v>1021</v>
      </c>
      <c r="B1022" s="1">
        <v>46268</v>
      </c>
      <c r="C1022" t="s">
        <v>586</v>
      </c>
      <c r="D1022" t="s">
        <v>588</v>
      </c>
      <c r="E1022">
        <v>278</v>
      </c>
      <c r="F1022">
        <v>4</v>
      </c>
      <c r="G1022">
        <v>1115</v>
      </c>
      <c r="H1022" t="str">
        <f>TEXT(TbDespesas[[#This Row],[data_transacao]], "aaaa-mm")</f>
        <v>2026-09</v>
      </c>
    </row>
    <row r="1023" spans="1:8">
      <c r="A1023">
        <v>1022</v>
      </c>
      <c r="B1023" s="1">
        <v>46268</v>
      </c>
      <c r="C1023" t="s">
        <v>586</v>
      </c>
      <c r="D1023" t="s">
        <v>589</v>
      </c>
      <c r="E1023">
        <v>279</v>
      </c>
      <c r="F1023">
        <v>7</v>
      </c>
      <c r="G1023">
        <v>2024</v>
      </c>
      <c r="H1023" t="str">
        <f>TEXT(TbDespesas[[#This Row],[data_transacao]], "aaaa-mm")</f>
        <v>2026-09</v>
      </c>
    </row>
    <row r="1024" spans="1:8">
      <c r="A1024">
        <v>1023</v>
      </c>
      <c r="B1024" s="1">
        <v>45959</v>
      </c>
      <c r="C1024" t="s">
        <v>41</v>
      </c>
      <c r="D1024" t="s">
        <v>355</v>
      </c>
      <c r="E1024">
        <v>170</v>
      </c>
      <c r="F1024">
        <v>10</v>
      </c>
      <c r="G1024">
        <v>1725</v>
      </c>
      <c r="H1024" t="str">
        <f>TEXT(TbDespesas[[#This Row],[data_transacao]], "aaaa-mm")</f>
        <v>2025-10</v>
      </c>
    </row>
    <row r="1025" spans="1:8">
      <c r="A1025">
        <v>1024</v>
      </c>
      <c r="B1025" s="1">
        <v>45959</v>
      </c>
      <c r="C1025" t="s">
        <v>41</v>
      </c>
      <c r="D1025" t="s">
        <v>151</v>
      </c>
      <c r="E1025">
        <v>443</v>
      </c>
      <c r="F1025">
        <v>4</v>
      </c>
      <c r="G1025">
        <v>2083</v>
      </c>
      <c r="H1025" t="str">
        <f>TEXT(TbDespesas[[#This Row],[data_transacao]], "aaaa-mm")</f>
        <v>2025-10</v>
      </c>
    </row>
    <row r="1026" spans="1:8">
      <c r="A1026">
        <v>1025</v>
      </c>
      <c r="B1026" s="1">
        <v>45959</v>
      </c>
      <c r="C1026" t="s">
        <v>41</v>
      </c>
      <c r="D1026" t="s">
        <v>293</v>
      </c>
      <c r="E1026">
        <v>16</v>
      </c>
      <c r="F1026">
        <v>93</v>
      </c>
      <c r="G1026">
        <v>1492</v>
      </c>
      <c r="H1026" t="str">
        <f>TEXT(TbDespesas[[#This Row],[data_transacao]], "aaaa-mm")</f>
        <v>2025-10</v>
      </c>
    </row>
    <row r="1027" spans="1:8">
      <c r="A1027">
        <v>1026</v>
      </c>
      <c r="B1027" s="1">
        <v>45959</v>
      </c>
      <c r="C1027" t="s">
        <v>41</v>
      </c>
      <c r="D1027" t="s">
        <v>410</v>
      </c>
      <c r="E1027">
        <v>470</v>
      </c>
      <c r="F1027">
        <v>0</v>
      </c>
      <c r="G1027">
        <v>303</v>
      </c>
      <c r="H1027" t="str">
        <f>TEXT(TbDespesas[[#This Row],[data_transacao]], "aaaa-mm")</f>
        <v>2025-10</v>
      </c>
    </row>
    <row r="1028" spans="1:8">
      <c r="A1028">
        <v>1027</v>
      </c>
      <c r="B1028" s="1">
        <v>45959</v>
      </c>
      <c r="C1028" t="s">
        <v>41</v>
      </c>
      <c r="D1028" t="s">
        <v>88</v>
      </c>
      <c r="E1028">
        <v>323</v>
      </c>
      <c r="F1028">
        <v>6</v>
      </c>
      <c r="G1028">
        <v>2227</v>
      </c>
      <c r="H1028" t="str">
        <f>TEXT(TbDespesas[[#This Row],[data_transacao]], "aaaa-mm")</f>
        <v>2025-10</v>
      </c>
    </row>
    <row r="1029" spans="1:8">
      <c r="A1029">
        <v>1028</v>
      </c>
      <c r="B1029" s="1">
        <v>45959</v>
      </c>
      <c r="C1029" t="s">
        <v>41</v>
      </c>
      <c r="D1029" t="s">
        <v>91</v>
      </c>
      <c r="E1029">
        <v>323</v>
      </c>
      <c r="F1029">
        <v>3</v>
      </c>
      <c r="G1029">
        <v>980</v>
      </c>
      <c r="H1029" t="str">
        <f>TEXT(TbDespesas[[#This Row],[data_transacao]], "aaaa-mm")</f>
        <v>2025-10</v>
      </c>
    </row>
    <row r="1030" spans="1:8">
      <c r="A1030">
        <v>1029</v>
      </c>
      <c r="B1030" s="1">
        <v>45959</v>
      </c>
      <c r="C1030" t="s">
        <v>41</v>
      </c>
      <c r="D1030" t="s">
        <v>399</v>
      </c>
      <c r="E1030">
        <v>136</v>
      </c>
      <c r="F1030">
        <v>18</v>
      </c>
      <c r="G1030">
        <v>2474</v>
      </c>
      <c r="H1030" t="str">
        <f>TEXT(TbDespesas[[#This Row],[data_transacao]], "aaaa-mm")</f>
        <v>2025-10</v>
      </c>
    </row>
    <row r="1031" spans="1:8">
      <c r="A1031">
        <v>1030</v>
      </c>
      <c r="B1031" s="1">
        <v>45959</v>
      </c>
      <c r="C1031" t="s">
        <v>41</v>
      </c>
      <c r="D1031" t="s">
        <v>313</v>
      </c>
      <c r="E1031">
        <v>253</v>
      </c>
      <c r="F1031">
        <v>4</v>
      </c>
      <c r="G1031">
        <v>1127</v>
      </c>
      <c r="H1031" t="str">
        <f>TEXT(TbDespesas[[#This Row],[data_transacao]], "aaaa-mm")</f>
        <v>2025-10</v>
      </c>
    </row>
    <row r="1032" spans="1:8">
      <c r="A1032">
        <v>1031</v>
      </c>
      <c r="B1032" s="1">
        <v>45959</v>
      </c>
      <c r="C1032" t="s">
        <v>41</v>
      </c>
      <c r="D1032" t="s">
        <v>458</v>
      </c>
      <c r="E1032">
        <v>486</v>
      </c>
      <c r="F1032">
        <v>4</v>
      </c>
      <c r="G1032">
        <v>1998</v>
      </c>
      <c r="H1032" t="str">
        <f>TEXT(TbDespesas[[#This Row],[data_transacao]], "aaaa-mm")</f>
        <v>2025-10</v>
      </c>
    </row>
    <row r="1033" spans="1:8">
      <c r="A1033">
        <v>1032</v>
      </c>
      <c r="B1033" s="1">
        <v>46115</v>
      </c>
      <c r="C1033" t="s">
        <v>329</v>
      </c>
      <c r="D1033" t="s">
        <v>81</v>
      </c>
      <c r="E1033">
        <v>107</v>
      </c>
      <c r="F1033">
        <v>11</v>
      </c>
      <c r="G1033">
        <v>1215</v>
      </c>
      <c r="H1033" t="str">
        <f>TEXT(TbDespesas[[#This Row],[data_transacao]], "aaaa-mm")</f>
        <v>2026-04</v>
      </c>
    </row>
    <row r="1034" spans="1:8">
      <c r="A1034">
        <v>1033</v>
      </c>
      <c r="B1034" s="1">
        <v>46115</v>
      </c>
      <c r="C1034" t="s">
        <v>329</v>
      </c>
      <c r="D1034" t="s">
        <v>523</v>
      </c>
      <c r="E1034">
        <v>300</v>
      </c>
      <c r="F1034">
        <v>8</v>
      </c>
      <c r="G1034">
        <v>2609</v>
      </c>
      <c r="H1034" t="str">
        <f>TEXT(TbDespesas[[#This Row],[data_transacao]], "aaaa-mm")</f>
        <v>2026-04</v>
      </c>
    </row>
    <row r="1035" spans="1:8">
      <c r="A1035">
        <v>1034</v>
      </c>
      <c r="B1035" s="1">
        <v>46115</v>
      </c>
      <c r="C1035" t="s">
        <v>329</v>
      </c>
      <c r="D1035" t="s">
        <v>590</v>
      </c>
      <c r="E1035">
        <v>200</v>
      </c>
      <c r="F1035">
        <v>11</v>
      </c>
      <c r="G1035">
        <v>2217</v>
      </c>
      <c r="H1035" t="str">
        <f>TEXT(TbDespesas[[#This Row],[data_transacao]], "aaaa-mm")</f>
        <v>2026-04</v>
      </c>
    </row>
    <row r="1036" spans="1:8">
      <c r="A1036">
        <v>1035</v>
      </c>
      <c r="B1036" s="1">
        <v>46115</v>
      </c>
      <c r="C1036" t="s">
        <v>329</v>
      </c>
      <c r="D1036" t="s">
        <v>44</v>
      </c>
      <c r="E1036">
        <v>20</v>
      </c>
      <c r="F1036">
        <v>69</v>
      </c>
      <c r="G1036">
        <v>1398</v>
      </c>
      <c r="H1036" t="str">
        <f>TEXT(TbDespesas[[#This Row],[data_transacao]], "aaaa-mm")</f>
        <v>2026-04</v>
      </c>
    </row>
    <row r="1037" spans="1:8">
      <c r="A1037">
        <v>1036</v>
      </c>
      <c r="B1037" s="1">
        <v>46115</v>
      </c>
      <c r="C1037" t="s">
        <v>329</v>
      </c>
      <c r="D1037" t="s">
        <v>338</v>
      </c>
      <c r="E1037">
        <v>35</v>
      </c>
      <c r="F1037">
        <v>58</v>
      </c>
      <c r="G1037">
        <v>2059</v>
      </c>
      <c r="H1037" t="str">
        <f>TEXT(TbDespesas[[#This Row],[data_transacao]], "aaaa-mm")</f>
        <v>2026-04</v>
      </c>
    </row>
    <row r="1038" spans="1:8">
      <c r="A1038">
        <v>1037</v>
      </c>
      <c r="B1038" s="1">
        <v>46115</v>
      </c>
      <c r="C1038" t="s">
        <v>329</v>
      </c>
      <c r="D1038" t="s">
        <v>591</v>
      </c>
      <c r="E1038">
        <v>144</v>
      </c>
      <c r="F1038">
        <v>17</v>
      </c>
      <c r="G1038">
        <v>2504</v>
      </c>
      <c r="H1038" t="str">
        <f>TEXT(TbDespesas[[#This Row],[data_transacao]], "aaaa-mm")</f>
        <v>2026-04</v>
      </c>
    </row>
    <row r="1039" spans="1:8">
      <c r="A1039">
        <v>1038</v>
      </c>
      <c r="B1039" s="1">
        <v>46115</v>
      </c>
      <c r="C1039" t="s">
        <v>329</v>
      </c>
      <c r="D1039" t="s">
        <v>375</v>
      </c>
      <c r="E1039">
        <v>370</v>
      </c>
      <c r="F1039">
        <v>7</v>
      </c>
      <c r="G1039">
        <v>2867</v>
      </c>
      <c r="H1039" t="str">
        <f>TEXT(TbDespesas[[#This Row],[data_transacao]], "aaaa-mm")</f>
        <v>2026-04</v>
      </c>
    </row>
    <row r="1040" spans="1:8">
      <c r="A1040">
        <v>1039</v>
      </c>
      <c r="B1040" s="1">
        <v>46115</v>
      </c>
      <c r="C1040" t="s">
        <v>329</v>
      </c>
      <c r="D1040" t="s">
        <v>98</v>
      </c>
      <c r="E1040">
        <v>223</v>
      </c>
      <c r="F1040">
        <v>3</v>
      </c>
      <c r="G1040">
        <v>778</v>
      </c>
      <c r="H1040" t="str">
        <f>TEXT(TbDespesas[[#This Row],[data_transacao]], "aaaa-mm")</f>
        <v>2026-04</v>
      </c>
    </row>
    <row r="1041" spans="1:8">
      <c r="A1041">
        <v>1040</v>
      </c>
      <c r="B1041" s="1">
        <v>46115</v>
      </c>
      <c r="C1041" t="s">
        <v>329</v>
      </c>
      <c r="D1041" t="s">
        <v>263</v>
      </c>
      <c r="E1041">
        <v>354</v>
      </c>
      <c r="F1041">
        <v>6</v>
      </c>
      <c r="G1041">
        <v>2364</v>
      </c>
      <c r="H1041" t="str">
        <f>TEXT(TbDespesas[[#This Row],[data_transacao]], "aaaa-mm")</f>
        <v>2026-04</v>
      </c>
    </row>
    <row r="1042" spans="1:8">
      <c r="A1042">
        <v>1041</v>
      </c>
      <c r="B1042" s="1">
        <v>46209</v>
      </c>
      <c r="C1042" t="s">
        <v>223</v>
      </c>
      <c r="D1042" t="s">
        <v>592</v>
      </c>
      <c r="E1042">
        <v>22</v>
      </c>
      <c r="F1042">
        <v>70</v>
      </c>
      <c r="G1042">
        <v>1545</v>
      </c>
      <c r="H1042" t="str">
        <f>TEXT(TbDespesas[[#This Row],[data_transacao]], "aaaa-mm")</f>
        <v>2026-07</v>
      </c>
    </row>
    <row r="1043" spans="1:8">
      <c r="A1043">
        <v>1042</v>
      </c>
      <c r="B1043" s="1">
        <v>46090</v>
      </c>
      <c r="C1043" t="s">
        <v>486</v>
      </c>
      <c r="D1043" t="s">
        <v>494</v>
      </c>
      <c r="E1043">
        <v>260</v>
      </c>
      <c r="F1043">
        <v>8</v>
      </c>
      <c r="G1043">
        <v>2319</v>
      </c>
      <c r="H1043" t="str">
        <f>TEXT(TbDespesas[[#This Row],[data_transacao]], "aaaa-mm")</f>
        <v>2026-03</v>
      </c>
    </row>
    <row r="1044" spans="1:8">
      <c r="A1044">
        <v>1043</v>
      </c>
      <c r="B1044" s="1">
        <v>46090</v>
      </c>
      <c r="C1044" t="s">
        <v>486</v>
      </c>
      <c r="D1044" t="s">
        <v>91</v>
      </c>
      <c r="E1044">
        <v>28</v>
      </c>
      <c r="F1044">
        <v>73</v>
      </c>
      <c r="G1044">
        <v>2044</v>
      </c>
      <c r="H1044" t="str">
        <f>TEXT(TbDespesas[[#This Row],[data_transacao]], "aaaa-mm")</f>
        <v>2026-03</v>
      </c>
    </row>
    <row r="1045" spans="1:8">
      <c r="A1045">
        <v>1044</v>
      </c>
      <c r="B1045" s="1">
        <v>46090</v>
      </c>
      <c r="C1045" t="s">
        <v>486</v>
      </c>
      <c r="D1045" t="s">
        <v>71</v>
      </c>
      <c r="E1045">
        <v>471</v>
      </c>
      <c r="F1045">
        <v>6</v>
      </c>
      <c r="G1045">
        <v>2997</v>
      </c>
      <c r="H1045" t="str">
        <f>TEXT(TbDespesas[[#This Row],[data_transacao]], "aaaa-mm")</f>
        <v>2026-03</v>
      </c>
    </row>
    <row r="1046" spans="1:8">
      <c r="A1046">
        <v>1045</v>
      </c>
      <c r="B1046" s="1">
        <v>46090</v>
      </c>
      <c r="C1046" t="s">
        <v>486</v>
      </c>
      <c r="D1046" t="s">
        <v>286</v>
      </c>
      <c r="E1046">
        <v>399</v>
      </c>
      <c r="F1046">
        <v>8</v>
      </c>
      <c r="G1046">
        <v>3376</v>
      </c>
      <c r="H1046" t="str">
        <f>TEXT(TbDespesas[[#This Row],[data_transacao]], "aaaa-mm")</f>
        <v>2026-03</v>
      </c>
    </row>
    <row r="1047" spans="1:8">
      <c r="A1047">
        <v>1046</v>
      </c>
      <c r="B1047" s="1">
        <v>46090</v>
      </c>
      <c r="C1047" t="s">
        <v>486</v>
      </c>
      <c r="D1047" t="s">
        <v>593</v>
      </c>
      <c r="E1047">
        <v>70</v>
      </c>
      <c r="F1047">
        <v>48</v>
      </c>
      <c r="G1047">
        <v>3373</v>
      </c>
      <c r="H1047" t="str">
        <f>TEXT(TbDespesas[[#This Row],[data_transacao]], "aaaa-mm")</f>
        <v>2026-03</v>
      </c>
    </row>
    <row r="1048" spans="1:8">
      <c r="A1048">
        <v>1047</v>
      </c>
      <c r="B1048" s="1">
        <v>46090</v>
      </c>
      <c r="C1048" t="s">
        <v>486</v>
      </c>
      <c r="D1048" t="s">
        <v>293</v>
      </c>
      <c r="E1048">
        <v>244</v>
      </c>
      <c r="F1048">
        <v>15</v>
      </c>
      <c r="G1048">
        <v>3858</v>
      </c>
      <c r="H1048" t="str">
        <f>TEXT(TbDespesas[[#This Row],[data_transacao]], "aaaa-mm")</f>
        <v>2026-03</v>
      </c>
    </row>
    <row r="1049" spans="1:8">
      <c r="A1049">
        <v>1048</v>
      </c>
      <c r="B1049" s="1">
        <v>46039</v>
      </c>
      <c r="C1049" t="s">
        <v>7</v>
      </c>
      <c r="D1049" t="s">
        <v>211</v>
      </c>
      <c r="E1049">
        <v>29</v>
      </c>
      <c r="F1049">
        <v>55</v>
      </c>
      <c r="G1049">
        <v>1607</v>
      </c>
      <c r="H1049" t="str">
        <f>TEXT(TbDespesas[[#This Row],[data_transacao]], "aaaa-mm")</f>
        <v>2026-01</v>
      </c>
    </row>
    <row r="1050" spans="1:8">
      <c r="A1050">
        <v>1049</v>
      </c>
      <c r="B1050" s="1">
        <v>46039</v>
      </c>
      <c r="C1050" t="s">
        <v>7</v>
      </c>
      <c r="D1050" t="s">
        <v>268</v>
      </c>
      <c r="E1050">
        <v>78</v>
      </c>
      <c r="F1050">
        <v>10</v>
      </c>
      <c r="G1050">
        <v>798</v>
      </c>
      <c r="H1050" t="str">
        <f>TEXT(TbDespesas[[#This Row],[data_transacao]], "aaaa-mm")</f>
        <v>2026-01</v>
      </c>
    </row>
    <row r="1051" spans="1:8">
      <c r="A1051">
        <v>1050</v>
      </c>
      <c r="B1051" s="1">
        <v>46039</v>
      </c>
      <c r="C1051" t="s">
        <v>7</v>
      </c>
      <c r="D1051" t="s">
        <v>24</v>
      </c>
      <c r="E1051">
        <v>457</v>
      </c>
      <c r="F1051">
        <v>9</v>
      </c>
      <c r="G1051">
        <v>4428</v>
      </c>
      <c r="H1051" t="str">
        <f>TEXT(TbDespesas[[#This Row],[data_transacao]], "aaaa-mm")</f>
        <v>2026-01</v>
      </c>
    </row>
    <row r="1052" spans="1:8">
      <c r="A1052">
        <v>1051</v>
      </c>
      <c r="B1052" s="1">
        <v>46039</v>
      </c>
      <c r="C1052" t="s">
        <v>7</v>
      </c>
      <c r="D1052" t="s">
        <v>199</v>
      </c>
      <c r="E1052">
        <v>54</v>
      </c>
      <c r="F1052">
        <v>41</v>
      </c>
      <c r="G1052">
        <v>2217</v>
      </c>
      <c r="H1052" t="str">
        <f>TEXT(TbDespesas[[#This Row],[data_transacao]], "aaaa-mm")</f>
        <v>2026-01</v>
      </c>
    </row>
    <row r="1053" spans="1:8">
      <c r="A1053">
        <v>1052</v>
      </c>
      <c r="B1053" s="1">
        <v>46039</v>
      </c>
      <c r="C1053" t="s">
        <v>7</v>
      </c>
      <c r="D1053" t="s">
        <v>594</v>
      </c>
      <c r="E1053">
        <v>352</v>
      </c>
      <c r="F1053">
        <v>8</v>
      </c>
      <c r="G1053">
        <v>3111</v>
      </c>
      <c r="H1053" t="str">
        <f>TEXT(TbDespesas[[#This Row],[data_transacao]], "aaaa-mm")</f>
        <v>2026-01</v>
      </c>
    </row>
    <row r="1054" spans="1:8">
      <c r="A1054">
        <v>1053</v>
      </c>
      <c r="B1054" s="1">
        <v>46039</v>
      </c>
      <c r="C1054" t="s">
        <v>7</v>
      </c>
      <c r="D1054" t="s">
        <v>36</v>
      </c>
      <c r="E1054">
        <v>471</v>
      </c>
      <c r="F1054">
        <v>4</v>
      </c>
      <c r="G1054">
        <v>2252</v>
      </c>
      <c r="H1054" t="str">
        <f>TEXT(TbDespesas[[#This Row],[data_transacao]], "aaaa-mm")</f>
        <v>2026-01</v>
      </c>
    </row>
    <row r="1055" spans="1:8">
      <c r="A1055">
        <v>1054</v>
      </c>
      <c r="B1055" s="1">
        <v>46165</v>
      </c>
      <c r="C1055" t="s">
        <v>595</v>
      </c>
      <c r="D1055" t="s">
        <v>596</v>
      </c>
      <c r="E1055">
        <v>214</v>
      </c>
      <c r="F1055">
        <v>6</v>
      </c>
      <c r="G1055">
        <v>1419</v>
      </c>
      <c r="H1055" t="str">
        <f>TEXT(TbDespesas[[#This Row],[data_transacao]], "aaaa-mm")</f>
        <v>2026-05</v>
      </c>
    </row>
    <row r="1056" spans="1:8">
      <c r="A1056">
        <v>1055</v>
      </c>
      <c r="B1056" s="1">
        <v>46165</v>
      </c>
      <c r="C1056" t="s">
        <v>595</v>
      </c>
      <c r="D1056" t="s">
        <v>326</v>
      </c>
      <c r="E1056">
        <v>421</v>
      </c>
      <c r="F1056">
        <v>5</v>
      </c>
      <c r="G1056">
        <v>2279</v>
      </c>
      <c r="H1056" t="str">
        <f>TEXT(TbDespesas[[#This Row],[data_transacao]], "aaaa-mm")</f>
        <v>2026-05</v>
      </c>
    </row>
    <row r="1057" spans="1:8">
      <c r="A1057">
        <v>1056</v>
      </c>
      <c r="B1057" s="1">
        <v>46165</v>
      </c>
      <c r="C1057" t="s">
        <v>595</v>
      </c>
      <c r="D1057" t="s">
        <v>393</v>
      </c>
      <c r="E1057">
        <v>64</v>
      </c>
      <c r="F1057">
        <v>41</v>
      </c>
      <c r="G1057">
        <v>2678</v>
      </c>
      <c r="H1057" t="str">
        <f>TEXT(TbDespesas[[#This Row],[data_transacao]], "aaaa-mm")</f>
        <v>2026-05</v>
      </c>
    </row>
    <row r="1058" spans="1:8">
      <c r="A1058">
        <v>1057</v>
      </c>
      <c r="B1058" s="1">
        <v>46165</v>
      </c>
      <c r="C1058" t="s">
        <v>595</v>
      </c>
      <c r="D1058" t="s">
        <v>597</v>
      </c>
      <c r="E1058">
        <v>468</v>
      </c>
      <c r="F1058">
        <v>3</v>
      </c>
      <c r="G1058">
        <v>1455</v>
      </c>
      <c r="H1058" t="str">
        <f>TEXT(TbDespesas[[#This Row],[data_transacao]], "aaaa-mm")</f>
        <v>2026-05</v>
      </c>
    </row>
    <row r="1059" spans="1:8">
      <c r="A1059">
        <v>1058</v>
      </c>
      <c r="B1059" s="1">
        <v>46165</v>
      </c>
      <c r="C1059" t="s">
        <v>595</v>
      </c>
      <c r="D1059" t="s">
        <v>598</v>
      </c>
      <c r="E1059">
        <v>49</v>
      </c>
      <c r="F1059">
        <v>50</v>
      </c>
      <c r="G1059">
        <v>2450</v>
      </c>
      <c r="H1059" t="str">
        <f>TEXT(TbDespesas[[#This Row],[data_transacao]], "aaaa-mm")</f>
        <v>2026-05</v>
      </c>
    </row>
    <row r="1060" spans="1:8">
      <c r="A1060">
        <v>1059</v>
      </c>
      <c r="B1060" s="1">
        <v>46165</v>
      </c>
      <c r="C1060" t="s">
        <v>595</v>
      </c>
      <c r="D1060" t="s">
        <v>315</v>
      </c>
      <c r="E1060">
        <v>30</v>
      </c>
      <c r="F1060">
        <v>1</v>
      </c>
      <c r="G1060">
        <v>59</v>
      </c>
      <c r="H1060" t="str">
        <f>TEXT(TbDespesas[[#This Row],[data_transacao]], "aaaa-mm")</f>
        <v>2026-05</v>
      </c>
    </row>
    <row r="1061" spans="1:8">
      <c r="A1061">
        <v>1060</v>
      </c>
      <c r="B1061" s="1">
        <v>46165</v>
      </c>
      <c r="C1061" t="s">
        <v>595</v>
      </c>
      <c r="D1061" t="s">
        <v>599</v>
      </c>
      <c r="E1061">
        <v>196</v>
      </c>
      <c r="F1061">
        <v>19</v>
      </c>
      <c r="G1061">
        <v>3770</v>
      </c>
      <c r="H1061" t="str">
        <f>TEXT(TbDespesas[[#This Row],[data_transacao]], "aaaa-mm")</f>
        <v>2026-05</v>
      </c>
    </row>
    <row r="1062" spans="1:8">
      <c r="A1062">
        <v>1061</v>
      </c>
      <c r="B1062" s="1">
        <v>46165</v>
      </c>
      <c r="C1062" t="s">
        <v>595</v>
      </c>
      <c r="D1062" t="s">
        <v>594</v>
      </c>
      <c r="E1062">
        <v>419</v>
      </c>
      <c r="F1062">
        <v>9</v>
      </c>
      <c r="G1062">
        <v>3929</v>
      </c>
      <c r="H1062" t="str">
        <f>TEXT(TbDespesas[[#This Row],[data_transacao]], "aaaa-mm")</f>
        <v>2026-05</v>
      </c>
    </row>
    <row r="1063" spans="1:8">
      <c r="A1063">
        <v>1062</v>
      </c>
      <c r="B1063" s="1">
        <v>46165</v>
      </c>
      <c r="C1063" t="s">
        <v>595</v>
      </c>
      <c r="D1063" t="s">
        <v>140</v>
      </c>
      <c r="E1063">
        <v>288</v>
      </c>
      <c r="F1063">
        <v>5</v>
      </c>
      <c r="G1063">
        <v>1657</v>
      </c>
      <c r="H1063" t="str">
        <f>TEXT(TbDespesas[[#This Row],[data_transacao]], "aaaa-mm")</f>
        <v>2026-05</v>
      </c>
    </row>
    <row r="1064" spans="1:8">
      <c r="A1064">
        <v>1063</v>
      </c>
      <c r="B1064" s="1">
        <v>46165</v>
      </c>
      <c r="C1064" t="s">
        <v>595</v>
      </c>
      <c r="D1064" t="s">
        <v>50</v>
      </c>
      <c r="E1064">
        <v>344</v>
      </c>
      <c r="F1064">
        <v>6</v>
      </c>
      <c r="G1064">
        <v>2144</v>
      </c>
      <c r="H1064" t="str">
        <f>TEXT(TbDespesas[[#This Row],[data_transacao]], "aaaa-mm")</f>
        <v>2026-05</v>
      </c>
    </row>
    <row r="1065" spans="1:8">
      <c r="A1065">
        <v>1064</v>
      </c>
      <c r="B1065" s="1">
        <v>46165</v>
      </c>
      <c r="C1065" t="s">
        <v>595</v>
      </c>
      <c r="D1065" t="s">
        <v>600</v>
      </c>
      <c r="E1065">
        <v>352</v>
      </c>
      <c r="F1065">
        <v>0</v>
      </c>
      <c r="G1065">
        <v>153</v>
      </c>
      <c r="H1065" t="str">
        <f>TEXT(TbDespesas[[#This Row],[data_transacao]], "aaaa-mm")</f>
        <v>2026-05</v>
      </c>
    </row>
    <row r="1066" spans="1:8">
      <c r="A1066">
        <v>1065</v>
      </c>
      <c r="B1066" s="1">
        <v>46165</v>
      </c>
      <c r="C1066" t="s">
        <v>595</v>
      </c>
      <c r="D1066" t="s">
        <v>213</v>
      </c>
      <c r="E1066">
        <v>143</v>
      </c>
      <c r="F1066">
        <v>16</v>
      </c>
      <c r="G1066">
        <v>2308</v>
      </c>
      <c r="H1066" t="str">
        <f>TEXT(TbDespesas[[#This Row],[data_transacao]], "aaaa-mm")</f>
        <v>2026-05</v>
      </c>
    </row>
    <row r="1067" spans="1:8">
      <c r="A1067">
        <v>1066</v>
      </c>
      <c r="B1067" s="1">
        <v>45914</v>
      </c>
      <c r="C1067" t="s">
        <v>405</v>
      </c>
      <c r="D1067" t="s">
        <v>594</v>
      </c>
      <c r="E1067">
        <v>455</v>
      </c>
      <c r="F1067">
        <v>3</v>
      </c>
      <c r="G1067">
        <v>1416</v>
      </c>
      <c r="H1067" t="str">
        <f>TEXT(TbDespesas[[#This Row],[data_transacao]], "aaaa-mm")</f>
        <v>2025-09</v>
      </c>
    </row>
    <row r="1068" spans="1:8">
      <c r="A1068">
        <v>1067</v>
      </c>
      <c r="B1068" s="1">
        <v>46012</v>
      </c>
      <c r="C1068" t="s">
        <v>65</v>
      </c>
      <c r="D1068" t="s">
        <v>324</v>
      </c>
      <c r="E1068">
        <v>253</v>
      </c>
      <c r="F1068">
        <v>15</v>
      </c>
      <c r="G1068">
        <v>3845</v>
      </c>
      <c r="H1068" t="str">
        <f>TEXT(TbDespesas[[#This Row],[data_transacao]], "aaaa-mm")</f>
        <v>2025-12</v>
      </c>
    </row>
    <row r="1069" spans="1:8">
      <c r="A1069">
        <v>1068</v>
      </c>
      <c r="B1069" s="1">
        <v>46012</v>
      </c>
      <c r="C1069" t="s">
        <v>65</v>
      </c>
      <c r="D1069" t="s">
        <v>355</v>
      </c>
      <c r="E1069">
        <v>171</v>
      </c>
      <c r="F1069">
        <v>18</v>
      </c>
      <c r="G1069">
        <v>3166</v>
      </c>
      <c r="H1069" t="str">
        <f>TEXT(TbDespesas[[#This Row],[data_transacao]], "aaaa-mm")</f>
        <v>2025-12</v>
      </c>
    </row>
    <row r="1070" spans="1:8">
      <c r="A1070">
        <v>1069</v>
      </c>
      <c r="B1070" s="1">
        <v>46062</v>
      </c>
      <c r="C1070" t="s">
        <v>538</v>
      </c>
      <c r="D1070" t="s">
        <v>123</v>
      </c>
      <c r="E1070">
        <v>421</v>
      </c>
      <c r="F1070">
        <v>5</v>
      </c>
      <c r="G1070">
        <v>2382</v>
      </c>
      <c r="H1070" t="str">
        <f>TEXT(TbDespesas[[#This Row],[data_transacao]], "aaaa-mm")</f>
        <v>2026-02</v>
      </c>
    </row>
    <row r="1071" spans="1:8">
      <c r="A1071">
        <v>1070</v>
      </c>
      <c r="B1071" s="1">
        <v>46062</v>
      </c>
      <c r="C1071" t="s">
        <v>538</v>
      </c>
      <c r="D1071" t="s">
        <v>601</v>
      </c>
      <c r="E1071">
        <v>460</v>
      </c>
      <c r="F1071">
        <v>4</v>
      </c>
      <c r="G1071">
        <v>1948</v>
      </c>
      <c r="H1071" t="str">
        <f>TEXT(TbDespesas[[#This Row],[data_transacao]], "aaaa-mm")</f>
        <v>2026-02</v>
      </c>
    </row>
    <row r="1072" spans="1:8">
      <c r="A1072">
        <v>1071</v>
      </c>
      <c r="B1072" s="1">
        <v>46062</v>
      </c>
      <c r="C1072" t="s">
        <v>538</v>
      </c>
      <c r="D1072" t="s">
        <v>53</v>
      </c>
      <c r="E1072">
        <v>156</v>
      </c>
      <c r="F1072">
        <v>26</v>
      </c>
      <c r="G1072">
        <v>4095</v>
      </c>
      <c r="H1072" t="str">
        <f>TEXT(TbDespesas[[#This Row],[data_transacao]], "aaaa-mm")</f>
        <v>2026-02</v>
      </c>
    </row>
    <row r="1073" spans="1:8">
      <c r="A1073">
        <v>1072</v>
      </c>
      <c r="B1073" s="1">
        <v>46062</v>
      </c>
      <c r="C1073" t="s">
        <v>538</v>
      </c>
      <c r="D1073" t="s">
        <v>92</v>
      </c>
      <c r="E1073">
        <v>438</v>
      </c>
      <c r="F1073">
        <v>5</v>
      </c>
      <c r="G1073">
        <v>2488</v>
      </c>
      <c r="H1073" t="str">
        <f>TEXT(TbDespesas[[#This Row],[data_transacao]], "aaaa-mm")</f>
        <v>2026-02</v>
      </c>
    </row>
    <row r="1074" spans="1:8">
      <c r="A1074">
        <v>1073</v>
      </c>
      <c r="B1074" s="1">
        <v>46062</v>
      </c>
      <c r="C1074" t="s">
        <v>538</v>
      </c>
      <c r="D1074" t="s">
        <v>540</v>
      </c>
      <c r="E1074">
        <v>12</v>
      </c>
      <c r="F1074">
        <v>94</v>
      </c>
      <c r="G1074">
        <v>1128</v>
      </c>
      <c r="H1074" t="str">
        <f>TEXT(TbDespesas[[#This Row],[data_transacao]], "aaaa-mm")</f>
        <v>2026-02</v>
      </c>
    </row>
    <row r="1075" spans="1:8">
      <c r="A1075">
        <v>1074</v>
      </c>
      <c r="B1075" s="1">
        <v>46062</v>
      </c>
      <c r="C1075" t="s">
        <v>538</v>
      </c>
      <c r="D1075" t="s">
        <v>602</v>
      </c>
      <c r="E1075">
        <v>245</v>
      </c>
      <c r="F1075">
        <v>5</v>
      </c>
      <c r="G1075">
        <v>1303</v>
      </c>
      <c r="H1075" t="str">
        <f>TEXT(TbDespesas[[#This Row],[data_transacao]], "aaaa-mm")</f>
        <v>2026-02</v>
      </c>
    </row>
    <row r="1076" spans="1:8">
      <c r="A1076">
        <v>1075</v>
      </c>
      <c r="B1076" s="1">
        <v>46062</v>
      </c>
      <c r="C1076" t="s">
        <v>538</v>
      </c>
      <c r="D1076" t="s">
        <v>295</v>
      </c>
      <c r="E1076">
        <v>298</v>
      </c>
      <c r="F1076">
        <v>5</v>
      </c>
      <c r="G1076">
        <v>1743</v>
      </c>
      <c r="H1076" t="str">
        <f>TEXT(TbDespesas[[#This Row],[data_transacao]], "aaaa-mm")</f>
        <v>2026-02</v>
      </c>
    </row>
    <row r="1077" spans="1:8">
      <c r="A1077">
        <v>1076</v>
      </c>
      <c r="B1077" s="1">
        <v>46062</v>
      </c>
      <c r="C1077" t="s">
        <v>538</v>
      </c>
      <c r="D1077" t="s">
        <v>253</v>
      </c>
      <c r="E1077">
        <v>315</v>
      </c>
      <c r="F1077">
        <v>7</v>
      </c>
      <c r="G1077">
        <v>2407</v>
      </c>
      <c r="H1077" t="str">
        <f>TEXT(TbDespesas[[#This Row],[data_transacao]], "aaaa-mm")</f>
        <v>2026-02</v>
      </c>
    </row>
    <row r="1078" spans="1:8">
      <c r="A1078">
        <v>1077</v>
      </c>
      <c r="B1078" s="1">
        <v>46062</v>
      </c>
      <c r="C1078" t="s">
        <v>538</v>
      </c>
      <c r="D1078" t="s">
        <v>547</v>
      </c>
      <c r="E1078">
        <v>73</v>
      </c>
      <c r="F1078">
        <v>15</v>
      </c>
      <c r="G1078">
        <v>1165</v>
      </c>
      <c r="H1078" t="str">
        <f>TEXT(TbDespesas[[#This Row],[data_transacao]], "aaaa-mm")</f>
        <v>2026-02</v>
      </c>
    </row>
    <row r="1079" spans="1:8">
      <c r="A1079">
        <v>1078</v>
      </c>
      <c r="B1079" s="1">
        <v>46062</v>
      </c>
      <c r="C1079" t="s">
        <v>538</v>
      </c>
      <c r="D1079" t="s">
        <v>523</v>
      </c>
      <c r="E1079">
        <v>123</v>
      </c>
      <c r="F1079">
        <v>11</v>
      </c>
      <c r="G1079">
        <v>1399</v>
      </c>
      <c r="H1079" t="str">
        <f>TEXT(TbDespesas[[#This Row],[data_transacao]], "aaaa-mm")</f>
        <v>2026-02</v>
      </c>
    </row>
    <row r="1080" spans="1:8">
      <c r="A1080">
        <v>1079</v>
      </c>
      <c r="B1080" s="1">
        <v>46062</v>
      </c>
      <c r="C1080" t="s">
        <v>538</v>
      </c>
      <c r="D1080" t="s">
        <v>297</v>
      </c>
      <c r="E1080">
        <v>432</v>
      </c>
      <c r="F1080">
        <v>2</v>
      </c>
      <c r="G1080">
        <v>1143</v>
      </c>
      <c r="H1080" t="str">
        <f>TEXT(TbDespesas[[#This Row],[data_transacao]], "aaaa-mm")</f>
        <v>2026-02</v>
      </c>
    </row>
    <row r="1081" spans="1:8">
      <c r="A1081">
        <v>1080</v>
      </c>
      <c r="B1081" s="1">
        <v>46168</v>
      </c>
      <c r="C1081" t="s">
        <v>206</v>
      </c>
      <c r="D1081" t="s">
        <v>603</v>
      </c>
      <c r="E1081">
        <v>341</v>
      </c>
      <c r="F1081">
        <v>11</v>
      </c>
      <c r="G1081">
        <v>3854</v>
      </c>
      <c r="H1081" t="str">
        <f>TEXT(TbDespesas[[#This Row],[data_transacao]], "aaaa-mm")</f>
        <v>2026-05</v>
      </c>
    </row>
    <row r="1082" spans="1:8">
      <c r="A1082">
        <v>1081</v>
      </c>
      <c r="B1082" s="1">
        <v>46168</v>
      </c>
      <c r="C1082" t="s">
        <v>206</v>
      </c>
      <c r="D1082" t="s">
        <v>534</v>
      </c>
      <c r="E1082">
        <v>417</v>
      </c>
      <c r="F1082">
        <v>5</v>
      </c>
      <c r="G1082">
        <v>2221</v>
      </c>
      <c r="H1082" t="str">
        <f>TEXT(TbDespesas[[#This Row],[data_transacao]], "aaaa-mm")</f>
        <v>2026-05</v>
      </c>
    </row>
    <row r="1083" spans="1:8">
      <c r="A1083">
        <v>1082</v>
      </c>
      <c r="B1083" s="1">
        <v>46168</v>
      </c>
      <c r="C1083" t="s">
        <v>206</v>
      </c>
      <c r="D1083" t="s">
        <v>243</v>
      </c>
      <c r="E1083">
        <v>242</v>
      </c>
      <c r="F1083">
        <v>6</v>
      </c>
      <c r="G1083">
        <v>1565</v>
      </c>
      <c r="H1083" t="str">
        <f>TEXT(TbDespesas[[#This Row],[data_transacao]], "aaaa-mm")</f>
        <v>2026-05</v>
      </c>
    </row>
    <row r="1084" spans="1:8">
      <c r="A1084">
        <v>1083</v>
      </c>
      <c r="B1084" s="1">
        <v>46168</v>
      </c>
      <c r="C1084" t="s">
        <v>206</v>
      </c>
      <c r="D1084" t="s">
        <v>98</v>
      </c>
      <c r="E1084">
        <v>268</v>
      </c>
      <c r="F1084">
        <v>7</v>
      </c>
      <c r="G1084">
        <v>2087</v>
      </c>
      <c r="H1084" t="str">
        <f>TEXT(TbDespesas[[#This Row],[data_transacao]], "aaaa-mm")</f>
        <v>2026-05</v>
      </c>
    </row>
    <row r="1085" spans="1:8">
      <c r="A1085">
        <v>1084</v>
      </c>
      <c r="B1085" s="1">
        <v>46168</v>
      </c>
      <c r="C1085" t="s">
        <v>206</v>
      </c>
      <c r="D1085" t="s">
        <v>592</v>
      </c>
      <c r="E1085">
        <v>479</v>
      </c>
      <c r="F1085">
        <v>4</v>
      </c>
      <c r="G1085">
        <v>2346</v>
      </c>
      <c r="H1085" t="str">
        <f>TEXT(TbDespesas[[#This Row],[data_transacao]], "aaaa-mm")</f>
        <v>2026-05</v>
      </c>
    </row>
    <row r="1086" spans="1:8">
      <c r="A1086">
        <v>1085</v>
      </c>
      <c r="B1086" s="1">
        <v>46168</v>
      </c>
      <c r="C1086" t="s">
        <v>206</v>
      </c>
      <c r="D1086" t="s">
        <v>597</v>
      </c>
      <c r="E1086">
        <v>163</v>
      </c>
      <c r="F1086">
        <v>12</v>
      </c>
      <c r="G1086">
        <v>2011</v>
      </c>
      <c r="H1086" t="str">
        <f>TEXT(TbDespesas[[#This Row],[data_transacao]], "aaaa-mm")</f>
        <v>2026-05</v>
      </c>
    </row>
    <row r="1087" spans="1:8">
      <c r="A1087">
        <v>1086</v>
      </c>
      <c r="B1087" s="1">
        <v>46168</v>
      </c>
      <c r="C1087" t="s">
        <v>206</v>
      </c>
      <c r="D1087" t="s">
        <v>600</v>
      </c>
      <c r="E1087">
        <v>338</v>
      </c>
      <c r="F1087">
        <v>2</v>
      </c>
      <c r="G1087">
        <v>750</v>
      </c>
      <c r="H1087" t="str">
        <f>TEXT(TbDespesas[[#This Row],[data_transacao]], "aaaa-mm")</f>
        <v>2026-05</v>
      </c>
    </row>
    <row r="1088" spans="1:8">
      <c r="A1088">
        <v>1087</v>
      </c>
      <c r="B1088" s="1">
        <v>46168</v>
      </c>
      <c r="C1088" t="s">
        <v>206</v>
      </c>
      <c r="D1088" t="s">
        <v>544</v>
      </c>
      <c r="E1088">
        <v>106</v>
      </c>
      <c r="F1088">
        <v>6</v>
      </c>
      <c r="G1088">
        <v>662</v>
      </c>
      <c r="H1088" t="str">
        <f>TEXT(TbDespesas[[#This Row],[data_transacao]], "aaaa-mm")</f>
        <v>2026-05</v>
      </c>
    </row>
    <row r="1089" spans="1:8">
      <c r="A1089">
        <v>1088</v>
      </c>
      <c r="B1089" s="1">
        <v>46168</v>
      </c>
      <c r="C1089" t="s">
        <v>206</v>
      </c>
      <c r="D1089" t="s">
        <v>141</v>
      </c>
      <c r="E1089">
        <v>108</v>
      </c>
      <c r="F1089">
        <v>27</v>
      </c>
      <c r="G1089">
        <v>2929</v>
      </c>
      <c r="H1089" t="str">
        <f>TEXT(TbDespesas[[#This Row],[data_transacao]], "aaaa-mm")</f>
        <v>2026-05</v>
      </c>
    </row>
    <row r="1090" spans="1:8">
      <c r="A1090">
        <v>1089</v>
      </c>
      <c r="B1090" s="1">
        <v>46168</v>
      </c>
      <c r="C1090" t="s">
        <v>206</v>
      </c>
      <c r="D1090" t="s">
        <v>539</v>
      </c>
      <c r="E1090">
        <v>454</v>
      </c>
      <c r="F1090">
        <v>4</v>
      </c>
      <c r="G1090">
        <v>1980</v>
      </c>
      <c r="H1090" t="str">
        <f>TEXT(TbDespesas[[#This Row],[data_transacao]], "aaaa-mm")</f>
        <v>2026-05</v>
      </c>
    </row>
    <row r="1091" spans="1:8">
      <c r="A1091">
        <v>1090</v>
      </c>
      <c r="B1091" s="1">
        <v>46269</v>
      </c>
      <c r="C1091" t="s">
        <v>495</v>
      </c>
      <c r="D1091" t="s">
        <v>604</v>
      </c>
      <c r="E1091">
        <v>57</v>
      </c>
      <c r="F1091">
        <v>2</v>
      </c>
      <c r="G1091">
        <v>160</v>
      </c>
      <c r="H1091" t="str">
        <f>TEXT(TbDespesas[[#This Row],[data_transacao]], "aaaa-mm")</f>
        <v>2026-09</v>
      </c>
    </row>
    <row r="1092" spans="1:8">
      <c r="A1092">
        <v>1091</v>
      </c>
      <c r="B1092" s="1">
        <v>46269</v>
      </c>
      <c r="C1092" t="s">
        <v>495</v>
      </c>
      <c r="D1092" t="s">
        <v>131</v>
      </c>
      <c r="E1092">
        <v>64</v>
      </c>
      <c r="F1092">
        <v>15</v>
      </c>
      <c r="G1092">
        <v>1000</v>
      </c>
      <c r="H1092" t="str">
        <f>TEXT(TbDespesas[[#This Row],[data_transacao]], "aaaa-mm")</f>
        <v>2026-09</v>
      </c>
    </row>
    <row r="1093" spans="1:8">
      <c r="A1093">
        <v>1092</v>
      </c>
      <c r="B1093" s="1">
        <v>46269</v>
      </c>
      <c r="C1093" t="s">
        <v>495</v>
      </c>
      <c r="D1093" t="s">
        <v>605</v>
      </c>
      <c r="E1093">
        <v>430</v>
      </c>
      <c r="F1093">
        <v>4</v>
      </c>
      <c r="G1093">
        <v>2124</v>
      </c>
      <c r="H1093" t="str">
        <f>TEXT(TbDespesas[[#This Row],[data_transacao]], "aaaa-mm")</f>
        <v>2026-09</v>
      </c>
    </row>
    <row r="1094" spans="1:8">
      <c r="A1094">
        <v>1093</v>
      </c>
      <c r="B1094" s="1">
        <v>46269</v>
      </c>
      <c r="C1094" t="s">
        <v>495</v>
      </c>
      <c r="D1094" t="s">
        <v>557</v>
      </c>
      <c r="E1094">
        <v>460</v>
      </c>
      <c r="F1094">
        <v>6</v>
      </c>
      <c r="G1094">
        <v>3005</v>
      </c>
      <c r="H1094" t="str">
        <f>TEXT(TbDespesas[[#This Row],[data_transacao]], "aaaa-mm")</f>
        <v>2026-09</v>
      </c>
    </row>
    <row r="1095" spans="1:8">
      <c r="A1095">
        <v>1094</v>
      </c>
      <c r="B1095" s="1">
        <v>46121</v>
      </c>
      <c r="C1095" t="s">
        <v>234</v>
      </c>
      <c r="D1095" t="s">
        <v>426</v>
      </c>
      <c r="E1095">
        <v>149</v>
      </c>
      <c r="F1095">
        <v>14</v>
      </c>
      <c r="G1095">
        <v>2158</v>
      </c>
      <c r="H1095" t="str">
        <f>TEXT(TbDespesas[[#This Row],[data_transacao]], "aaaa-mm")</f>
        <v>2026-04</v>
      </c>
    </row>
    <row r="1096" spans="1:8">
      <c r="A1096">
        <v>1095</v>
      </c>
      <c r="B1096" s="1">
        <v>46121</v>
      </c>
      <c r="C1096" t="s">
        <v>234</v>
      </c>
      <c r="D1096" t="s">
        <v>606</v>
      </c>
      <c r="E1096">
        <v>151</v>
      </c>
      <c r="F1096">
        <v>14</v>
      </c>
      <c r="G1096">
        <v>2216</v>
      </c>
      <c r="H1096" t="str">
        <f>TEXT(TbDespesas[[#This Row],[data_transacao]], "aaaa-mm")</f>
        <v>2026-04</v>
      </c>
    </row>
    <row r="1097" spans="1:8">
      <c r="A1097">
        <v>1096</v>
      </c>
      <c r="B1097" s="1">
        <v>46121</v>
      </c>
      <c r="C1097" t="s">
        <v>234</v>
      </c>
      <c r="D1097" t="s">
        <v>607</v>
      </c>
      <c r="E1097">
        <v>74</v>
      </c>
      <c r="F1097">
        <v>19</v>
      </c>
      <c r="G1097">
        <v>1427</v>
      </c>
      <c r="H1097" t="str">
        <f>TEXT(TbDespesas[[#This Row],[data_transacao]], "aaaa-mm")</f>
        <v>2026-04</v>
      </c>
    </row>
    <row r="1098" spans="1:8">
      <c r="A1098">
        <v>1097</v>
      </c>
      <c r="B1098" s="1">
        <v>46003</v>
      </c>
      <c r="C1098" t="s">
        <v>28</v>
      </c>
      <c r="D1098" t="s">
        <v>202</v>
      </c>
      <c r="E1098">
        <v>293</v>
      </c>
      <c r="F1098">
        <v>2</v>
      </c>
      <c r="G1098">
        <v>757</v>
      </c>
      <c r="H1098" t="str">
        <f>TEXT(TbDespesas[[#This Row],[data_transacao]], "aaaa-mm")</f>
        <v>2025-12</v>
      </c>
    </row>
    <row r="1099" spans="1:8">
      <c r="A1099">
        <v>1098</v>
      </c>
      <c r="B1099" s="1">
        <v>46003</v>
      </c>
      <c r="C1099" t="s">
        <v>28</v>
      </c>
      <c r="D1099" t="s">
        <v>105</v>
      </c>
      <c r="E1099">
        <v>138</v>
      </c>
      <c r="F1099">
        <v>28</v>
      </c>
      <c r="G1099">
        <v>3877</v>
      </c>
      <c r="H1099" t="str">
        <f>TEXT(TbDespesas[[#This Row],[data_transacao]], "aaaa-mm")</f>
        <v>2025-12</v>
      </c>
    </row>
    <row r="1100" spans="1:8">
      <c r="A1100">
        <v>1099</v>
      </c>
      <c r="B1100" s="1">
        <v>46003</v>
      </c>
      <c r="C1100" t="s">
        <v>28</v>
      </c>
      <c r="D1100" t="s">
        <v>453</v>
      </c>
      <c r="E1100">
        <v>166</v>
      </c>
      <c r="F1100">
        <v>13</v>
      </c>
      <c r="G1100">
        <v>2255</v>
      </c>
      <c r="H1100" t="str">
        <f>TEXT(TbDespesas[[#This Row],[data_transacao]], "aaaa-mm")</f>
        <v>2025-12</v>
      </c>
    </row>
    <row r="1101" spans="1:8">
      <c r="A1101">
        <v>1100</v>
      </c>
      <c r="B1101" s="1">
        <v>46228</v>
      </c>
      <c r="C1101" t="s">
        <v>150</v>
      </c>
      <c r="D1101" t="s">
        <v>286</v>
      </c>
      <c r="E1101">
        <v>262</v>
      </c>
      <c r="F1101">
        <v>10</v>
      </c>
      <c r="G1101">
        <v>2746</v>
      </c>
      <c r="H1101" t="str">
        <f>TEXT(TbDespesas[[#This Row],[data_transacao]], "aaaa-mm")</f>
        <v>2026-07</v>
      </c>
    </row>
    <row r="1102" spans="1:8">
      <c r="A1102">
        <v>1101</v>
      </c>
      <c r="B1102" s="1">
        <v>46228</v>
      </c>
      <c r="C1102" t="s">
        <v>150</v>
      </c>
      <c r="D1102" t="s">
        <v>608</v>
      </c>
      <c r="E1102">
        <v>242</v>
      </c>
      <c r="F1102">
        <v>7</v>
      </c>
      <c r="G1102">
        <v>1822</v>
      </c>
      <c r="H1102" t="str">
        <f>TEXT(TbDespesas[[#This Row],[data_transacao]], "aaaa-mm")</f>
        <v>2026-07</v>
      </c>
    </row>
    <row r="1103" spans="1:8">
      <c r="A1103">
        <v>1102</v>
      </c>
      <c r="B1103" s="1">
        <v>46228</v>
      </c>
      <c r="C1103" t="s">
        <v>150</v>
      </c>
      <c r="D1103" t="s">
        <v>61</v>
      </c>
      <c r="E1103">
        <v>234</v>
      </c>
      <c r="F1103">
        <v>13</v>
      </c>
      <c r="G1103">
        <v>3067</v>
      </c>
      <c r="H1103" t="str">
        <f>TEXT(TbDespesas[[#This Row],[data_transacao]], "aaaa-mm")</f>
        <v>2026-07</v>
      </c>
    </row>
    <row r="1104" spans="1:8">
      <c r="A1104">
        <v>1103</v>
      </c>
      <c r="B1104" s="1">
        <v>46228</v>
      </c>
      <c r="C1104" t="s">
        <v>150</v>
      </c>
      <c r="D1104" t="s">
        <v>381</v>
      </c>
      <c r="E1104">
        <v>192</v>
      </c>
      <c r="F1104">
        <v>8</v>
      </c>
      <c r="G1104">
        <v>1628</v>
      </c>
      <c r="H1104" t="str">
        <f>TEXT(TbDespesas[[#This Row],[data_transacao]], "aaaa-mm")</f>
        <v>2026-07</v>
      </c>
    </row>
    <row r="1105" spans="1:8">
      <c r="A1105">
        <v>1104</v>
      </c>
      <c r="B1105" s="1">
        <v>46228</v>
      </c>
      <c r="C1105" t="s">
        <v>150</v>
      </c>
      <c r="D1105" t="s">
        <v>609</v>
      </c>
      <c r="E1105">
        <v>190</v>
      </c>
      <c r="F1105">
        <v>12</v>
      </c>
      <c r="G1105">
        <v>2432</v>
      </c>
      <c r="H1105" t="str">
        <f>TEXT(TbDespesas[[#This Row],[data_transacao]], "aaaa-mm")</f>
        <v>2026-07</v>
      </c>
    </row>
    <row r="1106" spans="1:8">
      <c r="A1106">
        <v>1105</v>
      </c>
      <c r="B1106" s="1">
        <v>46228</v>
      </c>
      <c r="C1106" t="s">
        <v>150</v>
      </c>
      <c r="D1106" t="s">
        <v>610</v>
      </c>
      <c r="E1106">
        <v>67</v>
      </c>
      <c r="F1106">
        <v>12</v>
      </c>
      <c r="G1106">
        <v>838</v>
      </c>
      <c r="H1106" t="str">
        <f>TEXT(TbDespesas[[#This Row],[data_transacao]], "aaaa-mm")</f>
        <v>2026-07</v>
      </c>
    </row>
    <row r="1107" spans="1:8">
      <c r="A1107">
        <v>1106</v>
      </c>
      <c r="B1107" s="1">
        <v>46228</v>
      </c>
      <c r="C1107" t="s">
        <v>150</v>
      </c>
      <c r="D1107" t="s">
        <v>447</v>
      </c>
      <c r="E1107">
        <v>11</v>
      </c>
      <c r="F1107">
        <v>217</v>
      </c>
      <c r="G1107">
        <v>2394</v>
      </c>
      <c r="H1107" t="str">
        <f>TEXT(TbDespesas[[#This Row],[data_transacao]], "aaaa-mm")</f>
        <v>2026-07</v>
      </c>
    </row>
    <row r="1108" spans="1:8">
      <c r="A1108">
        <v>1107</v>
      </c>
      <c r="B1108" s="1">
        <v>46228</v>
      </c>
      <c r="C1108" t="s">
        <v>150</v>
      </c>
      <c r="D1108" t="s">
        <v>528</v>
      </c>
      <c r="E1108">
        <v>64</v>
      </c>
      <c r="F1108">
        <v>28</v>
      </c>
      <c r="G1108">
        <v>1803</v>
      </c>
      <c r="H1108" t="str">
        <f>TEXT(TbDespesas[[#This Row],[data_transacao]], "aaaa-mm")</f>
        <v>2026-07</v>
      </c>
    </row>
    <row r="1109" spans="1:8">
      <c r="A1109">
        <v>1108</v>
      </c>
      <c r="B1109" s="1">
        <v>46228</v>
      </c>
      <c r="C1109" t="s">
        <v>150</v>
      </c>
      <c r="D1109" t="s">
        <v>451</v>
      </c>
      <c r="E1109">
        <v>364</v>
      </c>
      <c r="F1109">
        <v>5</v>
      </c>
      <c r="G1109">
        <v>1876</v>
      </c>
      <c r="H1109" t="str">
        <f>TEXT(TbDespesas[[#This Row],[data_transacao]], "aaaa-mm")</f>
        <v>2026-07</v>
      </c>
    </row>
    <row r="1110" spans="1:8">
      <c r="A1110">
        <v>1109</v>
      </c>
      <c r="B1110" s="1">
        <v>46173</v>
      </c>
      <c r="C1110" t="s">
        <v>485</v>
      </c>
      <c r="D1110" t="s">
        <v>173</v>
      </c>
      <c r="E1110">
        <v>44</v>
      </c>
      <c r="F1110">
        <v>29</v>
      </c>
      <c r="G1110">
        <v>1309</v>
      </c>
      <c r="H1110" t="str">
        <f>TEXT(TbDespesas[[#This Row],[data_transacao]], "aaaa-mm")</f>
        <v>2026-05</v>
      </c>
    </row>
    <row r="1111" spans="1:8">
      <c r="A1111">
        <v>1110</v>
      </c>
      <c r="B1111" s="1">
        <v>46173</v>
      </c>
      <c r="C1111" t="s">
        <v>485</v>
      </c>
      <c r="D1111" t="s">
        <v>125</v>
      </c>
      <c r="E1111">
        <v>18</v>
      </c>
      <c r="F1111">
        <v>127</v>
      </c>
      <c r="G1111">
        <v>2290</v>
      </c>
      <c r="H1111" t="str">
        <f>TEXT(TbDespesas[[#This Row],[data_transacao]], "aaaa-mm")</f>
        <v>2026-05</v>
      </c>
    </row>
    <row r="1112" spans="1:8">
      <c r="A1112">
        <v>1111</v>
      </c>
      <c r="B1112" s="1">
        <v>46173</v>
      </c>
      <c r="C1112" t="s">
        <v>485</v>
      </c>
      <c r="D1112" t="s">
        <v>611</v>
      </c>
      <c r="E1112">
        <v>102</v>
      </c>
      <c r="F1112">
        <v>21</v>
      </c>
      <c r="G1112">
        <v>2204</v>
      </c>
      <c r="H1112" t="str">
        <f>TEXT(TbDespesas[[#This Row],[data_transacao]], "aaaa-mm")</f>
        <v>2026-05</v>
      </c>
    </row>
    <row r="1113" spans="1:8">
      <c r="A1113">
        <v>1112</v>
      </c>
      <c r="B1113" s="1">
        <v>46173</v>
      </c>
      <c r="C1113" t="s">
        <v>485</v>
      </c>
      <c r="D1113" t="s">
        <v>55</v>
      </c>
      <c r="E1113">
        <v>33</v>
      </c>
      <c r="F1113">
        <v>41</v>
      </c>
      <c r="G1113">
        <v>1363</v>
      </c>
      <c r="H1113" t="str">
        <f>TEXT(TbDespesas[[#This Row],[data_transacao]], "aaaa-mm")</f>
        <v>2026-05</v>
      </c>
    </row>
    <row r="1114" spans="1:8">
      <c r="A1114">
        <v>1113</v>
      </c>
      <c r="B1114" s="1">
        <v>45972</v>
      </c>
      <c r="C1114" t="s">
        <v>403</v>
      </c>
      <c r="D1114" t="s">
        <v>612</v>
      </c>
      <c r="E1114">
        <v>310</v>
      </c>
      <c r="F1114">
        <v>9</v>
      </c>
      <c r="G1114">
        <v>2821</v>
      </c>
      <c r="H1114" t="str">
        <f>TEXT(TbDespesas[[#This Row],[data_transacao]], "aaaa-mm")</f>
        <v>2025-11</v>
      </c>
    </row>
    <row r="1115" spans="1:8">
      <c r="A1115">
        <v>1114</v>
      </c>
      <c r="B1115" s="1">
        <v>45972</v>
      </c>
      <c r="C1115" t="s">
        <v>403</v>
      </c>
      <c r="D1115" t="s">
        <v>377</v>
      </c>
      <c r="E1115">
        <v>495</v>
      </c>
      <c r="F1115">
        <v>9</v>
      </c>
      <c r="G1115">
        <v>4911</v>
      </c>
      <c r="H1115" t="str">
        <f>TEXT(TbDespesas[[#This Row],[data_transacao]], "aaaa-mm")</f>
        <v>2025-11</v>
      </c>
    </row>
    <row r="1116" spans="1:8">
      <c r="A1116">
        <v>1115</v>
      </c>
      <c r="B1116" s="1">
        <v>45972</v>
      </c>
      <c r="C1116" t="s">
        <v>403</v>
      </c>
      <c r="D1116" t="s">
        <v>438</v>
      </c>
      <c r="E1116">
        <v>111</v>
      </c>
      <c r="F1116">
        <v>16</v>
      </c>
      <c r="G1116">
        <v>1842</v>
      </c>
      <c r="H1116" t="str">
        <f>TEXT(TbDespesas[[#This Row],[data_transacao]], "aaaa-mm")</f>
        <v>2025-11</v>
      </c>
    </row>
    <row r="1117" spans="1:8">
      <c r="A1117">
        <v>1116</v>
      </c>
      <c r="B1117" s="1">
        <v>45972</v>
      </c>
      <c r="C1117" t="s">
        <v>403</v>
      </c>
      <c r="D1117" t="s">
        <v>570</v>
      </c>
      <c r="E1117">
        <v>233</v>
      </c>
      <c r="F1117">
        <v>4</v>
      </c>
      <c r="G1117">
        <v>1006</v>
      </c>
      <c r="H1117" t="str">
        <f>TEXT(TbDespesas[[#This Row],[data_transacao]], "aaaa-mm")</f>
        <v>2025-11</v>
      </c>
    </row>
    <row r="1118" spans="1:8">
      <c r="A1118">
        <v>1117</v>
      </c>
      <c r="B1118" s="1">
        <v>45972</v>
      </c>
      <c r="C1118" t="s">
        <v>403</v>
      </c>
      <c r="D1118" t="s">
        <v>613</v>
      </c>
      <c r="E1118">
        <v>482</v>
      </c>
      <c r="F1118">
        <v>5</v>
      </c>
      <c r="G1118">
        <v>2751</v>
      </c>
      <c r="H1118" t="str">
        <f>TEXT(TbDespesas[[#This Row],[data_transacao]], "aaaa-mm")</f>
        <v>2025-11</v>
      </c>
    </row>
    <row r="1119" spans="1:8">
      <c r="A1119">
        <v>1118</v>
      </c>
      <c r="B1119" s="1">
        <v>45972</v>
      </c>
      <c r="C1119" t="s">
        <v>403</v>
      </c>
      <c r="D1119" t="s">
        <v>167</v>
      </c>
      <c r="E1119">
        <v>283</v>
      </c>
      <c r="F1119">
        <v>1</v>
      </c>
      <c r="G1119">
        <v>510</v>
      </c>
      <c r="H1119" t="str">
        <f>TEXT(TbDespesas[[#This Row],[data_transacao]], "aaaa-mm")</f>
        <v>2025-11</v>
      </c>
    </row>
    <row r="1120" spans="1:8">
      <c r="A1120">
        <v>1119</v>
      </c>
      <c r="B1120" s="1">
        <v>45972</v>
      </c>
      <c r="C1120" t="s">
        <v>403</v>
      </c>
      <c r="D1120" t="s">
        <v>101</v>
      </c>
      <c r="E1120">
        <v>356</v>
      </c>
      <c r="F1120">
        <v>0</v>
      </c>
      <c r="G1120">
        <v>293</v>
      </c>
      <c r="H1120" t="str">
        <f>TEXT(TbDespesas[[#This Row],[data_transacao]], "aaaa-mm")</f>
        <v>2025-11</v>
      </c>
    </row>
    <row r="1121" spans="1:8">
      <c r="A1121">
        <v>1120</v>
      </c>
      <c r="B1121" s="1">
        <v>45972</v>
      </c>
      <c r="C1121" t="s">
        <v>403</v>
      </c>
      <c r="D1121" t="s">
        <v>315</v>
      </c>
      <c r="E1121">
        <v>457</v>
      </c>
      <c r="F1121">
        <v>5</v>
      </c>
      <c r="G1121">
        <v>2388</v>
      </c>
      <c r="H1121" t="str">
        <f>TEXT(TbDespesas[[#This Row],[data_transacao]], "aaaa-mm")</f>
        <v>2025-11</v>
      </c>
    </row>
    <row r="1122" spans="1:8">
      <c r="A1122">
        <v>1121</v>
      </c>
      <c r="B1122" s="1">
        <v>45972</v>
      </c>
      <c r="C1122" t="s">
        <v>403</v>
      </c>
      <c r="D1122" t="s">
        <v>614</v>
      </c>
      <c r="E1122">
        <v>134</v>
      </c>
      <c r="F1122">
        <v>10</v>
      </c>
      <c r="G1122">
        <v>1471</v>
      </c>
      <c r="H1122" t="str">
        <f>TEXT(TbDespesas[[#This Row],[data_transacao]], "aaaa-mm")</f>
        <v>2025-11</v>
      </c>
    </row>
    <row r="1123" spans="1:8">
      <c r="A1123">
        <v>1122</v>
      </c>
      <c r="B1123" s="1">
        <v>46037</v>
      </c>
      <c r="C1123" t="s">
        <v>615</v>
      </c>
      <c r="D1123" t="s">
        <v>272</v>
      </c>
      <c r="E1123">
        <v>107</v>
      </c>
      <c r="F1123">
        <v>14</v>
      </c>
      <c r="G1123">
        <v>1522</v>
      </c>
      <c r="H1123" t="str">
        <f>TEXT(TbDespesas[[#This Row],[data_transacao]], "aaaa-mm")</f>
        <v>2026-01</v>
      </c>
    </row>
    <row r="1124" spans="1:8">
      <c r="A1124">
        <v>1123</v>
      </c>
      <c r="B1124" s="1">
        <v>46037</v>
      </c>
      <c r="C1124" t="s">
        <v>615</v>
      </c>
      <c r="D1124" t="s">
        <v>48</v>
      </c>
      <c r="E1124">
        <v>84</v>
      </c>
      <c r="F1124">
        <v>12</v>
      </c>
      <c r="G1124">
        <v>1073</v>
      </c>
      <c r="H1124" t="str">
        <f>TEXT(TbDespesas[[#This Row],[data_transacao]], "aaaa-mm")</f>
        <v>2026-01</v>
      </c>
    </row>
    <row r="1125" spans="1:8">
      <c r="A1125">
        <v>1124</v>
      </c>
      <c r="B1125" s="1">
        <v>46037</v>
      </c>
      <c r="C1125" t="s">
        <v>615</v>
      </c>
      <c r="D1125" t="s">
        <v>50</v>
      </c>
      <c r="E1125">
        <v>289</v>
      </c>
      <c r="F1125">
        <v>8</v>
      </c>
      <c r="G1125">
        <v>2455</v>
      </c>
      <c r="H1125" t="str">
        <f>TEXT(TbDespesas[[#This Row],[data_transacao]], "aaaa-mm")</f>
        <v>2026-01</v>
      </c>
    </row>
    <row r="1126" spans="1:8">
      <c r="A1126">
        <v>1125</v>
      </c>
      <c r="B1126" s="1">
        <v>46037</v>
      </c>
      <c r="C1126" t="s">
        <v>615</v>
      </c>
      <c r="D1126" t="s">
        <v>127</v>
      </c>
      <c r="E1126">
        <v>273</v>
      </c>
      <c r="F1126">
        <v>2</v>
      </c>
      <c r="G1126">
        <v>659</v>
      </c>
      <c r="H1126" t="str">
        <f>TEXT(TbDespesas[[#This Row],[data_transacao]], "aaaa-mm")</f>
        <v>2026-01</v>
      </c>
    </row>
    <row r="1127" spans="1:8">
      <c r="A1127">
        <v>1126</v>
      </c>
      <c r="B1127" s="1">
        <v>46037</v>
      </c>
      <c r="C1127" t="s">
        <v>615</v>
      </c>
      <c r="D1127" t="s">
        <v>483</v>
      </c>
      <c r="E1127">
        <v>98</v>
      </c>
      <c r="F1127">
        <v>24</v>
      </c>
      <c r="G1127">
        <v>2416</v>
      </c>
      <c r="H1127" t="str">
        <f>TEXT(TbDespesas[[#This Row],[data_transacao]], "aaaa-mm")</f>
        <v>2026-01</v>
      </c>
    </row>
    <row r="1128" spans="1:8">
      <c r="A1128">
        <v>1127</v>
      </c>
      <c r="B1128" s="1">
        <v>46037</v>
      </c>
      <c r="C1128" t="s">
        <v>615</v>
      </c>
      <c r="D1128" t="s">
        <v>566</v>
      </c>
      <c r="E1128">
        <v>93</v>
      </c>
      <c r="F1128">
        <v>5</v>
      </c>
      <c r="G1128">
        <v>525</v>
      </c>
      <c r="H1128" t="str">
        <f>TEXT(TbDespesas[[#This Row],[data_transacao]], "aaaa-mm")</f>
        <v>2026-01</v>
      </c>
    </row>
    <row r="1129" spans="1:8">
      <c r="A1129">
        <v>1128</v>
      </c>
      <c r="B1129" s="1">
        <v>46037</v>
      </c>
      <c r="C1129" t="s">
        <v>615</v>
      </c>
      <c r="D1129" t="s">
        <v>418</v>
      </c>
      <c r="E1129">
        <v>399</v>
      </c>
      <c r="F1129">
        <v>6</v>
      </c>
      <c r="G1129">
        <v>2401</v>
      </c>
      <c r="H1129" t="str">
        <f>TEXT(TbDespesas[[#This Row],[data_transacao]], "aaaa-mm")</f>
        <v>2026-01</v>
      </c>
    </row>
    <row r="1130" spans="1:8">
      <c r="A1130">
        <v>1129</v>
      </c>
      <c r="B1130" s="1">
        <v>46037</v>
      </c>
      <c r="C1130" t="s">
        <v>615</v>
      </c>
      <c r="D1130" t="s">
        <v>336</v>
      </c>
      <c r="E1130">
        <v>130</v>
      </c>
      <c r="F1130">
        <v>19</v>
      </c>
      <c r="G1130">
        <v>2503</v>
      </c>
      <c r="H1130" t="str">
        <f>TEXT(TbDespesas[[#This Row],[data_transacao]], "aaaa-mm")</f>
        <v>2026-01</v>
      </c>
    </row>
    <row r="1131" spans="1:8">
      <c r="A1131">
        <v>1130</v>
      </c>
      <c r="B1131" s="1">
        <v>46037</v>
      </c>
      <c r="C1131" t="s">
        <v>615</v>
      </c>
      <c r="D1131" t="s">
        <v>593</v>
      </c>
      <c r="E1131">
        <v>417</v>
      </c>
      <c r="F1131">
        <v>6</v>
      </c>
      <c r="G1131">
        <v>2837</v>
      </c>
      <c r="H1131" t="str">
        <f>TEXT(TbDespesas[[#This Row],[data_transacao]], "aaaa-mm")</f>
        <v>2026-01</v>
      </c>
    </row>
    <row r="1132" spans="1:8">
      <c r="A1132">
        <v>1131</v>
      </c>
      <c r="B1132" s="1">
        <v>46236</v>
      </c>
      <c r="C1132" t="s">
        <v>506</v>
      </c>
      <c r="D1132" t="s">
        <v>144</v>
      </c>
      <c r="E1132">
        <v>128</v>
      </c>
      <c r="F1132">
        <v>16</v>
      </c>
      <c r="G1132">
        <v>2118</v>
      </c>
      <c r="H1132" t="str">
        <f>TEXT(TbDespesas[[#This Row],[data_transacao]], "aaaa-mm")</f>
        <v>2026-08</v>
      </c>
    </row>
    <row r="1133" spans="1:8">
      <c r="A1133">
        <v>1132</v>
      </c>
      <c r="B1133" s="1">
        <v>46236</v>
      </c>
      <c r="C1133" t="s">
        <v>506</v>
      </c>
      <c r="D1133" t="s">
        <v>377</v>
      </c>
      <c r="E1133">
        <v>483</v>
      </c>
      <c r="F1133">
        <v>6</v>
      </c>
      <c r="G1133">
        <v>3018</v>
      </c>
      <c r="H1133" t="str">
        <f>TEXT(TbDespesas[[#This Row],[data_transacao]], "aaaa-mm")</f>
        <v>2026-08</v>
      </c>
    </row>
    <row r="1134" spans="1:8">
      <c r="A1134">
        <v>1133</v>
      </c>
      <c r="B1134" s="1">
        <v>46236</v>
      </c>
      <c r="C1134" t="s">
        <v>506</v>
      </c>
      <c r="D1134" t="s">
        <v>489</v>
      </c>
      <c r="E1134">
        <v>142</v>
      </c>
      <c r="F1134">
        <v>17</v>
      </c>
      <c r="G1134">
        <v>2425</v>
      </c>
      <c r="H1134" t="str">
        <f>TEXT(TbDespesas[[#This Row],[data_transacao]], "aaaa-mm")</f>
        <v>2026-08</v>
      </c>
    </row>
    <row r="1135" spans="1:8">
      <c r="A1135">
        <v>1134</v>
      </c>
      <c r="B1135" s="1">
        <v>46236</v>
      </c>
      <c r="C1135" t="s">
        <v>506</v>
      </c>
      <c r="D1135" t="s">
        <v>83</v>
      </c>
      <c r="E1135">
        <v>195</v>
      </c>
      <c r="F1135">
        <v>0</v>
      </c>
      <c r="G1135">
        <v>118</v>
      </c>
      <c r="H1135" t="str">
        <f>TEXT(TbDespesas[[#This Row],[data_transacao]], "aaaa-mm")</f>
        <v>2026-08</v>
      </c>
    </row>
    <row r="1136" spans="1:8">
      <c r="A1136">
        <v>1135</v>
      </c>
      <c r="B1136" s="1">
        <v>46157</v>
      </c>
      <c r="C1136" t="s">
        <v>462</v>
      </c>
      <c r="D1136" t="s">
        <v>233</v>
      </c>
      <c r="E1136">
        <v>385</v>
      </c>
      <c r="F1136">
        <v>7</v>
      </c>
      <c r="G1136">
        <v>2943</v>
      </c>
      <c r="H1136" t="str">
        <f>TEXT(TbDespesas[[#This Row],[data_transacao]], "aaaa-mm")</f>
        <v>2026-05</v>
      </c>
    </row>
    <row r="1137" spans="1:8">
      <c r="A1137">
        <v>1136</v>
      </c>
      <c r="B1137" s="1">
        <v>45982</v>
      </c>
      <c r="C1137" t="s">
        <v>538</v>
      </c>
      <c r="D1137" t="s">
        <v>163</v>
      </c>
      <c r="E1137">
        <v>93</v>
      </c>
      <c r="F1137">
        <v>37</v>
      </c>
      <c r="G1137">
        <v>3453</v>
      </c>
      <c r="H1137" t="str">
        <f>TEXT(TbDespesas[[#This Row],[data_transacao]], "aaaa-mm")</f>
        <v>2025-11</v>
      </c>
    </row>
    <row r="1138" spans="1:8">
      <c r="A1138">
        <v>1137</v>
      </c>
      <c r="B1138" s="1">
        <v>45982</v>
      </c>
      <c r="C1138" t="s">
        <v>538</v>
      </c>
      <c r="D1138" t="s">
        <v>12</v>
      </c>
      <c r="E1138">
        <v>425</v>
      </c>
      <c r="F1138">
        <v>2</v>
      </c>
      <c r="G1138">
        <v>995</v>
      </c>
      <c r="H1138" t="str">
        <f>TEXT(TbDespesas[[#This Row],[data_transacao]], "aaaa-mm")</f>
        <v>2025-11</v>
      </c>
    </row>
    <row r="1139" spans="1:8">
      <c r="A1139">
        <v>1138</v>
      </c>
      <c r="B1139" s="1">
        <v>45982</v>
      </c>
      <c r="C1139" t="s">
        <v>538</v>
      </c>
      <c r="D1139" t="s">
        <v>492</v>
      </c>
      <c r="E1139">
        <v>199</v>
      </c>
      <c r="F1139">
        <v>19</v>
      </c>
      <c r="G1139">
        <v>3827</v>
      </c>
      <c r="H1139" t="str">
        <f>TEXT(TbDespesas[[#This Row],[data_transacao]], "aaaa-mm")</f>
        <v>2025-11</v>
      </c>
    </row>
    <row r="1140" spans="1:8">
      <c r="A1140">
        <v>1139</v>
      </c>
      <c r="B1140" s="1">
        <v>45982</v>
      </c>
      <c r="C1140" t="s">
        <v>538</v>
      </c>
      <c r="D1140" t="s">
        <v>309</v>
      </c>
      <c r="E1140">
        <v>490</v>
      </c>
      <c r="F1140">
        <v>2</v>
      </c>
      <c r="G1140">
        <v>1282</v>
      </c>
      <c r="H1140" t="str">
        <f>TEXT(TbDespesas[[#This Row],[data_transacao]], "aaaa-mm")</f>
        <v>2025-11</v>
      </c>
    </row>
    <row r="1141" spans="1:8">
      <c r="A1141">
        <v>1140</v>
      </c>
      <c r="B1141" s="1">
        <v>45982</v>
      </c>
      <c r="C1141" t="s">
        <v>538</v>
      </c>
      <c r="D1141" t="s">
        <v>400</v>
      </c>
      <c r="E1141">
        <v>74</v>
      </c>
      <c r="F1141">
        <v>37</v>
      </c>
      <c r="G1141">
        <v>2793</v>
      </c>
      <c r="H1141" t="str">
        <f>TEXT(TbDespesas[[#This Row],[data_transacao]], "aaaa-mm")</f>
        <v>2025-11</v>
      </c>
    </row>
    <row r="1142" spans="1:8">
      <c r="A1142">
        <v>1141</v>
      </c>
      <c r="B1142" s="1">
        <v>45982</v>
      </c>
      <c r="C1142" t="s">
        <v>538</v>
      </c>
      <c r="D1142" t="s">
        <v>27</v>
      </c>
      <c r="E1142">
        <v>149</v>
      </c>
      <c r="F1142">
        <v>15</v>
      </c>
      <c r="G1142">
        <v>2299</v>
      </c>
      <c r="H1142" t="str">
        <f>TEXT(TbDespesas[[#This Row],[data_transacao]], "aaaa-mm")</f>
        <v>2025-11</v>
      </c>
    </row>
    <row r="1143" spans="1:8">
      <c r="A1143">
        <v>1142</v>
      </c>
      <c r="B1143" s="1">
        <v>45982</v>
      </c>
      <c r="C1143" t="s">
        <v>538</v>
      </c>
      <c r="D1143" t="s">
        <v>616</v>
      </c>
      <c r="E1143">
        <v>225</v>
      </c>
      <c r="F1143">
        <v>12</v>
      </c>
      <c r="G1143">
        <v>2719</v>
      </c>
      <c r="H1143" t="str">
        <f>TEXT(TbDespesas[[#This Row],[data_transacao]], "aaaa-mm")</f>
        <v>2025-11</v>
      </c>
    </row>
    <row r="1144" spans="1:8">
      <c r="A1144">
        <v>1143</v>
      </c>
      <c r="B1144" s="1">
        <v>45982</v>
      </c>
      <c r="C1144" t="s">
        <v>538</v>
      </c>
      <c r="D1144" t="s">
        <v>617</v>
      </c>
      <c r="E1144">
        <v>209</v>
      </c>
      <c r="F1144">
        <v>5</v>
      </c>
      <c r="G1144">
        <v>1067</v>
      </c>
      <c r="H1144" t="str">
        <f>TEXT(TbDespesas[[#This Row],[data_transacao]], "aaaa-mm")</f>
        <v>2025-11</v>
      </c>
    </row>
    <row r="1145" spans="1:8">
      <c r="A1145">
        <v>1144</v>
      </c>
      <c r="B1145" s="1">
        <v>45982</v>
      </c>
      <c r="C1145" t="s">
        <v>538</v>
      </c>
      <c r="D1145" t="s">
        <v>618</v>
      </c>
      <c r="E1145">
        <v>303</v>
      </c>
      <c r="F1145">
        <v>5</v>
      </c>
      <c r="G1145">
        <v>1563</v>
      </c>
      <c r="H1145" t="str">
        <f>TEXT(TbDespesas[[#This Row],[data_transacao]], "aaaa-mm")</f>
        <v>2025-11</v>
      </c>
    </row>
    <row r="1146" spans="1:8">
      <c r="A1146">
        <v>1145</v>
      </c>
      <c r="B1146" s="1">
        <v>45982</v>
      </c>
      <c r="C1146" t="s">
        <v>538</v>
      </c>
      <c r="D1146" t="s">
        <v>308</v>
      </c>
      <c r="E1146">
        <v>16</v>
      </c>
      <c r="F1146">
        <v>201</v>
      </c>
      <c r="G1146">
        <v>3216</v>
      </c>
      <c r="H1146" t="str">
        <f>TEXT(TbDespesas[[#This Row],[data_transacao]], "aaaa-mm")</f>
        <v>2025-11</v>
      </c>
    </row>
    <row r="1147" spans="1:8">
      <c r="A1147">
        <v>1146</v>
      </c>
      <c r="B1147" s="1">
        <v>45982</v>
      </c>
      <c r="C1147" t="s">
        <v>538</v>
      </c>
      <c r="D1147" t="s">
        <v>274</v>
      </c>
      <c r="E1147">
        <v>154</v>
      </c>
      <c r="F1147">
        <v>19</v>
      </c>
      <c r="G1147">
        <v>3019</v>
      </c>
      <c r="H1147" t="str">
        <f>TEXT(TbDespesas[[#This Row],[data_transacao]], "aaaa-mm")</f>
        <v>2025-11</v>
      </c>
    </row>
    <row r="1148" spans="1:8">
      <c r="A1148">
        <v>1147</v>
      </c>
      <c r="B1148" s="1">
        <v>45982</v>
      </c>
      <c r="C1148" t="s">
        <v>538</v>
      </c>
      <c r="D1148" t="s">
        <v>568</v>
      </c>
      <c r="E1148">
        <v>76</v>
      </c>
      <c r="F1148">
        <v>23</v>
      </c>
      <c r="G1148">
        <v>1812</v>
      </c>
      <c r="H1148" t="str">
        <f>TEXT(TbDespesas[[#This Row],[data_transacao]], "aaaa-mm")</f>
        <v>2025-11</v>
      </c>
    </row>
    <row r="1149" spans="1:8">
      <c r="A1149">
        <v>1148</v>
      </c>
      <c r="B1149" s="1">
        <v>46128</v>
      </c>
      <c r="C1149" t="s">
        <v>169</v>
      </c>
      <c r="D1149" t="s">
        <v>293</v>
      </c>
      <c r="E1149">
        <v>97</v>
      </c>
      <c r="F1149">
        <v>10</v>
      </c>
      <c r="G1149">
        <v>1035</v>
      </c>
      <c r="H1149" t="str">
        <f>TEXT(TbDespesas[[#This Row],[data_transacao]], "aaaa-mm")</f>
        <v>2026-04</v>
      </c>
    </row>
    <row r="1150" spans="1:8">
      <c r="A1150">
        <v>1149</v>
      </c>
      <c r="B1150" s="1">
        <v>46128</v>
      </c>
      <c r="C1150" t="s">
        <v>169</v>
      </c>
      <c r="D1150" t="s">
        <v>619</v>
      </c>
      <c r="E1150">
        <v>488</v>
      </c>
      <c r="F1150">
        <v>3</v>
      </c>
      <c r="G1150">
        <v>1706</v>
      </c>
      <c r="H1150" t="str">
        <f>TEXT(TbDespesas[[#This Row],[data_transacao]], "aaaa-mm")</f>
        <v>2026-04</v>
      </c>
    </row>
    <row r="1151" spans="1:8">
      <c r="A1151">
        <v>1150</v>
      </c>
      <c r="B1151" s="1">
        <v>46128</v>
      </c>
      <c r="C1151" t="s">
        <v>169</v>
      </c>
      <c r="D1151" t="s">
        <v>172</v>
      </c>
      <c r="E1151">
        <v>126</v>
      </c>
      <c r="F1151">
        <v>24</v>
      </c>
      <c r="G1151">
        <v>3105</v>
      </c>
      <c r="H1151" t="str">
        <f>TEXT(TbDespesas[[#This Row],[data_transacao]], "aaaa-mm")</f>
        <v>2026-04</v>
      </c>
    </row>
    <row r="1152" spans="1:8">
      <c r="A1152">
        <v>1151</v>
      </c>
      <c r="B1152" s="1">
        <v>46086</v>
      </c>
      <c r="C1152" t="s">
        <v>200</v>
      </c>
      <c r="D1152" t="s">
        <v>487</v>
      </c>
      <c r="E1152">
        <v>476</v>
      </c>
      <c r="F1152">
        <v>5</v>
      </c>
      <c r="G1152">
        <v>2446</v>
      </c>
      <c r="H1152" t="str">
        <f>TEXT(TbDespesas[[#This Row],[data_transacao]], "aaaa-mm")</f>
        <v>2026-03</v>
      </c>
    </row>
    <row r="1153" spans="1:8">
      <c r="A1153">
        <v>1152</v>
      </c>
      <c r="B1153" s="1">
        <v>46086</v>
      </c>
      <c r="C1153" t="s">
        <v>200</v>
      </c>
      <c r="D1153" t="s">
        <v>108</v>
      </c>
      <c r="E1153">
        <v>240</v>
      </c>
      <c r="F1153">
        <v>5</v>
      </c>
      <c r="G1153">
        <v>1272</v>
      </c>
      <c r="H1153" t="str">
        <f>TEXT(TbDespesas[[#This Row],[data_transacao]], "aaaa-mm")</f>
        <v>2026-03</v>
      </c>
    </row>
    <row r="1154" spans="1:8">
      <c r="A1154">
        <v>1153</v>
      </c>
      <c r="B1154" s="1">
        <v>46086</v>
      </c>
      <c r="C1154" t="s">
        <v>200</v>
      </c>
      <c r="D1154" t="s">
        <v>460</v>
      </c>
      <c r="E1154">
        <v>455</v>
      </c>
      <c r="F1154">
        <v>5</v>
      </c>
      <c r="G1154">
        <v>2582</v>
      </c>
      <c r="H1154" t="str">
        <f>TEXT(TbDespesas[[#This Row],[data_transacao]], "aaaa-mm")</f>
        <v>2026-03</v>
      </c>
    </row>
    <row r="1155" spans="1:8">
      <c r="A1155">
        <v>1154</v>
      </c>
      <c r="B1155" s="1">
        <v>46086</v>
      </c>
      <c r="C1155" t="s">
        <v>200</v>
      </c>
      <c r="D1155" t="s">
        <v>620</v>
      </c>
      <c r="E1155">
        <v>226</v>
      </c>
      <c r="F1155">
        <v>8</v>
      </c>
      <c r="G1155">
        <v>1919</v>
      </c>
      <c r="H1155" t="str">
        <f>TEXT(TbDespesas[[#This Row],[data_transacao]], "aaaa-mm")</f>
        <v>2026-03</v>
      </c>
    </row>
    <row r="1156" spans="1:8">
      <c r="A1156">
        <v>1155</v>
      </c>
      <c r="B1156" s="1">
        <v>46086</v>
      </c>
      <c r="C1156" t="s">
        <v>200</v>
      </c>
      <c r="D1156" t="s">
        <v>59</v>
      </c>
      <c r="E1156">
        <v>50</v>
      </c>
      <c r="F1156">
        <v>37</v>
      </c>
      <c r="G1156">
        <v>1866</v>
      </c>
      <c r="H1156" t="str">
        <f>TEXT(TbDespesas[[#This Row],[data_transacao]], "aaaa-mm")</f>
        <v>2026-03</v>
      </c>
    </row>
    <row r="1157" spans="1:8">
      <c r="A1157">
        <v>1156</v>
      </c>
      <c r="B1157" s="1">
        <v>46086</v>
      </c>
      <c r="C1157" t="s">
        <v>200</v>
      </c>
      <c r="D1157" t="s">
        <v>423</v>
      </c>
      <c r="E1157">
        <v>323</v>
      </c>
      <c r="F1157">
        <v>4</v>
      </c>
      <c r="G1157">
        <v>1595</v>
      </c>
      <c r="H1157" t="str">
        <f>TEXT(TbDespesas[[#This Row],[data_transacao]], "aaaa-mm")</f>
        <v>2026-03</v>
      </c>
    </row>
    <row r="1158" spans="1:8">
      <c r="A1158">
        <v>1157</v>
      </c>
      <c r="B1158" s="1">
        <v>46086</v>
      </c>
      <c r="C1158" t="s">
        <v>200</v>
      </c>
      <c r="D1158" t="s">
        <v>514</v>
      </c>
      <c r="E1158">
        <v>315</v>
      </c>
      <c r="F1158">
        <v>3</v>
      </c>
      <c r="G1158">
        <v>1076</v>
      </c>
      <c r="H1158" t="str">
        <f>TEXT(TbDespesas[[#This Row],[data_transacao]], "aaaa-mm")</f>
        <v>2026-03</v>
      </c>
    </row>
    <row r="1159" spans="1:8">
      <c r="A1159">
        <v>1158</v>
      </c>
      <c r="B1159" s="1">
        <v>46086</v>
      </c>
      <c r="C1159" t="s">
        <v>200</v>
      </c>
      <c r="D1159" t="s">
        <v>621</v>
      </c>
      <c r="E1159">
        <v>110</v>
      </c>
      <c r="F1159">
        <v>8</v>
      </c>
      <c r="G1159">
        <v>943</v>
      </c>
      <c r="H1159" t="str">
        <f>TEXT(TbDespesas[[#This Row],[data_transacao]], "aaaa-mm")</f>
        <v>2026-03</v>
      </c>
    </row>
    <row r="1160" spans="1:8">
      <c r="A1160">
        <v>1159</v>
      </c>
      <c r="B1160" s="1">
        <v>46086</v>
      </c>
      <c r="C1160" t="s">
        <v>200</v>
      </c>
      <c r="D1160" t="s">
        <v>544</v>
      </c>
      <c r="E1160">
        <v>173</v>
      </c>
      <c r="F1160">
        <v>11</v>
      </c>
      <c r="G1160">
        <v>2043</v>
      </c>
      <c r="H1160" t="str">
        <f>TEXT(TbDespesas[[#This Row],[data_transacao]], "aaaa-mm")</f>
        <v>2026-03</v>
      </c>
    </row>
    <row r="1161" spans="1:8">
      <c r="A1161">
        <v>1160</v>
      </c>
      <c r="B1161" s="1">
        <v>46086</v>
      </c>
      <c r="C1161" t="s">
        <v>200</v>
      </c>
      <c r="D1161" t="s">
        <v>333</v>
      </c>
      <c r="E1161">
        <v>422</v>
      </c>
      <c r="F1161">
        <v>7</v>
      </c>
      <c r="G1161">
        <v>3301</v>
      </c>
      <c r="H1161" t="str">
        <f>TEXT(TbDespesas[[#This Row],[data_transacao]], "aaaa-mm")</f>
        <v>2026-03</v>
      </c>
    </row>
    <row r="1162" spans="1:8">
      <c r="A1162">
        <v>1161</v>
      </c>
      <c r="B1162" s="1">
        <v>46086</v>
      </c>
      <c r="C1162" t="s">
        <v>200</v>
      </c>
      <c r="D1162" t="s">
        <v>518</v>
      </c>
      <c r="E1162">
        <v>142</v>
      </c>
      <c r="F1162">
        <v>5</v>
      </c>
      <c r="G1162">
        <v>755</v>
      </c>
      <c r="H1162" t="str">
        <f>TEXT(TbDespesas[[#This Row],[data_transacao]], "aaaa-mm")</f>
        <v>2026-03</v>
      </c>
    </row>
    <row r="1163" spans="1:8">
      <c r="A1163">
        <v>1162</v>
      </c>
      <c r="B1163" s="1">
        <v>46233</v>
      </c>
      <c r="C1163" t="s">
        <v>162</v>
      </c>
      <c r="D1163" t="s">
        <v>440</v>
      </c>
      <c r="E1163">
        <v>78</v>
      </c>
      <c r="F1163">
        <v>14</v>
      </c>
      <c r="G1163">
        <v>1166</v>
      </c>
      <c r="H1163" t="str">
        <f>TEXT(TbDespesas[[#This Row],[data_transacao]], "aaaa-mm")</f>
        <v>2026-07</v>
      </c>
    </row>
    <row r="1164" spans="1:8">
      <c r="A1164">
        <v>1163</v>
      </c>
      <c r="B1164" s="1">
        <v>46233</v>
      </c>
      <c r="C1164" t="s">
        <v>162</v>
      </c>
      <c r="D1164" t="s">
        <v>622</v>
      </c>
      <c r="E1164">
        <v>173</v>
      </c>
      <c r="F1164">
        <v>17</v>
      </c>
      <c r="G1164">
        <v>2977</v>
      </c>
      <c r="H1164" t="str">
        <f>TEXT(TbDespesas[[#This Row],[data_transacao]], "aaaa-mm")</f>
        <v>2026-07</v>
      </c>
    </row>
    <row r="1165" spans="1:8">
      <c r="A1165">
        <v>1164</v>
      </c>
      <c r="B1165" s="1">
        <v>46233</v>
      </c>
      <c r="C1165" t="s">
        <v>162</v>
      </c>
      <c r="D1165" t="s">
        <v>254</v>
      </c>
      <c r="E1165">
        <v>465</v>
      </c>
      <c r="F1165">
        <v>4</v>
      </c>
      <c r="G1165">
        <v>2216</v>
      </c>
      <c r="H1165" t="str">
        <f>TEXT(TbDespesas[[#This Row],[data_transacao]], "aaaa-mm")</f>
        <v>2026-07</v>
      </c>
    </row>
    <row r="1166" spans="1:8">
      <c r="A1166">
        <v>1165</v>
      </c>
      <c r="B1166" s="1">
        <v>46233</v>
      </c>
      <c r="C1166" t="s">
        <v>162</v>
      </c>
      <c r="D1166" t="s">
        <v>416</v>
      </c>
      <c r="E1166">
        <v>223</v>
      </c>
      <c r="F1166">
        <v>14</v>
      </c>
      <c r="G1166">
        <v>3129</v>
      </c>
      <c r="H1166" t="str">
        <f>TEXT(TbDespesas[[#This Row],[data_transacao]], "aaaa-mm")</f>
        <v>2026-07</v>
      </c>
    </row>
    <row r="1167" spans="1:8">
      <c r="A1167">
        <v>1166</v>
      </c>
      <c r="B1167" s="1">
        <v>46108</v>
      </c>
      <c r="C1167" t="s">
        <v>623</v>
      </c>
      <c r="D1167" t="s">
        <v>77</v>
      </c>
      <c r="E1167">
        <v>220</v>
      </c>
      <c r="F1167">
        <v>10</v>
      </c>
      <c r="G1167">
        <v>2405</v>
      </c>
      <c r="H1167" t="str">
        <f>TEXT(TbDespesas[[#This Row],[data_transacao]], "aaaa-mm")</f>
        <v>2026-03</v>
      </c>
    </row>
    <row r="1168" spans="1:8">
      <c r="A1168">
        <v>1167</v>
      </c>
      <c r="B1168" s="1">
        <v>46108</v>
      </c>
      <c r="C1168" t="s">
        <v>623</v>
      </c>
      <c r="D1168" t="s">
        <v>219</v>
      </c>
      <c r="E1168">
        <v>366</v>
      </c>
      <c r="F1168">
        <v>8</v>
      </c>
      <c r="G1168">
        <v>3047</v>
      </c>
      <c r="H1168" t="str">
        <f>TEXT(TbDespesas[[#This Row],[data_transacao]], "aaaa-mm")</f>
        <v>2026-03</v>
      </c>
    </row>
    <row r="1169" spans="1:8">
      <c r="A1169">
        <v>1168</v>
      </c>
      <c r="B1169" s="1">
        <v>46108</v>
      </c>
      <c r="C1169" t="s">
        <v>623</v>
      </c>
      <c r="D1169" t="s">
        <v>442</v>
      </c>
      <c r="E1169">
        <v>286</v>
      </c>
      <c r="F1169">
        <v>8</v>
      </c>
      <c r="G1169">
        <v>2418</v>
      </c>
      <c r="H1169" t="str">
        <f>TEXT(TbDespesas[[#This Row],[data_transacao]], "aaaa-mm")</f>
        <v>2026-03</v>
      </c>
    </row>
    <row r="1170" spans="1:8">
      <c r="A1170">
        <v>1169</v>
      </c>
      <c r="B1170" s="1">
        <v>46108</v>
      </c>
      <c r="C1170" t="s">
        <v>623</v>
      </c>
      <c r="D1170" t="s">
        <v>88</v>
      </c>
      <c r="E1170">
        <v>449</v>
      </c>
      <c r="F1170">
        <v>4</v>
      </c>
      <c r="G1170">
        <v>2047</v>
      </c>
      <c r="H1170" t="str">
        <f>TEXT(TbDespesas[[#This Row],[data_transacao]], "aaaa-mm")</f>
        <v>2026-03</v>
      </c>
    </row>
    <row r="1171" spans="1:8">
      <c r="A1171">
        <v>1170</v>
      </c>
      <c r="B1171" s="1">
        <v>45935</v>
      </c>
      <c r="C1171" t="s">
        <v>73</v>
      </c>
      <c r="D1171" t="s">
        <v>621</v>
      </c>
      <c r="E1171">
        <v>213</v>
      </c>
      <c r="F1171">
        <v>15</v>
      </c>
      <c r="G1171">
        <v>3200</v>
      </c>
      <c r="H1171" t="str">
        <f>TEXT(TbDespesas[[#This Row],[data_transacao]], "aaaa-mm")</f>
        <v>2025-10</v>
      </c>
    </row>
    <row r="1172" spans="1:8">
      <c r="A1172">
        <v>1171</v>
      </c>
      <c r="B1172" s="1">
        <v>45935</v>
      </c>
      <c r="C1172" t="s">
        <v>73</v>
      </c>
      <c r="D1172" t="s">
        <v>363</v>
      </c>
      <c r="E1172">
        <v>57</v>
      </c>
      <c r="F1172">
        <v>44</v>
      </c>
      <c r="G1172">
        <v>2556</v>
      </c>
      <c r="H1172" t="str">
        <f>TEXT(TbDespesas[[#This Row],[data_transacao]], "aaaa-mm")</f>
        <v>2025-10</v>
      </c>
    </row>
    <row r="1173" spans="1:8">
      <c r="A1173">
        <v>1172</v>
      </c>
      <c r="B1173" s="1">
        <v>45935</v>
      </c>
      <c r="C1173" t="s">
        <v>73</v>
      </c>
      <c r="D1173" t="s">
        <v>300</v>
      </c>
      <c r="E1173">
        <v>114</v>
      </c>
      <c r="F1173">
        <v>14</v>
      </c>
      <c r="G1173">
        <v>1675</v>
      </c>
      <c r="H1173" t="str">
        <f>TEXT(TbDespesas[[#This Row],[data_transacao]], "aaaa-mm")</f>
        <v>2025-10</v>
      </c>
    </row>
    <row r="1174" spans="1:8">
      <c r="A1174">
        <v>1173</v>
      </c>
      <c r="B1174" s="1">
        <v>45935</v>
      </c>
      <c r="C1174" t="s">
        <v>73</v>
      </c>
      <c r="D1174" t="s">
        <v>624</v>
      </c>
      <c r="E1174">
        <v>88</v>
      </c>
      <c r="F1174">
        <v>20</v>
      </c>
      <c r="G1174">
        <v>1799</v>
      </c>
      <c r="H1174" t="str">
        <f>TEXT(TbDespesas[[#This Row],[data_transacao]], "aaaa-mm")</f>
        <v>2025-10</v>
      </c>
    </row>
    <row r="1175" spans="1:8">
      <c r="A1175">
        <v>1174</v>
      </c>
      <c r="B1175" s="1">
        <v>45935</v>
      </c>
      <c r="C1175" t="s">
        <v>73</v>
      </c>
      <c r="D1175" t="s">
        <v>10</v>
      </c>
      <c r="E1175">
        <v>449</v>
      </c>
      <c r="F1175">
        <v>5</v>
      </c>
      <c r="G1175">
        <v>2498</v>
      </c>
      <c r="H1175" t="str">
        <f>TEXT(TbDespesas[[#This Row],[data_transacao]], "aaaa-mm")</f>
        <v>2025-10</v>
      </c>
    </row>
    <row r="1176" spans="1:8">
      <c r="A1176">
        <v>1175</v>
      </c>
      <c r="B1176" s="1">
        <v>45935</v>
      </c>
      <c r="C1176" t="s">
        <v>73</v>
      </c>
      <c r="D1176" t="s">
        <v>420</v>
      </c>
      <c r="E1176">
        <v>168</v>
      </c>
      <c r="F1176">
        <v>13</v>
      </c>
      <c r="G1176">
        <v>2274</v>
      </c>
      <c r="H1176" t="str">
        <f>TEXT(TbDespesas[[#This Row],[data_transacao]], "aaaa-mm")</f>
        <v>2025-10</v>
      </c>
    </row>
    <row r="1177" spans="1:8">
      <c r="A1177">
        <v>1176</v>
      </c>
      <c r="B1177" s="1">
        <v>45935</v>
      </c>
      <c r="C1177" t="s">
        <v>73</v>
      </c>
      <c r="D1177" t="s">
        <v>208</v>
      </c>
      <c r="E1177">
        <v>232</v>
      </c>
      <c r="F1177">
        <v>6</v>
      </c>
      <c r="G1177">
        <v>1568</v>
      </c>
      <c r="H1177" t="str">
        <f>TEXT(TbDespesas[[#This Row],[data_transacao]], "aaaa-mm")</f>
        <v>2025-10</v>
      </c>
    </row>
    <row r="1178" spans="1:8">
      <c r="A1178">
        <v>1177</v>
      </c>
      <c r="B1178" s="1">
        <v>45935</v>
      </c>
      <c r="C1178" t="s">
        <v>73</v>
      </c>
      <c r="D1178" t="s">
        <v>19</v>
      </c>
      <c r="E1178">
        <v>36</v>
      </c>
      <c r="F1178">
        <v>42</v>
      </c>
      <c r="G1178">
        <v>1542</v>
      </c>
      <c r="H1178" t="str">
        <f>TEXT(TbDespesas[[#This Row],[data_transacao]], "aaaa-mm")</f>
        <v>2025-10</v>
      </c>
    </row>
    <row r="1179" spans="1:8">
      <c r="A1179">
        <v>1178</v>
      </c>
      <c r="B1179" s="1">
        <v>45935</v>
      </c>
      <c r="C1179" t="s">
        <v>73</v>
      </c>
      <c r="D1179" t="s">
        <v>540</v>
      </c>
      <c r="E1179">
        <v>203</v>
      </c>
      <c r="F1179">
        <v>1</v>
      </c>
      <c r="G1179">
        <v>402</v>
      </c>
      <c r="H1179" t="str">
        <f>TEXT(TbDespesas[[#This Row],[data_transacao]], "aaaa-mm")</f>
        <v>2025-10</v>
      </c>
    </row>
    <row r="1180" spans="1:8">
      <c r="A1180">
        <v>1179</v>
      </c>
      <c r="B1180" s="1">
        <v>46180</v>
      </c>
      <c r="C1180" t="s">
        <v>584</v>
      </c>
      <c r="D1180" t="s">
        <v>397</v>
      </c>
      <c r="E1180">
        <v>408</v>
      </c>
      <c r="F1180">
        <v>0</v>
      </c>
      <c r="G1180">
        <v>3</v>
      </c>
      <c r="H1180" t="str">
        <f>TEXT(TbDespesas[[#This Row],[data_transacao]], "aaaa-mm")</f>
        <v>2026-06</v>
      </c>
    </row>
    <row r="1181" spans="1:8">
      <c r="A1181">
        <v>1180</v>
      </c>
      <c r="B1181" s="1">
        <v>46180</v>
      </c>
      <c r="C1181" t="s">
        <v>584</v>
      </c>
      <c r="D1181" t="s">
        <v>102</v>
      </c>
      <c r="E1181">
        <v>204</v>
      </c>
      <c r="F1181">
        <v>20</v>
      </c>
      <c r="G1181">
        <v>4213</v>
      </c>
      <c r="H1181" t="str">
        <f>TEXT(TbDespesas[[#This Row],[data_transacao]], "aaaa-mm")</f>
        <v>2026-06</v>
      </c>
    </row>
    <row r="1182" spans="1:8">
      <c r="A1182">
        <v>1181</v>
      </c>
      <c r="B1182" s="1">
        <v>46180</v>
      </c>
      <c r="C1182" t="s">
        <v>584</v>
      </c>
      <c r="D1182" t="s">
        <v>609</v>
      </c>
      <c r="E1182">
        <v>216</v>
      </c>
      <c r="F1182">
        <v>5</v>
      </c>
      <c r="G1182">
        <v>1124</v>
      </c>
      <c r="H1182" t="str">
        <f>TEXT(TbDespesas[[#This Row],[data_transacao]], "aaaa-mm")</f>
        <v>2026-06</v>
      </c>
    </row>
    <row r="1183" spans="1:8">
      <c r="A1183">
        <v>1182</v>
      </c>
      <c r="B1183" s="1">
        <v>46180</v>
      </c>
      <c r="C1183" t="s">
        <v>584</v>
      </c>
      <c r="D1183" t="s">
        <v>467</v>
      </c>
      <c r="E1183">
        <v>28</v>
      </c>
      <c r="F1183">
        <v>75</v>
      </c>
      <c r="G1183">
        <v>2108</v>
      </c>
      <c r="H1183" t="str">
        <f>TEXT(TbDespesas[[#This Row],[data_transacao]], "aaaa-mm")</f>
        <v>2026-06</v>
      </c>
    </row>
    <row r="1184" spans="1:8">
      <c r="A1184">
        <v>1183</v>
      </c>
      <c r="B1184" s="1">
        <v>46180</v>
      </c>
      <c r="C1184" t="s">
        <v>584</v>
      </c>
      <c r="D1184" t="s">
        <v>625</v>
      </c>
      <c r="E1184">
        <v>294</v>
      </c>
      <c r="F1184">
        <v>6</v>
      </c>
      <c r="G1184">
        <v>2025</v>
      </c>
      <c r="H1184" t="str">
        <f>TEXT(TbDespesas[[#This Row],[data_transacao]], "aaaa-mm")</f>
        <v>2026-06</v>
      </c>
    </row>
    <row r="1185" spans="1:8">
      <c r="A1185">
        <v>1184</v>
      </c>
      <c r="B1185" s="1">
        <v>46180</v>
      </c>
      <c r="C1185" t="s">
        <v>584</v>
      </c>
      <c r="D1185" t="s">
        <v>334</v>
      </c>
      <c r="E1185">
        <v>302</v>
      </c>
      <c r="F1185">
        <v>4</v>
      </c>
      <c r="G1185">
        <v>1285</v>
      </c>
      <c r="H1185" t="str">
        <f>TEXT(TbDespesas[[#This Row],[data_transacao]], "aaaa-mm")</f>
        <v>2026-06</v>
      </c>
    </row>
    <row r="1186" spans="1:8">
      <c r="A1186">
        <v>1185</v>
      </c>
      <c r="B1186" s="1">
        <v>46180</v>
      </c>
      <c r="C1186" t="s">
        <v>584</v>
      </c>
      <c r="D1186" t="s">
        <v>259</v>
      </c>
      <c r="E1186">
        <v>252</v>
      </c>
      <c r="F1186">
        <v>9</v>
      </c>
      <c r="G1186">
        <v>2389</v>
      </c>
      <c r="H1186" t="str">
        <f>TEXT(TbDespesas[[#This Row],[data_transacao]], "aaaa-mm")</f>
        <v>2026-06</v>
      </c>
    </row>
    <row r="1187" spans="1:8">
      <c r="A1187">
        <v>1186</v>
      </c>
      <c r="B1187" s="1">
        <v>46180</v>
      </c>
      <c r="C1187" t="s">
        <v>584</v>
      </c>
      <c r="D1187" t="s">
        <v>61</v>
      </c>
      <c r="E1187">
        <v>369</v>
      </c>
      <c r="F1187">
        <v>5</v>
      </c>
      <c r="G1187">
        <v>2110</v>
      </c>
      <c r="H1187" t="str">
        <f>TEXT(TbDespesas[[#This Row],[data_transacao]], "aaaa-mm")</f>
        <v>2026-06</v>
      </c>
    </row>
    <row r="1188" spans="1:8">
      <c r="A1188">
        <v>1187</v>
      </c>
      <c r="B1188" s="1">
        <v>46180</v>
      </c>
      <c r="C1188" t="s">
        <v>584</v>
      </c>
      <c r="D1188" t="s">
        <v>626</v>
      </c>
      <c r="E1188">
        <v>222</v>
      </c>
      <c r="F1188">
        <v>6</v>
      </c>
      <c r="G1188">
        <v>1460</v>
      </c>
      <c r="H1188" t="str">
        <f>TEXT(TbDespesas[[#This Row],[data_transacao]], "aaaa-mm")</f>
        <v>2026-06</v>
      </c>
    </row>
    <row r="1189" spans="1:8">
      <c r="A1189">
        <v>1188</v>
      </c>
      <c r="B1189" s="1">
        <v>46180</v>
      </c>
      <c r="C1189" t="s">
        <v>584</v>
      </c>
      <c r="D1189" t="s">
        <v>235</v>
      </c>
      <c r="E1189">
        <v>192</v>
      </c>
      <c r="F1189">
        <v>11</v>
      </c>
      <c r="G1189">
        <v>2189</v>
      </c>
      <c r="H1189" t="str">
        <f>TEXT(TbDespesas[[#This Row],[data_transacao]], "aaaa-mm")</f>
        <v>2026-06</v>
      </c>
    </row>
    <row r="1190" spans="1:8">
      <c r="A1190">
        <v>1189</v>
      </c>
      <c r="B1190" s="1">
        <v>46180</v>
      </c>
      <c r="C1190" t="s">
        <v>584</v>
      </c>
      <c r="D1190" t="s">
        <v>392</v>
      </c>
      <c r="E1190">
        <v>400</v>
      </c>
      <c r="F1190">
        <v>7</v>
      </c>
      <c r="G1190">
        <v>2881</v>
      </c>
      <c r="H1190" t="str">
        <f>TEXT(TbDespesas[[#This Row],[data_transacao]], "aaaa-mm")</f>
        <v>2026-06</v>
      </c>
    </row>
    <row r="1191" spans="1:8">
      <c r="A1191">
        <v>1190</v>
      </c>
      <c r="B1191" s="1">
        <v>46086</v>
      </c>
      <c r="C1191" t="s">
        <v>110</v>
      </c>
      <c r="D1191" t="s">
        <v>353</v>
      </c>
      <c r="E1191">
        <v>420</v>
      </c>
      <c r="F1191">
        <v>6</v>
      </c>
      <c r="G1191">
        <v>2600</v>
      </c>
      <c r="H1191" t="str">
        <f>TEXT(TbDespesas[[#This Row],[data_transacao]], "aaaa-mm")</f>
        <v>2026-03</v>
      </c>
    </row>
    <row r="1192" spans="1:8">
      <c r="A1192">
        <v>1191</v>
      </c>
      <c r="B1192" s="1">
        <v>46086</v>
      </c>
      <c r="C1192" t="s">
        <v>110</v>
      </c>
      <c r="D1192" t="s">
        <v>323</v>
      </c>
      <c r="E1192">
        <v>231</v>
      </c>
      <c r="F1192">
        <v>4</v>
      </c>
      <c r="G1192">
        <v>1141</v>
      </c>
      <c r="H1192" t="str">
        <f>TEXT(TbDespesas[[#This Row],[data_transacao]], "aaaa-mm")</f>
        <v>2026-03</v>
      </c>
    </row>
    <row r="1193" spans="1:8">
      <c r="A1193">
        <v>1192</v>
      </c>
      <c r="B1193" s="1">
        <v>46086</v>
      </c>
      <c r="C1193" t="s">
        <v>110</v>
      </c>
      <c r="D1193" t="s">
        <v>418</v>
      </c>
      <c r="E1193">
        <v>128</v>
      </c>
      <c r="F1193">
        <v>26</v>
      </c>
      <c r="G1193">
        <v>3351</v>
      </c>
      <c r="H1193" t="str">
        <f>TEXT(TbDespesas[[#This Row],[data_transacao]], "aaaa-mm")</f>
        <v>2026-03</v>
      </c>
    </row>
    <row r="1194" spans="1:8">
      <c r="A1194">
        <v>1193</v>
      </c>
      <c r="B1194" s="1">
        <v>46137</v>
      </c>
      <c r="C1194" t="s">
        <v>455</v>
      </c>
      <c r="D1194" t="s">
        <v>231</v>
      </c>
      <c r="E1194">
        <v>24</v>
      </c>
      <c r="F1194">
        <v>131</v>
      </c>
      <c r="G1194">
        <v>3146</v>
      </c>
      <c r="H1194" t="str">
        <f>TEXT(TbDespesas[[#This Row],[data_transacao]], "aaaa-mm")</f>
        <v>2026-04</v>
      </c>
    </row>
    <row r="1195" spans="1:8">
      <c r="A1195">
        <v>1194</v>
      </c>
      <c r="B1195" s="1">
        <v>46137</v>
      </c>
      <c r="C1195" t="s">
        <v>455</v>
      </c>
      <c r="D1195" t="s">
        <v>27</v>
      </c>
      <c r="E1195">
        <v>284</v>
      </c>
      <c r="F1195">
        <v>4</v>
      </c>
      <c r="G1195">
        <v>1230</v>
      </c>
      <c r="H1195" t="str">
        <f>TEXT(TbDespesas[[#This Row],[data_transacao]], "aaaa-mm")</f>
        <v>2026-04</v>
      </c>
    </row>
    <row r="1196" spans="1:8">
      <c r="A1196">
        <v>1195</v>
      </c>
      <c r="B1196" s="1">
        <v>46137</v>
      </c>
      <c r="C1196" t="s">
        <v>455</v>
      </c>
      <c r="D1196" t="s">
        <v>433</v>
      </c>
      <c r="E1196">
        <v>296</v>
      </c>
      <c r="F1196">
        <v>1</v>
      </c>
      <c r="G1196">
        <v>442</v>
      </c>
      <c r="H1196" t="str">
        <f>TEXT(TbDespesas[[#This Row],[data_transacao]], "aaaa-mm")</f>
        <v>2026-04</v>
      </c>
    </row>
    <row r="1197" spans="1:8">
      <c r="A1197">
        <v>1196</v>
      </c>
      <c r="B1197" s="1">
        <v>46137</v>
      </c>
      <c r="C1197" t="s">
        <v>455</v>
      </c>
      <c r="D1197" t="s">
        <v>627</v>
      </c>
      <c r="E1197">
        <v>338</v>
      </c>
      <c r="F1197">
        <v>4</v>
      </c>
      <c r="G1197">
        <v>1399</v>
      </c>
      <c r="H1197" t="str">
        <f>TEXT(TbDespesas[[#This Row],[data_transacao]], "aaaa-mm")</f>
        <v>2026-04</v>
      </c>
    </row>
    <row r="1198" spans="1:8">
      <c r="A1198">
        <v>1197</v>
      </c>
      <c r="B1198" s="1">
        <v>46137</v>
      </c>
      <c r="C1198" t="s">
        <v>455</v>
      </c>
      <c r="D1198" t="s">
        <v>35</v>
      </c>
      <c r="E1198">
        <v>378</v>
      </c>
      <c r="F1198">
        <v>4</v>
      </c>
      <c r="G1198">
        <v>1553</v>
      </c>
      <c r="H1198" t="str">
        <f>TEXT(TbDespesas[[#This Row],[data_transacao]], "aaaa-mm")</f>
        <v>2026-04</v>
      </c>
    </row>
    <row r="1199" spans="1:8">
      <c r="A1199">
        <v>1198</v>
      </c>
      <c r="B1199" s="1">
        <v>46027</v>
      </c>
      <c r="C1199" t="s">
        <v>206</v>
      </c>
      <c r="D1199" t="s">
        <v>18</v>
      </c>
      <c r="E1199">
        <v>339</v>
      </c>
      <c r="F1199">
        <v>8</v>
      </c>
      <c r="G1199">
        <v>2791</v>
      </c>
      <c r="H1199" t="str">
        <f>TEXT(TbDespesas[[#This Row],[data_transacao]], "aaaa-mm")</f>
        <v>2026-01</v>
      </c>
    </row>
    <row r="1200" spans="1:8">
      <c r="A1200">
        <v>1199</v>
      </c>
      <c r="B1200" s="1">
        <v>46027</v>
      </c>
      <c r="C1200" t="s">
        <v>206</v>
      </c>
      <c r="D1200" t="s">
        <v>607</v>
      </c>
      <c r="E1200">
        <v>267</v>
      </c>
      <c r="F1200">
        <v>2</v>
      </c>
      <c r="G1200">
        <v>732</v>
      </c>
      <c r="H1200" t="str">
        <f>TEXT(TbDespesas[[#This Row],[data_transacao]], "aaaa-mm")</f>
        <v>2026-01</v>
      </c>
    </row>
    <row r="1201" spans="1:8">
      <c r="A1201">
        <v>1200</v>
      </c>
      <c r="B1201" s="1">
        <v>46027</v>
      </c>
      <c r="C1201" t="s">
        <v>206</v>
      </c>
      <c r="D1201" t="s">
        <v>568</v>
      </c>
      <c r="E1201">
        <v>73</v>
      </c>
      <c r="F1201">
        <v>20</v>
      </c>
      <c r="G1201">
        <v>1490</v>
      </c>
      <c r="H1201" t="str">
        <f>TEXT(TbDespesas[[#This Row],[data_transacao]], "aaaa-mm")</f>
        <v>2026-01</v>
      </c>
    </row>
    <row r="1202" spans="1:8">
      <c r="A1202">
        <v>1201</v>
      </c>
      <c r="B1202" s="1">
        <v>46027</v>
      </c>
      <c r="C1202" t="s">
        <v>206</v>
      </c>
      <c r="D1202" t="s">
        <v>628</v>
      </c>
      <c r="E1202">
        <v>295</v>
      </c>
      <c r="F1202">
        <v>5</v>
      </c>
      <c r="G1202">
        <v>1751</v>
      </c>
      <c r="H1202" t="str">
        <f>TEXT(TbDespesas[[#This Row],[data_transacao]], "aaaa-mm")</f>
        <v>2026-01</v>
      </c>
    </row>
    <row r="1203" spans="1:8">
      <c r="A1203">
        <v>1202</v>
      </c>
      <c r="B1203" s="1">
        <v>46027</v>
      </c>
      <c r="C1203" t="s">
        <v>206</v>
      </c>
      <c r="D1203" t="s">
        <v>420</v>
      </c>
      <c r="E1203">
        <v>159</v>
      </c>
      <c r="F1203">
        <v>7</v>
      </c>
      <c r="G1203">
        <v>1271</v>
      </c>
      <c r="H1203" t="str">
        <f>TEXT(TbDespesas[[#This Row],[data_transacao]], "aaaa-mm")</f>
        <v>2026-01</v>
      </c>
    </row>
    <row r="1204" spans="1:8">
      <c r="A1204">
        <v>1203</v>
      </c>
      <c r="B1204" s="1">
        <v>46027</v>
      </c>
      <c r="C1204" t="s">
        <v>206</v>
      </c>
      <c r="D1204" t="s">
        <v>168</v>
      </c>
      <c r="E1204">
        <v>435</v>
      </c>
      <c r="F1204">
        <v>6</v>
      </c>
      <c r="G1204">
        <v>3039</v>
      </c>
      <c r="H1204" t="str">
        <f>TEXT(TbDespesas[[#This Row],[data_transacao]], "aaaa-mm")</f>
        <v>2026-01</v>
      </c>
    </row>
    <row r="1205" spans="1:8">
      <c r="A1205">
        <v>1204</v>
      </c>
      <c r="B1205" s="1">
        <v>46027</v>
      </c>
      <c r="C1205" t="s">
        <v>206</v>
      </c>
      <c r="D1205" t="s">
        <v>383</v>
      </c>
      <c r="E1205">
        <v>228</v>
      </c>
      <c r="F1205">
        <v>9</v>
      </c>
      <c r="G1205">
        <v>2099</v>
      </c>
      <c r="H1205" t="str">
        <f>TEXT(TbDespesas[[#This Row],[data_transacao]], "aaaa-mm")</f>
        <v>2026-01</v>
      </c>
    </row>
    <row r="1206" spans="1:8">
      <c r="A1206">
        <v>1205</v>
      </c>
      <c r="B1206" s="1">
        <v>46027</v>
      </c>
      <c r="C1206" t="s">
        <v>206</v>
      </c>
      <c r="D1206" t="s">
        <v>207</v>
      </c>
      <c r="E1206">
        <v>48</v>
      </c>
      <c r="F1206">
        <v>64</v>
      </c>
      <c r="G1206">
        <v>3106</v>
      </c>
      <c r="H1206" t="str">
        <f>TEXT(TbDespesas[[#This Row],[data_transacao]], "aaaa-mm")</f>
        <v>2026-01</v>
      </c>
    </row>
    <row r="1207" spans="1:8">
      <c r="A1207">
        <v>1206</v>
      </c>
      <c r="B1207" s="1">
        <v>46027</v>
      </c>
      <c r="C1207" t="s">
        <v>206</v>
      </c>
      <c r="D1207" t="s">
        <v>535</v>
      </c>
      <c r="E1207">
        <v>107</v>
      </c>
      <c r="F1207">
        <v>15</v>
      </c>
      <c r="G1207">
        <v>1705</v>
      </c>
      <c r="H1207" t="str">
        <f>TEXT(TbDespesas[[#This Row],[data_transacao]], "aaaa-mm")</f>
        <v>2026-01</v>
      </c>
    </row>
    <row r="1208" spans="1:8">
      <c r="A1208">
        <v>1207</v>
      </c>
      <c r="B1208" s="1">
        <v>46027</v>
      </c>
      <c r="C1208" t="s">
        <v>206</v>
      </c>
      <c r="D1208" t="s">
        <v>629</v>
      </c>
      <c r="E1208">
        <v>259</v>
      </c>
      <c r="F1208">
        <v>2</v>
      </c>
      <c r="G1208">
        <v>768</v>
      </c>
      <c r="H1208" t="str">
        <f>TEXT(TbDespesas[[#This Row],[data_transacao]], "aaaa-mm")</f>
        <v>2026-01</v>
      </c>
    </row>
    <row r="1209" spans="1:8">
      <c r="A1209">
        <v>1208</v>
      </c>
      <c r="B1209" s="1">
        <v>46027</v>
      </c>
      <c r="C1209" t="s">
        <v>206</v>
      </c>
      <c r="D1209" t="s">
        <v>630</v>
      </c>
      <c r="E1209">
        <v>297</v>
      </c>
      <c r="F1209">
        <v>5</v>
      </c>
      <c r="G1209">
        <v>1660</v>
      </c>
      <c r="H1209" t="str">
        <f>TEXT(TbDespesas[[#This Row],[data_transacao]], "aaaa-mm")</f>
        <v>2026-01</v>
      </c>
    </row>
    <row r="1210" spans="1:8">
      <c r="A1210">
        <v>1209</v>
      </c>
      <c r="B1210" s="1">
        <v>46056</v>
      </c>
      <c r="C1210" t="s">
        <v>462</v>
      </c>
      <c r="D1210" t="s">
        <v>435</v>
      </c>
      <c r="E1210">
        <v>68</v>
      </c>
      <c r="F1210">
        <v>28</v>
      </c>
      <c r="G1210">
        <v>1960</v>
      </c>
      <c r="H1210" t="str">
        <f>TEXT(TbDespesas[[#This Row],[data_transacao]], "aaaa-mm")</f>
        <v>2026-02</v>
      </c>
    </row>
    <row r="1211" spans="1:8">
      <c r="A1211">
        <v>1210</v>
      </c>
      <c r="B1211" s="1">
        <v>46056</v>
      </c>
      <c r="C1211" t="s">
        <v>462</v>
      </c>
      <c r="D1211" t="s">
        <v>119</v>
      </c>
      <c r="E1211">
        <v>370</v>
      </c>
      <c r="F1211">
        <v>5</v>
      </c>
      <c r="G1211">
        <v>2086</v>
      </c>
      <c r="H1211" t="str">
        <f>TEXT(TbDespesas[[#This Row],[data_transacao]], "aaaa-mm")</f>
        <v>2026-02</v>
      </c>
    </row>
    <row r="1212" spans="1:8">
      <c r="A1212">
        <v>1211</v>
      </c>
      <c r="B1212" s="1">
        <v>46056</v>
      </c>
      <c r="C1212" t="s">
        <v>462</v>
      </c>
      <c r="D1212" t="s">
        <v>324</v>
      </c>
      <c r="E1212">
        <v>303</v>
      </c>
      <c r="F1212">
        <v>4</v>
      </c>
      <c r="G1212">
        <v>1423</v>
      </c>
      <c r="H1212" t="str">
        <f>TEXT(TbDespesas[[#This Row],[data_transacao]], "aaaa-mm")</f>
        <v>2026-02</v>
      </c>
    </row>
    <row r="1213" spans="1:8">
      <c r="A1213">
        <v>1212</v>
      </c>
      <c r="B1213" s="1">
        <v>46056</v>
      </c>
      <c r="C1213" t="s">
        <v>462</v>
      </c>
      <c r="D1213" t="s">
        <v>537</v>
      </c>
      <c r="E1213">
        <v>450</v>
      </c>
      <c r="F1213">
        <v>5</v>
      </c>
      <c r="G1213">
        <v>2412</v>
      </c>
      <c r="H1213" t="str">
        <f>TEXT(TbDespesas[[#This Row],[data_transacao]], "aaaa-mm")</f>
        <v>2026-02</v>
      </c>
    </row>
    <row r="1214" spans="1:8">
      <c r="A1214">
        <v>1213</v>
      </c>
      <c r="B1214" s="1">
        <v>46056</v>
      </c>
      <c r="C1214" t="s">
        <v>462</v>
      </c>
      <c r="D1214" t="s">
        <v>631</v>
      </c>
      <c r="E1214">
        <v>59</v>
      </c>
      <c r="F1214">
        <v>34</v>
      </c>
      <c r="G1214">
        <v>2031</v>
      </c>
      <c r="H1214" t="str">
        <f>TEXT(TbDespesas[[#This Row],[data_transacao]], "aaaa-mm")</f>
        <v>2026-02</v>
      </c>
    </row>
    <row r="1215" spans="1:8">
      <c r="A1215">
        <v>1214</v>
      </c>
      <c r="B1215" s="1">
        <v>46056</v>
      </c>
      <c r="C1215" t="s">
        <v>462</v>
      </c>
      <c r="D1215" t="s">
        <v>446</v>
      </c>
      <c r="E1215">
        <v>76</v>
      </c>
      <c r="F1215">
        <v>5</v>
      </c>
      <c r="G1215">
        <v>402</v>
      </c>
      <c r="H1215" t="str">
        <f>TEXT(TbDespesas[[#This Row],[data_transacao]], "aaaa-mm")</f>
        <v>2026-02</v>
      </c>
    </row>
    <row r="1216" spans="1:8">
      <c r="A1216">
        <v>1215</v>
      </c>
      <c r="B1216" s="1">
        <v>46056</v>
      </c>
      <c r="C1216" t="s">
        <v>462</v>
      </c>
      <c r="D1216" t="s">
        <v>102</v>
      </c>
      <c r="E1216">
        <v>352</v>
      </c>
      <c r="F1216">
        <v>3</v>
      </c>
      <c r="G1216">
        <v>1327</v>
      </c>
      <c r="H1216" t="str">
        <f>TEXT(TbDespesas[[#This Row],[data_transacao]], "aaaa-mm")</f>
        <v>2026-02</v>
      </c>
    </row>
    <row r="1217" spans="1:8">
      <c r="A1217">
        <v>1216</v>
      </c>
      <c r="B1217" s="1">
        <v>46056</v>
      </c>
      <c r="C1217" t="s">
        <v>462</v>
      </c>
      <c r="D1217" t="s">
        <v>481</v>
      </c>
      <c r="E1217">
        <v>347</v>
      </c>
      <c r="F1217">
        <v>4</v>
      </c>
      <c r="G1217">
        <v>1473</v>
      </c>
      <c r="H1217" t="str">
        <f>TEXT(TbDespesas[[#This Row],[data_transacao]], "aaaa-mm")</f>
        <v>2026-02</v>
      </c>
    </row>
    <row r="1218" spans="1:8">
      <c r="A1218">
        <v>1217</v>
      </c>
      <c r="B1218" s="1">
        <v>46056</v>
      </c>
      <c r="C1218" t="s">
        <v>462</v>
      </c>
      <c r="D1218" t="s">
        <v>369</v>
      </c>
      <c r="E1218">
        <v>96</v>
      </c>
      <c r="F1218">
        <v>14</v>
      </c>
      <c r="G1218">
        <v>1417</v>
      </c>
      <c r="H1218" t="str">
        <f>TEXT(TbDespesas[[#This Row],[data_transacao]], "aaaa-mm")</f>
        <v>2026-02</v>
      </c>
    </row>
    <row r="1219" spans="1:8">
      <c r="A1219">
        <v>1218</v>
      </c>
      <c r="B1219" s="1">
        <v>46216</v>
      </c>
      <c r="C1219" t="s">
        <v>303</v>
      </c>
      <c r="D1219" t="s">
        <v>311</v>
      </c>
      <c r="E1219">
        <v>252</v>
      </c>
      <c r="F1219">
        <v>9</v>
      </c>
      <c r="G1219">
        <v>2279</v>
      </c>
      <c r="H1219" t="str">
        <f>TEXT(TbDespesas[[#This Row],[data_transacao]], "aaaa-mm")</f>
        <v>2026-07</v>
      </c>
    </row>
    <row r="1220" spans="1:8">
      <c r="A1220">
        <v>1219</v>
      </c>
      <c r="B1220" s="1">
        <v>46216</v>
      </c>
      <c r="C1220" t="s">
        <v>303</v>
      </c>
      <c r="D1220" t="s">
        <v>131</v>
      </c>
      <c r="E1220">
        <v>347</v>
      </c>
      <c r="F1220">
        <v>5</v>
      </c>
      <c r="G1220">
        <v>2074</v>
      </c>
      <c r="H1220" t="str">
        <f>TEXT(TbDespesas[[#This Row],[data_transacao]], "aaaa-mm")</f>
        <v>2026-07</v>
      </c>
    </row>
    <row r="1221" spans="1:8">
      <c r="A1221">
        <v>1220</v>
      </c>
      <c r="B1221" s="1">
        <v>46216</v>
      </c>
      <c r="C1221" t="s">
        <v>303</v>
      </c>
      <c r="D1221" t="s">
        <v>632</v>
      </c>
      <c r="E1221">
        <v>286</v>
      </c>
      <c r="F1221">
        <v>11</v>
      </c>
      <c r="G1221">
        <v>3147</v>
      </c>
      <c r="H1221" t="str">
        <f>TEXT(TbDespesas[[#This Row],[data_transacao]], "aaaa-mm")</f>
        <v>2026-07</v>
      </c>
    </row>
    <row r="1222" spans="1:8">
      <c r="A1222">
        <v>1221</v>
      </c>
      <c r="B1222" s="1">
        <v>46216</v>
      </c>
      <c r="C1222" t="s">
        <v>303</v>
      </c>
      <c r="D1222" t="s">
        <v>450</v>
      </c>
      <c r="E1222">
        <v>463</v>
      </c>
      <c r="F1222">
        <v>2</v>
      </c>
      <c r="G1222">
        <v>1141</v>
      </c>
      <c r="H1222" t="str">
        <f>TEXT(TbDespesas[[#This Row],[data_transacao]], "aaaa-mm")</f>
        <v>2026-07</v>
      </c>
    </row>
    <row r="1223" spans="1:8">
      <c r="A1223">
        <v>1222</v>
      </c>
      <c r="B1223" s="1">
        <v>46216</v>
      </c>
      <c r="C1223" t="s">
        <v>303</v>
      </c>
      <c r="D1223" t="s">
        <v>542</v>
      </c>
      <c r="E1223">
        <v>483</v>
      </c>
      <c r="F1223">
        <v>1</v>
      </c>
      <c r="G1223">
        <v>883</v>
      </c>
      <c r="H1223" t="str">
        <f>TEXT(TbDespesas[[#This Row],[data_transacao]], "aaaa-mm")</f>
        <v>2026-07</v>
      </c>
    </row>
    <row r="1224" spans="1:8">
      <c r="A1224">
        <v>1223</v>
      </c>
      <c r="B1224" s="1">
        <v>46216</v>
      </c>
      <c r="C1224" t="s">
        <v>303</v>
      </c>
      <c r="D1224" t="s">
        <v>459</v>
      </c>
      <c r="E1224">
        <v>304</v>
      </c>
      <c r="F1224">
        <v>3</v>
      </c>
      <c r="G1224">
        <v>945</v>
      </c>
      <c r="H1224" t="str">
        <f>TEXT(TbDespesas[[#This Row],[data_transacao]], "aaaa-mm")</f>
        <v>2026-07</v>
      </c>
    </row>
    <row r="1225" spans="1:8">
      <c r="A1225">
        <v>1224</v>
      </c>
      <c r="B1225" s="1">
        <v>46216</v>
      </c>
      <c r="C1225" t="s">
        <v>303</v>
      </c>
      <c r="D1225" t="s">
        <v>438</v>
      </c>
      <c r="E1225">
        <v>453</v>
      </c>
      <c r="F1225">
        <v>2</v>
      </c>
      <c r="G1225">
        <v>1319</v>
      </c>
      <c r="H1225" t="str">
        <f>TEXT(TbDespesas[[#This Row],[data_transacao]], "aaaa-mm")</f>
        <v>2026-07</v>
      </c>
    </row>
    <row r="1226" spans="1:8">
      <c r="A1226">
        <v>1225</v>
      </c>
      <c r="B1226" s="1">
        <v>46216</v>
      </c>
      <c r="C1226" t="s">
        <v>303</v>
      </c>
      <c r="D1226" t="s">
        <v>115</v>
      </c>
      <c r="E1226">
        <v>286</v>
      </c>
      <c r="F1226">
        <v>7</v>
      </c>
      <c r="G1226">
        <v>2098</v>
      </c>
      <c r="H1226" t="str">
        <f>TEXT(TbDespesas[[#This Row],[data_transacao]], "aaaa-mm")</f>
        <v>2026-07</v>
      </c>
    </row>
    <row r="1227" spans="1:8">
      <c r="A1227">
        <v>1226</v>
      </c>
      <c r="B1227" s="1">
        <v>46216</v>
      </c>
      <c r="C1227" t="s">
        <v>303</v>
      </c>
      <c r="D1227" t="s">
        <v>170</v>
      </c>
      <c r="E1227">
        <v>171</v>
      </c>
      <c r="F1227">
        <v>8</v>
      </c>
      <c r="G1227">
        <v>1404</v>
      </c>
      <c r="H1227" t="str">
        <f>TEXT(TbDespesas[[#This Row],[data_transacao]], "aaaa-mm")</f>
        <v>2026-07</v>
      </c>
    </row>
    <row r="1228" spans="1:8">
      <c r="A1228">
        <v>1227</v>
      </c>
      <c r="B1228" s="1">
        <v>46269</v>
      </c>
      <c r="C1228" t="s">
        <v>633</v>
      </c>
      <c r="D1228" t="s">
        <v>634</v>
      </c>
      <c r="E1228">
        <v>298</v>
      </c>
      <c r="F1228">
        <v>8</v>
      </c>
      <c r="G1228">
        <v>2618</v>
      </c>
      <c r="H1228" t="str">
        <f>TEXT(TbDespesas[[#This Row],[data_transacao]], "aaaa-mm")</f>
        <v>2026-09</v>
      </c>
    </row>
    <row r="1229" spans="1:8">
      <c r="A1229">
        <v>1228</v>
      </c>
      <c r="B1229" s="1">
        <v>46269</v>
      </c>
      <c r="C1229" t="s">
        <v>633</v>
      </c>
      <c r="D1229" t="s">
        <v>376</v>
      </c>
      <c r="E1229">
        <v>144</v>
      </c>
      <c r="F1229">
        <v>10</v>
      </c>
      <c r="G1229">
        <v>1576</v>
      </c>
      <c r="H1229" t="str">
        <f>TEXT(TbDespesas[[#This Row],[data_transacao]], "aaaa-mm")</f>
        <v>2026-09</v>
      </c>
    </row>
    <row r="1230" spans="1:8">
      <c r="A1230">
        <v>1229</v>
      </c>
      <c r="B1230" s="1">
        <v>46269</v>
      </c>
      <c r="C1230" t="s">
        <v>633</v>
      </c>
      <c r="D1230" t="s">
        <v>271</v>
      </c>
      <c r="E1230">
        <v>94</v>
      </c>
      <c r="F1230">
        <v>15</v>
      </c>
      <c r="G1230">
        <v>1503</v>
      </c>
      <c r="H1230" t="str">
        <f>TEXT(TbDespesas[[#This Row],[data_transacao]], "aaaa-mm")</f>
        <v>2026-09</v>
      </c>
    </row>
    <row r="1231" spans="1:8">
      <c r="A1231">
        <v>1230</v>
      </c>
      <c r="B1231" s="1">
        <v>46269</v>
      </c>
      <c r="C1231" t="s">
        <v>633</v>
      </c>
      <c r="D1231" t="s">
        <v>219</v>
      </c>
      <c r="E1231">
        <v>266</v>
      </c>
      <c r="F1231">
        <v>4</v>
      </c>
      <c r="G1231">
        <v>1303</v>
      </c>
      <c r="H1231" t="str">
        <f>TEXT(TbDespesas[[#This Row],[data_transacao]], "aaaa-mm")</f>
        <v>2026-09</v>
      </c>
    </row>
    <row r="1232" spans="1:8">
      <c r="A1232">
        <v>1231</v>
      </c>
      <c r="B1232" s="1">
        <v>46269</v>
      </c>
      <c r="C1232" t="s">
        <v>633</v>
      </c>
      <c r="D1232" t="s">
        <v>468</v>
      </c>
      <c r="E1232">
        <v>484</v>
      </c>
      <c r="F1232">
        <v>5</v>
      </c>
      <c r="G1232">
        <v>2854</v>
      </c>
      <c r="H1232" t="str">
        <f>TEXT(TbDespesas[[#This Row],[data_transacao]], "aaaa-mm")</f>
        <v>2026-09</v>
      </c>
    </row>
    <row r="1233" spans="1:8">
      <c r="A1233">
        <v>1232</v>
      </c>
      <c r="B1233" s="1">
        <v>46269</v>
      </c>
      <c r="C1233" t="s">
        <v>633</v>
      </c>
      <c r="D1233" t="s">
        <v>339</v>
      </c>
      <c r="E1233">
        <v>207</v>
      </c>
      <c r="F1233">
        <v>13</v>
      </c>
      <c r="G1233">
        <v>2836</v>
      </c>
      <c r="H1233" t="str">
        <f>TEXT(TbDespesas[[#This Row],[data_transacao]], "aaaa-mm")</f>
        <v>2026-09</v>
      </c>
    </row>
    <row r="1234" spans="1:8">
      <c r="A1234">
        <v>1233</v>
      </c>
      <c r="B1234" s="1">
        <v>46269</v>
      </c>
      <c r="C1234" t="s">
        <v>633</v>
      </c>
      <c r="D1234" t="s">
        <v>635</v>
      </c>
      <c r="E1234">
        <v>172</v>
      </c>
      <c r="F1234">
        <v>16</v>
      </c>
      <c r="G1234">
        <v>2895</v>
      </c>
      <c r="H1234" t="str">
        <f>TEXT(TbDespesas[[#This Row],[data_transacao]], "aaaa-mm")</f>
        <v>2026-09</v>
      </c>
    </row>
    <row r="1235" spans="1:8">
      <c r="A1235">
        <v>1234</v>
      </c>
      <c r="B1235" s="1">
        <v>46269</v>
      </c>
      <c r="C1235" t="s">
        <v>633</v>
      </c>
      <c r="D1235" t="s">
        <v>353</v>
      </c>
      <c r="E1235">
        <v>152</v>
      </c>
      <c r="F1235">
        <v>17</v>
      </c>
      <c r="G1235">
        <v>2682</v>
      </c>
      <c r="H1235" t="str">
        <f>TEXT(TbDespesas[[#This Row],[data_transacao]], "aaaa-mm")</f>
        <v>2026-09</v>
      </c>
    </row>
    <row r="1236" spans="1:8">
      <c r="A1236">
        <v>1235</v>
      </c>
      <c r="B1236" s="1">
        <v>46269</v>
      </c>
      <c r="C1236" t="s">
        <v>633</v>
      </c>
      <c r="D1236" t="s">
        <v>546</v>
      </c>
      <c r="E1236">
        <v>404</v>
      </c>
      <c r="F1236">
        <v>4</v>
      </c>
      <c r="G1236">
        <v>1666</v>
      </c>
      <c r="H1236" t="str">
        <f>TEXT(TbDespesas[[#This Row],[data_transacao]], "aaaa-mm")</f>
        <v>2026-09</v>
      </c>
    </row>
    <row r="1237" spans="1:8">
      <c r="A1237">
        <v>1236</v>
      </c>
      <c r="B1237" s="1">
        <v>46269</v>
      </c>
      <c r="C1237" t="s">
        <v>633</v>
      </c>
      <c r="D1237" t="s">
        <v>212</v>
      </c>
      <c r="E1237">
        <v>67</v>
      </c>
      <c r="F1237">
        <v>31</v>
      </c>
      <c r="G1237">
        <v>2122</v>
      </c>
      <c r="H1237" t="str">
        <f>TEXT(TbDespesas[[#This Row],[data_transacao]], "aaaa-mm")</f>
        <v>2026-09</v>
      </c>
    </row>
    <row r="1238" spans="1:8">
      <c r="A1238">
        <v>1237</v>
      </c>
      <c r="B1238" s="1">
        <v>45916</v>
      </c>
      <c r="C1238" t="s">
        <v>636</v>
      </c>
      <c r="D1238" t="s">
        <v>16</v>
      </c>
      <c r="E1238">
        <v>346</v>
      </c>
      <c r="F1238">
        <v>7</v>
      </c>
      <c r="G1238">
        <v>2533</v>
      </c>
      <c r="H1238" t="str">
        <f>TEXT(TbDespesas[[#This Row],[data_transacao]], "aaaa-mm")</f>
        <v>2025-09</v>
      </c>
    </row>
    <row r="1239" spans="1:8">
      <c r="A1239">
        <v>1238</v>
      </c>
      <c r="B1239" s="1">
        <v>45916</v>
      </c>
      <c r="C1239" t="s">
        <v>636</v>
      </c>
      <c r="D1239" t="s">
        <v>568</v>
      </c>
      <c r="E1239">
        <v>22</v>
      </c>
      <c r="F1239">
        <v>86</v>
      </c>
      <c r="G1239">
        <v>1905</v>
      </c>
      <c r="H1239" t="str">
        <f>TEXT(TbDespesas[[#This Row],[data_transacao]], "aaaa-mm")</f>
        <v>2025-09</v>
      </c>
    </row>
    <row r="1240" spans="1:8">
      <c r="A1240">
        <v>1239</v>
      </c>
      <c r="B1240" s="1">
        <v>45916</v>
      </c>
      <c r="C1240" t="s">
        <v>636</v>
      </c>
      <c r="D1240" t="s">
        <v>452</v>
      </c>
      <c r="E1240">
        <v>281</v>
      </c>
      <c r="F1240">
        <v>7</v>
      </c>
      <c r="G1240">
        <v>2221</v>
      </c>
      <c r="H1240" t="str">
        <f>TEXT(TbDespesas[[#This Row],[data_transacao]], "aaaa-mm")</f>
        <v>2025-09</v>
      </c>
    </row>
    <row r="1241" spans="1:8">
      <c r="A1241">
        <v>1240</v>
      </c>
      <c r="B1241" s="1">
        <v>45916</v>
      </c>
      <c r="C1241" t="s">
        <v>636</v>
      </c>
      <c r="D1241" t="s">
        <v>378</v>
      </c>
      <c r="E1241">
        <v>183</v>
      </c>
      <c r="F1241">
        <v>16</v>
      </c>
      <c r="G1241">
        <v>2936</v>
      </c>
      <c r="H1241" t="str">
        <f>TEXT(TbDespesas[[#This Row],[data_transacao]], "aaaa-mm")</f>
        <v>2025-09</v>
      </c>
    </row>
    <row r="1242" spans="1:8">
      <c r="A1242">
        <v>1241</v>
      </c>
      <c r="B1242" s="1">
        <v>45916</v>
      </c>
      <c r="C1242" t="s">
        <v>636</v>
      </c>
      <c r="D1242" t="s">
        <v>612</v>
      </c>
      <c r="E1242">
        <v>255</v>
      </c>
      <c r="F1242">
        <v>9</v>
      </c>
      <c r="G1242">
        <v>2508</v>
      </c>
      <c r="H1242" t="str">
        <f>TEXT(TbDespesas[[#This Row],[data_transacao]], "aaaa-mm")</f>
        <v>2025-09</v>
      </c>
    </row>
    <row r="1243" spans="1:8">
      <c r="A1243">
        <v>1242</v>
      </c>
      <c r="B1243" s="1">
        <v>46062</v>
      </c>
      <c r="C1243" t="s">
        <v>93</v>
      </c>
      <c r="D1243" t="s">
        <v>203</v>
      </c>
      <c r="E1243">
        <v>286</v>
      </c>
      <c r="F1243">
        <v>7</v>
      </c>
      <c r="G1243">
        <v>2113</v>
      </c>
      <c r="H1243" t="str">
        <f>TEXT(TbDespesas[[#This Row],[data_transacao]], "aaaa-mm")</f>
        <v>2026-02</v>
      </c>
    </row>
    <row r="1244" spans="1:8">
      <c r="A1244">
        <v>1243</v>
      </c>
      <c r="B1244" s="1">
        <v>46062</v>
      </c>
      <c r="C1244" t="s">
        <v>93</v>
      </c>
      <c r="D1244" t="s">
        <v>637</v>
      </c>
      <c r="E1244">
        <v>472</v>
      </c>
      <c r="F1244">
        <v>1</v>
      </c>
      <c r="G1244">
        <v>545</v>
      </c>
      <c r="H1244" t="str">
        <f>TEXT(TbDespesas[[#This Row],[data_transacao]], "aaaa-mm")</f>
        <v>2026-02</v>
      </c>
    </row>
    <row r="1245" spans="1:8">
      <c r="A1245">
        <v>1244</v>
      </c>
      <c r="B1245" s="1">
        <v>46062</v>
      </c>
      <c r="C1245" t="s">
        <v>93</v>
      </c>
      <c r="D1245" t="s">
        <v>70</v>
      </c>
      <c r="E1245">
        <v>18</v>
      </c>
      <c r="F1245">
        <v>66</v>
      </c>
      <c r="G1245">
        <v>1193</v>
      </c>
      <c r="H1245" t="str">
        <f>TEXT(TbDespesas[[#This Row],[data_transacao]], "aaaa-mm")</f>
        <v>2026-02</v>
      </c>
    </row>
    <row r="1246" spans="1:8">
      <c r="A1246">
        <v>1245</v>
      </c>
      <c r="B1246" s="1">
        <v>46026</v>
      </c>
      <c r="C1246" t="s">
        <v>532</v>
      </c>
      <c r="D1246" t="s">
        <v>43</v>
      </c>
      <c r="E1246">
        <v>94</v>
      </c>
      <c r="F1246">
        <v>11</v>
      </c>
      <c r="G1246">
        <v>1127</v>
      </c>
      <c r="H1246" t="str">
        <f>TEXT(TbDespesas[[#This Row],[data_transacao]], "aaaa-mm")</f>
        <v>2026-01</v>
      </c>
    </row>
    <row r="1247" spans="1:8">
      <c r="A1247">
        <v>1246</v>
      </c>
      <c r="B1247" s="1">
        <v>46026</v>
      </c>
      <c r="C1247" t="s">
        <v>532</v>
      </c>
      <c r="D1247" t="s">
        <v>175</v>
      </c>
      <c r="E1247">
        <v>157</v>
      </c>
      <c r="F1247">
        <v>6</v>
      </c>
      <c r="G1247">
        <v>1067</v>
      </c>
      <c r="H1247" t="str">
        <f>TEXT(TbDespesas[[#This Row],[data_transacao]], "aaaa-mm")</f>
        <v>2026-01</v>
      </c>
    </row>
    <row r="1248" spans="1:8">
      <c r="A1248">
        <v>1247</v>
      </c>
      <c r="B1248" s="1">
        <v>46026</v>
      </c>
      <c r="C1248" t="s">
        <v>532</v>
      </c>
      <c r="D1248" t="s">
        <v>638</v>
      </c>
      <c r="E1248">
        <v>197</v>
      </c>
      <c r="F1248">
        <v>16</v>
      </c>
      <c r="G1248">
        <v>3163</v>
      </c>
      <c r="H1248" t="str">
        <f>TEXT(TbDespesas[[#This Row],[data_transacao]], "aaaa-mm")</f>
        <v>2026-01</v>
      </c>
    </row>
    <row r="1249" spans="1:8">
      <c r="A1249">
        <v>1248</v>
      </c>
      <c r="B1249" s="1">
        <v>46026</v>
      </c>
      <c r="C1249" t="s">
        <v>532</v>
      </c>
      <c r="D1249" t="s">
        <v>205</v>
      </c>
      <c r="E1249">
        <v>273</v>
      </c>
      <c r="F1249">
        <v>8</v>
      </c>
      <c r="G1249">
        <v>2313</v>
      </c>
      <c r="H1249" t="str">
        <f>TEXT(TbDespesas[[#This Row],[data_transacao]], "aaaa-mm")</f>
        <v>2026-01</v>
      </c>
    </row>
    <row r="1250" spans="1:8">
      <c r="A1250">
        <v>1249</v>
      </c>
      <c r="B1250" s="1">
        <v>46026</v>
      </c>
      <c r="C1250" t="s">
        <v>532</v>
      </c>
      <c r="D1250" t="s">
        <v>85</v>
      </c>
      <c r="E1250">
        <v>210</v>
      </c>
      <c r="F1250">
        <v>16</v>
      </c>
      <c r="G1250">
        <v>3386</v>
      </c>
      <c r="H1250" t="str">
        <f>TEXT(TbDespesas[[#This Row],[data_transacao]], "aaaa-mm")</f>
        <v>2026-01</v>
      </c>
    </row>
    <row r="1251" spans="1:8">
      <c r="A1251">
        <v>1250</v>
      </c>
      <c r="B1251" s="1">
        <v>46026</v>
      </c>
      <c r="C1251" t="s">
        <v>532</v>
      </c>
      <c r="D1251" t="s">
        <v>588</v>
      </c>
      <c r="E1251">
        <v>402</v>
      </c>
      <c r="F1251">
        <v>2</v>
      </c>
      <c r="G1251">
        <v>975</v>
      </c>
      <c r="H1251" t="str">
        <f>TEXT(TbDespesas[[#This Row],[data_transacao]], "aaaa-mm")</f>
        <v>2026-01</v>
      </c>
    </row>
    <row r="1252" spans="1:8">
      <c r="A1252">
        <v>1251</v>
      </c>
      <c r="B1252" s="1">
        <v>46026</v>
      </c>
      <c r="C1252" t="s">
        <v>532</v>
      </c>
      <c r="D1252" t="s">
        <v>9</v>
      </c>
      <c r="E1252">
        <v>487</v>
      </c>
      <c r="F1252">
        <v>1</v>
      </c>
      <c r="G1252">
        <v>611</v>
      </c>
      <c r="H1252" t="str">
        <f>TEXT(TbDespesas[[#This Row],[data_transacao]], "aaaa-mm")</f>
        <v>2026-01</v>
      </c>
    </row>
    <row r="1253" spans="1:8">
      <c r="A1253">
        <v>1252</v>
      </c>
      <c r="B1253" s="1">
        <v>46026</v>
      </c>
      <c r="C1253" t="s">
        <v>532</v>
      </c>
      <c r="D1253" t="s">
        <v>446</v>
      </c>
      <c r="E1253">
        <v>475</v>
      </c>
      <c r="F1253">
        <v>4</v>
      </c>
      <c r="G1253">
        <v>2099</v>
      </c>
      <c r="H1253" t="str">
        <f>TEXT(TbDespesas[[#This Row],[data_transacao]], "aaaa-mm")</f>
        <v>2026-01</v>
      </c>
    </row>
    <row r="1254" spans="1:8">
      <c r="A1254">
        <v>1253</v>
      </c>
      <c r="B1254" s="1">
        <v>46247</v>
      </c>
      <c r="C1254" t="s">
        <v>344</v>
      </c>
      <c r="D1254" t="s">
        <v>283</v>
      </c>
      <c r="E1254">
        <v>201</v>
      </c>
      <c r="F1254">
        <v>5</v>
      </c>
      <c r="G1254">
        <v>1026</v>
      </c>
      <c r="H1254" t="str">
        <f>TEXT(TbDespesas[[#This Row],[data_transacao]], "aaaa-mm")</f>
        <v>2026-08</v>
      </c>
    </row>
    <row r="1255" spans="1:8">
      <c r="A1255">
        <v>1254</v>
      </c>
      <c r="B1255" s="1">
        <v>46247</v>
      </c>
      <c r="C1255" t="s">
        <v>344</v>
      </c>
      <c r="D1255" t="s">
        <v>324</v>
      </c>
      <c r="E1255">
        <v>77</v>
      </c>
      <c r="F1255">
        <v>13</v>
      </c>
      <c r="G1255">
        <v>1065</v>
      </c>
      <c r="H1255" t="str">
        <f>TEXT(TbDespesas[[#This Row],[data_transacao]], "aaaa-mm")</f>
        <v>2026-08</v>
      </c>
    </row>
    <row r="1256" spans="1:8">
      <c r="A1256">
        <v>1255</v>
      </c>
      <c r="B1256" s="1">
        <v>46247</v>
      </c>
      <c r="C1256" t="s">
        <v>344</v>
      </c>
      <c r="D1256" t="s">
        <v>639</v>
      </c>
      <c r="E1256">
        <v>202</v>
      </c>
      <c r="F1256">
        <v>14</v>
      </c>
      <c r="G1256">
        <v>2849</v>
      </c>
      <c r="H1256" t="str">
        <f>TEXT(TbDespesas[[#This Row],[data_transacao]], "aaaa-mm")</f>
        <v>2026-08</v>
      </c>
    </row>
    <row r="1257" spans="1:8">
      <c r="A1257">
        <v>1256</v>
      </c>
      <c r="B1257" s="1">
        <v>46247</v>
      </c>
      <c r="C1257" t="s">
        <v>344</v>
      </c>
      <c r="D1257" t="s">
        <v>21</v>
      </c>
      <c r="E1257">
        <v>422</v>
      </c>
      <c r="F1257">
        <v>8</v>
      </c>
      <c r="G1257">
        <v>3395</v>
      </c>
      <c r="H1257" t="str">
        <f>TEXT(TbDespesas[[#This Row],[data_transacao]], "aaaa-mm")</f>
        <v>2026-08</v>
      </c>
    </row>
    <row r="1258" spans="1:8">
      <c r="A1258">
        <v>1257</v>
      </c>
      <c r="B1258" s="1">
        <v>46247</v>
      </c>
      <c r="C1258" t="s">
        <v>344</v>
      </c>
      <c r="D1258" t="s">
        <v>70</v>
      </c>
      <c r="E1258">
        <v>233</v>
      </c>
      <c r="F1258">
        <v>13</v>
      </c>
      <c r="G1258">
        <v>3048</v>
      </c>
      <c r="H1258" t="str">
        <f>TEXT(TbDespesas[[#This Row],[data_transacao]], "aaaa-mm")</f>
        <v>2026-08</v>
      </c>
    </row>
    <row r="1259" spans="1:8">
      <c r="A1259">
        <v>1258</v>
      </c>
      <c r="B1259" s="1">
        <v>46247</v>
      </c>
      <c r="C1259" t="s">
        <v>344</v>
      </c>
      <c r="D1259" t="s">
        <v>116</v>
      </c>
      <c r="E1259">
        <v>351</v>
      </c>
      <c r="F1259">
        <v>11</v>
      </c>
      <c r="G1259">
        <v>3922</v>
      </c>
      <c r="H1259" t="str">
        <f>TEXT(TbDespesas[[#This Row],[data_transacao]], "aaaa-mm")</f>
        <v>2026-08</v>
      </c>
    </row>
    <row r="1260" spans="1:8">
      <c r="A1260">
        <v>1259</v>
      </c>
      <c r="B1260" s="1">
        <v>46247</v>
      </c>
      <c r="C1260" t="s">
        <v>344</v>
      </c>
      <c r="D1260" t="s">
        <v>638</v>
      </c>
      <c r="E1260">
        <v>280</v>
      </c>
      <c r="F1260">
        <v>4</v>
      </c>
      <c r="G1260">
        <v>1193</v>
      </c>
      <c r="H1260" t="str">
        <f>TEXT(TbDespesas[[#This Row],[data_transacao]], "aaaa-mm")</f>
        <v>2026-08</v>
      </c>
    </row>
    <row r="1261" spans="1:8">
      <c r="A1261">
        <v>1260</v>
      </c>
      <c r="B1261" s="1">
        <v>46247</v>
      </c>
      <c r="C1261" t="s">
        <v>344</v>
      </c>
      <c r="D1261" t="s">
        <v>17</v>
      </c>
      <c r="E1261">
        <v>212</v>
      </c>
      <c r="F1261">
        <v>6</v>
      </c>
      <c r="G1261">
        <v>1445</v>
      </c>
      <c r="H1261" t="str">
        <f>TEXT(TbDespesas[[#This Row],[data_transacao]], "aaaa-mm")</f>
        <v>2026-08</v>
      </c>
    </row>
    <row r="1262" spans="1:8">
      <c r="A1262">
        <v>1261</v>
      </c>
      <c r="B1262" s="1">
        <v>45985</v>
      </c>
      <c r="C1262" t="s">
        <v>244</v>
      </c>
      <c r="D1262" t="s">
        <v>547</v>
      </c>
      <c r="E1262">
        <v>233</v>
      </c>
      <c r="F1262">
        <v>11</v>
      </c>
      <c r="G1262">
        <v>2759</v>
      </c>
      <c r="H1262" t="str">
        <f>TEXT(TbDespesas[[#This Row],[data_transacao]], "aaaa-mm")</f>
        <v>2025-11</v>
      </c>
    </row>
    <row r="1263" spans="1:8">
      <c r="A1263">
        <v>1262</v>
      </c>
      <c r="B1263" s="1">
        <v>45985</v>
      </c>
      <c r="C1263" t="s">
        <v>244</v>
      </c>
      <c r="D1263" t="s">
        <v>58</v>
      </c>
      <c r="E1263">
        <v>446</v>
      </c>
      <c r="F1263">
        <v>5</v>
      </c>
      <c r="G1263">
        <v>2575</v>
      </c>
      <c r="H1263" t="str">
        <f>TEXT(TbDespesas[[#This Row],[data_transacao]], "aaaa-mm")</f>
        <v>2025-11</v>
      </c>
    </row>
    <row r="1264" spans="1:8">
      <c r="A1264">
        <v>1263</v>
      </c>
      <c r="B1264" s="1">
        <v>45985</v>
      </c>
      <c r="C1264" t="s">
        <v>244</v>
      </c>
      <c r="D1264" t="s">
        <v>640</v>
      </c>
      <c r="E1264">
        <v>205</v>
      </c>
      <c r="F1264">
        <v>10</v>
      </c>
      <c r="G1264">
        <v>2105</v>
      </c>
      <c r="H1264" t="str">
        <f>TEXT(TbDespesas[[#This Row],[data_transacao]], "aaaa-mm")</f>
        <v>2025-11</v>
      </c>
    </row>
    <row r="1265" spans="1:8">
      <c r="A1265">
        <v>1264</v>
      </c>
      <c r="B1265" s="1">
        <v>45985</v>
      </c>
      <c r="C1265" t="s">
        <v>244</v>
      </c>
      <c r="D1265" t="s">
        <v>275</v>
      </c>
      <c r="E1265">
        <v>66</v>
      </c>
      <c r="F1265">
        <v>40</v>
      </c>
      <c r="G1265">
        <v>2641</v>
      </c>
      <c r="H1265" t="str">
        <f>TEXT(TbDespesas[[#This Row],[data_transacao]], "aaaa-mm")</f>
        <v>2025-11</v>
      </c>
    </row>
    <row r="1266" spans="1:8">
      <c r="A1266">
        <v>1265</v>
      </c>
      <c r="B1266" s="1">
        <v>45985</v>
      </c>
      <c r="C1266" t="s">
        <v>244</v>
      </c>
      <c r="D1266" t="s">
        <v>641</v>
      </c>
      <c r="E1266">
        <v>71</v>
      </c>
      <c r="F1266">
        <v>34</v>
      </c>
      <c r="G1266">
        <v>2481</v>
      </c>
      <c r="H1266" t="str">
        <f>TEXT(TbDespesas[[#This Row],[data_transacao]], "aaaa-mm")</f>
        <v>2025-11</v>
      </c>
    </row>
    <row r="1267" spans="1:8">
      <c r="A1267">
        <v>1266</v>
      </c>
      <c r="B1267" s="1">
        <v>45985</v>
      </c>
      <c r="C1267" t="s">
        <v>244</v>
      </c>
      <c r="D1267" t="s">
        <v>209</v>
      </c>
      <c r="E1267">
        <v>202</v>
      </c>
      <c r="F1267">
        <v>4</v>
      </c>
      <c r="G1267">
        <v>951</v>
      </c>
      <c r="H1267" t="str">
        <f>TEXT(TbDespesas[[#This Row],[data_transacao]], "aaaa-mm")</f>
        <v>2025-11</v>
      </c>
    </row>
    <row r="1268" spans="1:8">
      <c r="A1268">
        <v>1267</v>
      </c>
      <c r="B1268" s="1">
        <v>45985</v>
      </c>
      <c r="C1268" t="s">
        <v>244</v>
      </c>
      <c r="D1268" t="s">
        <v>642</v>
      </c>
      <c r="E1268">
        <v>40</v>
      </c>
      <c r="F1268">
        <v>44</v>
      </c>
      <c r="G1268">
        <v>1792</v>
      </c>
      <c r="H1268" t="str">
        <f>TEXT(TbDespesas[[#This Row],[data_transacao]], "aaaa-mm")</f>
        <v>2025-11</v>
      </c>
    </row>
    <row r="1269" spans="1:8">
      <c r="A1269">
        <v>1268</v>
      </c>
      <c r="B1269" s="1">
        <v>45985</v>
      </c>
      <c r="C1269" t="s">
        <v>244</v>
      </c>
      <c r="D1269" t="s">
        <v>120</v>
      </c>
      <c r="E1269">
        <v>52</v>
      </c>
      <c r="F1269">
        <v>37</v>
      </c>
      <c r="G1269">
        <v>1975</v>
      </c>
      <c r="H1269" t="str">
        <f>TEXT(TbDespesas[[#This Row],[data_transacao]], "aaaa-mm")</f>
        <v>2025-11</v>
      </c>
    </row>
    <row r="1270" spans="1:8">
      <c r="A1270">
        <v>1269</v>
      </c>
      <c r="B1270" s="1">
        <v>45985</v>
      </c>
      <c r="C1270" t="s">
        <v>244</v>
      </c>
      <c r="D1270" t="s">
        <v>134</v>
      </c>
      <c r="E1270">
        <v>241</v>
      </c>
      <c r="F1270">
        <v>5</v>
      </c>
      <c r="G1270">
        <v>1342</v>
      </c>
      <c r="H1270" t="str">
        <f>TEXT(TbDespesas[[#This Row],[data_transacao]], "aaaa-mm")</f>
        <v>2025-11</v>
      </c>
    </row>
    <row r="1271" spans="1:8">
      <c r="A1271">
        <v>1270</v>
      </c>
      <c r="B1271" s="1">
        <v>45985</v>
      </c>
      <c r="C1271" t="s">
        <v>244</v>
      </c>
      <c r="D1271" t="s">
        <v>144</v>
      </c>
      <c r="E1271">
        <v>374</v>
      </c>
      <c r="F1271">
        <v>6</v>
      </c>
      <c r="G1271">
        <v>2582</v>
      </c>
      <c r="H1271" t="str">
        <f>TEXT(TbDespesas[[#This Row],[data_transacao]], "aaaa-mm")</f>
        <v>2025-11</v>
      </c>
    </row>
    <row r="1272" spans="1:8">
      <c r="A1272">
        <v>1271</v>
      </c>
      <c r="B1272" s="1">
        <v>45985</v>
      </c>
      <c r="C1272" t="s">
        <v>244</v>
      </c>
      <c r="D1272" t="s">
        <v>203</v>
      </c>
      <c r="E1272">
        <v>416</v>
      </c>
      <c r="F1272">
        <v>4</v>
      </c>
      <c r="G1272">
        <v>1940</v>
      </c>
      <c r="H1272" t="str">
        <f>TEXT(TbDespesas[[#This Row],[data_transacao]], "aaaa-mm")</f>
        <v>2025-11</v>
      </c>
    </row>
    <row r="1273" spans="1:8">
      <c r="A1273">
        <v>1272</v>
      </c>
      <c r="B1273" s="1">
        <v>45985</v>
      </c>
      <c r="C1273" t="s">
        <v>244</v>
      </c>
      <c r="D1273" t="s">
        <v>448</v>
      </c>
      <c r="E1273">
        <v>476</v>
      </c>
      <c r="F1273">
        <v>6</v>
      </c>
      <c r="G1273">
        <v>3089</v>
      </c>
      <c r="H1273" t="str">
        <f>TEXT(TbDespesas[[#This Row],[data_transacao]], "aaaa-mm")</f>
        <v>2025-11</v>
      </c>
    </row>
    <row r="1274" spans="1:8">
      <c r="A1274">
        <v>1273</v>
      </c>
      <c r="B1274" s="1">
        <v>46115</v>
      </c>
      <c r="C1274" t="s">
        <v>643</v>
      </c>
      <c r="D1274" t="s">
        <v>644</v>
      </c>
      <c r="E1274">
        <v>158</v>
      </c>
      <c r="F1274">
        <v>8</v>
      </c>
      <c r="G1274">
        <v>1369</v>
      </c>
      <c r="H1274" t="str">
        <f>TEXT(TbDespesas[[#This Row],[data_transacao]], "aaaa-mm")</f>
        <v>2026-04</v>
      </c>
    </row>
    <row r="1275" spans="1:8">
      <c r="A1275">
        <v>1274</v>
      </c>
      <c r="B1275" s="1">
        <v>46115</v>
      </c>
      <c r="C1275" t="s">
        <v>643</v>
      </c>
      <c r="D1275" t="s">
        <v>122</v>
      </c>
      <c r="E1275">
        <v>396</v>
      </c>
      <c r="F1275">
        <v>4</v>
      </c>
      <c r="G1275">
        <v>1833</v>
      </c>
      <c r="H1275" t="str">
        <f>TEXT(TbDespesas[[#This Row],[data_transacao]], "aaaa-mm")</f>
        <v>2026-04</v>
      </c>
    </row>
    <row r="1276" spans="1:8">
      <c r="A1276">
        <v>1275</v>
      </c>
      <c r="B1276" s="1">
        <v>46115</v>
      </c>
      <c r="C1276" t="s">
        <v>643</v>
      </c>
      <c r="D1276" t="s">
        <v>253</v>
      </c>
      <c r="E1276">
        <v>76</v>
      </c>
      <c r="F1276">
        <v>22</v>
      </c>
      <c r="G1276">
        <v>1716</v>
      </c>
      <c r="H1276" t="str">
        <f>TEXT(TbDespesas[[#This Row],[data_transacao]], "aaaa-mm")</f>
        <v>2026-04</v>
      </c>
    </row>
    <row r="1277" spans="1:8">
      <c r="A1277">
        <v>1276</v>
      </c>
      <c r="B1277" s="1">
        <v>46115</v>
      </c>
      <c r="C1277" t="s">
        <v>643</v>
      </c>
      <c r="D1277" t="s">
        <v>50</v>
      </c>
      <c r="E1277">
        <v>12</v>
      </c>
      <c r="F1277">
        <v>180</v>
      </c>
      <c r="G1277">
        <v>2161</v>
      </c>
      <c r="H1277" t="str">
        <f>TEXT(TbDespesas[[#This Row],[data_transacao]], "aaaa-mm")</f>
        <v>2026-04</v>
      </c>
    </row>
    <row r="1278" spans="1:8">
      <c r="A1278">
        <v>1277</v>
      </c>
      <c r="B1278" s="1">
        <v>46115</v>
      </c>
      <c r="C1278" t="s">
        <v>643</v>
      </c>
      <c r="D1278" t="s">
        <v>33</v>
      </c>
      <c r="E1278">
        <v>323</v>
      </c>
      <c r="F1278">
        <v>7</v>
      </c>
      <c r="G1278">
        <v>2410</v>
      </c>
      <c r="H1278" t="str">
        <f>TEXT(TbDespesas[[#This Row],[data_transacao]], "aaaa-mm")</f>
        <v>2026-04</v>
      </c>
    </row>
    <row r="1279" spans="1:8">
      <c r="A1279">
        <v>1278</v>
      </c>
      <c r="B1279" s="1">
        <v>46115</v>
      </c>
      <c r="C1279" t="s">
        <v>643</v>
      </c>
      <c r="D1279" t="s">
        <v>567</v>
      </c>
      <c r="E1279">
        <v>64</v>
      </c>
      <c r="F1279">
        <v>36</v>
      </c>
      <c r="G1279">
        <v>2337</v>
      </c>
      <c r="H1279" t="str">
        <f>TEXT(TbDespesas[[#This Row],[data_transacao]], "aaaa-mm")</f>
        <v>2026-04</v>
      </c>
    </row>
    <row r="1280" spans="1:8">
      <c r="A1280">
        <v>1279</v>
      </c>
      <c r="B1280" s="1">
        <v>46115</v>
      </c>
      <c r="C1280" t="s">
        <v>643</v>
      </c>
      <c r="D1280" t="s">
        <v>304</v>
      </c>
      <c r="E1280">
        <v>169</v>
      </c>
      <c r="F1280">
        <v>15</v>
      </c>
      <c r="G1280">
        <v>2613</v>
      </c>
      <c r="H1280" t="str">
        <f>TEXT(TbDespesas[[#This Row],[data_transacao]], "aaaa-mm")</f>
        <v>2026-04</v>
      </c>
    </row>
    <row r="1281" spans="1:8">
      <c r="A1281">
        <v>1280</v>
      </c>
      <c r="B1281" s="1">
        <v>46115</v>
      </c>
      <c r="C1281" t="s">
        <v>643</v>
      </c>
      <c r="D1281" t="s">
        <v>500</v>
      </c>
      <c r="E1281">
        <v>393</v>
      </c>
      <c r="F1281">
        <v>5</v>
      </c>
      <c r="G1281">
        <v>2312</v>
      </c>
      <c r="H1281" t="str">
        <f>TEXT(TbDespesas[[#This Row],[data_transacao]], "aaaa-mm")</f>
        <v>2026-04</v>
      </c>
    </row>
    <row r="1282" spans="1:8">
      <c r="A1282">
        <v>1281</v>
      </c>
      <c r="B1282" s="1">
        <v>46115</v>
      </c>
      <c r="C1282" t="s">
        <v>643</v>
      </c>
      <c r="D1282" t="s">
        <v>414</v>
      </c>
      <c r="E1282">
        <v>403</v>
      </c>
      <c r="F1282">
        <v>8</v>
      </c>
      <c r="G1282">
        <v>3609</v>
      </c>
      <c r="H1282" t="str">
        <f>TEXT(TbDespesas[[#This Row],[data_transacao]], "aaaa-mm")</f>
        <v>2026-04</v>
      </c>
    </row>
    <row r="1283" spans="1:8">
      <c r="A1283">
        <v>1282</v>
      </c>
      <c r="B1283" s="1">
        <v>46115</v>
      </c>
      <c r="C1283" t="s">
        <v>643</v>
      </c>
      <c r="D1283" t="s">
        <v>112</v>
      </c>
      <c r="E1283">
        <v>348</v>
      </c>
      <c r="F1283">
        <v>7</v>
      </c>
      <c r="G1283">
        <v>2536</v>
      </c>
      <c r="H1283" t="str">
        <f>TEXT(TbDespesas[[#This Row],[data_transacao]], "aaaa-mm")</f>
        <v>2026-04</v>
      </c>
    </row>
    <row r="1284" spans="1:8">
      <c r="A1284">
        <v>1283</v>
      </c>
      <c r="B1284" s="1">
        <v>46115</v>
      </c>
      <c r="C1284" t="s">
        <v>643</v>
      </c>
      <c r="D1284" t="s">
        <v>451</v>
      </c>
      <c r="E1284">
        <v>459</v>
      </c>
      <c r="F1284">
        <v>1</v>
      </c>
      <c r="G1284">
        <v>826</v>
      </c>
      <c r="H1284" t="str">
        <f>TEXT(TbDespesas[[#This Row],[data_transacao]], "aaaa-mm")</f>
        <v>2026-04</v>
      </c>
    </row>
    <row r="1285" spans="1:8">
      <c r="A1285">
        <v>1284</v>
      </c>
      <c r="B1285" s="1">
        <v>46056</v>
      </c>
      <c r="C1285" t="s">
        <v>538</v>
      </c>
      <c r="D1285" t="s">
        <v>591</v>
      </c>
      <c r="E1285">
        <v>31</v>
      </c>
      <c r="F1285">
        <v>100</v>
      </c>
      <c r="G1285">
        <v>3113</v>
      </c>
      <c r="H1285" t="str">
        <f>TEXT(TbDespesas[[#This Row],[data_transacao]], "aaaa-mm")</f>
        <v>2026-02</v>
      </c>
    </row>
    <row r="1286" spans="1:8">
      <c r="A1286">
        <v>1285</v>
      </c>
      <c r="B1286" s="1">
        <v>46056</v>
      </c>
      <c r="C1286" t="s">
        <v>538</v>
      </c>
      <c r="D1286" t="s">
        <v>377</v>
      </c>
      <c r="E1286">
        <v>456</v>
      </c>
      <c r="F1286">
        <v>5</v>
      </c>
      <c r="G1286">
        <v>2588</v>
      </c>
      <c r="H1286" t="str">
        <f>TEXT(TbDespesas[[#This Row],[data_transacao]], "aaaa-mm")</f>
        <v>2026-02</v>
      </c>
    </row>
    <row r="1287" spans="1:8">
      <c r="A1287">
        <v>1286</v>
      </c>
      <c r="B1287" s="1">
        <v>46056</v>
      </c>
      <c r="C1287" t="s">
        <v>538</v>
      </c>
      <c r="D1287" t="s">
        <v>257</v>
      </c>
      <c r="E1287">
        <v>441</v>
      </c>
      <c r="F1287">
        <v>5</v>
      </c>
      <c r="G1287">
        <v>2495</v>
      </c>
      <c r="H1287" t="str">
        <f>TEXT(TbDespesas[[#This Row],[data_transacao]], "aaaa-mm")</f>
        <v>2026-02</v>
      </c>
    </row>
    <row r="1288" spans="1:8">
      <c r="A1288">
        <v>1287</v>
      </c>
      <c r="B1288" s="1">
        <v>46056</v>
      </c>
      <c r="C1288" t="s">
        <v>538</v>
      </c>
      <c r="D1288" t="s">
        <v>561</v>
      </c>
      <c r="E1288">
        <v>162</v>
      </c>
      <c r="F1288">
        <v>8</v>
      </c>
      <c r="G1288">
        <v>1297</v>
      </c>
      <c r="H1288" t="str">
        <f>TEXT(TbDespesas[[#This Row],[data_transacao]], "aaaa-mm")</f>
        <v>2026-02</v>
      </c>
    </row>
    <row r="1289" spans="1:8">
      <c r="A1289">
        <v>1288</v>
      </c>
      <c r="B1289" s="1">
        <v>46056</v>
      </c>
      <c r="C1289" t="s">
        <v>538</v>
      </c>
      <c r="D1289" t="s">
        <v>171</v>
      </c>
      <c r="E1289">
        <v>403</v>
      </c>
      <c r="F1289">
        <v>7</v>
      </c>
      <c r="G1289">
        <v>3185</v>
      </c>
      <c r="H1289" t="str">
        <f>TEXT(TbDespesas[[#This Row],[data_transacao]], "aaaa-mm")</f>
        <v>2026-02</v>
      </c>
    </row>
    <row r="1290" spans="1:8">
      <c r="A1290">
        <v>1289</v>
      </c>
      <c r="B1290" s="1">
        <v>46056</v>
      </c>
      <c r="C1290" t="s">
        <v>538</v>
      </c>
      <c r="D1290" t="s">
        <v>307</v>
      </c>
      <c r="E1290">
        <v>355</v>
      </c>
      <c r="F1290">
        <v>2</v>
      </c>
      <c r="G1290">
        <v>850</v>
      </c>
      <c r="H1290" t="str">
        <f>TEXT(TbDespesas[[#This Row],[data_transacao]], "aaaa-mm")</f>
        <v>2026-02</v>
      </c>
    </row>
    <row r="1291" spans="1:8">
      <c r="A1291">
        <v>1290</v>
      </c>
      <c r="B1291" s="1">
        <v>46056</v>
      </c>
      <c r="C1291" t="s">
        <v>538</v>
      </c>
      <c r="D1291" t="s">
        <v>112</v>
      </c>
      <c r="E1291">
        <v>477</v>
      </c>
      <c r="F1291">
        <v>2</v>
      </c>
      <c r="G1291">
        <v>1312</v>
      </c>
      <c r="H1291" t="str">
        <f>TEXT(TbDespesas[[#This Row],[data_transacao]], "aaaa-mm")</f>
        <v>2026-02</v>
      </c>
    </row>
    <row r="1292" spans="1:8">
      <c r="A1292">
        <v>1291</v>
      </c>
      <c r="B1292" s="1">
        <v>46056</v>
      </c>
      <c r="C1292" t="s">
        <v>538</v>
      </c>
      <c r="D1292" t="s">
        <v>362</v>
      </c>
      <c r="E1292">
        <v>87</v>
      </c>
      <c r="F1292">
        <v>6</v>
      </c>
      <c r="G1292">
        <v>584</v>
      </c>
      <c r="H1292" t="str">
        <f>TEXT(TbDespesas[[#This Row],[data_transacao]], "aaaa-mm")</f>
        <v>2026-02</v>
      </c>
    </row>
    <row r="1293" spans="1:8">
      <c r="A1293">
        <v>1292</v>
      </c>
      <c r="B1293" s="1">
        <v>46056</v>
      </c>
      <c r="C1293" t="s">
        <v>538</v>
      </c>
      <c r="D1293" t="s">
        <v>627</v>
      </c>
      <c r="E1293">
        <v>200</v>
      </c>
      <c r="F1293">
        <v>15</v>
      </c>
      <c r="G1293">
        <v>3041</v>
      </c>
      <c r="H1293" t="str">
        <f>TEXT(TbDespesas[[#This Row],[data_transacao]], "aaaa-mm")</f>
        <v>2026-02</v>
      </c>
    </row>
    <row r="1294" spans="1:8">
      <c r="A1294">
        <v>1293</v>
      </c>
      <c r="B1294" s="1">
        <v>46056</v>
      </c>
      <c r="C1294" t="s">
        <v>538</v>
      </c>
      <c r="D1294" t="s">
        <v>262</v>
      </c>
      <c r="E1294">
        <v>409</v>
      </c>
      <c r="F1294">
        <v>10</v>
      </c>
      <c r="G1294">
        <v>4297</v>
      </c>
      <c r="H1294" t="str">
        <f>TEXT(TbDespesas[[#This Row],[data_transacao]], "aaaa-mm")</f>
        <v>2026-02</v>
      </c>
    </row>
    <row r="1295" spans="1:8">
      <c r="A1295">
        <v>1294</v>
      </c>
      <c r="B1295" s="1">
        <v>46056</v>
      </c>
      <c r="C1295" t="s">
        <v>538</v>
      </c>
      <c r="D1295" t="s">
        <v>386</v>
      </c>
      <c r="E1295">
        <v>332</v>
      </c>
      <c r="F1295">
        <v>7</v>
      </c>
      <c r="G1295">
        <v>2405</v>
      </c>
      <c r="H1295" t="str">
        <f>TEXT(TbDespesas[[#This Row],[data_transacao]], "aaaa-mm")</f>
        <v>2026-02</v>
      </c>
    </row>
    <row r="1296" spans="1:8">
      <c r="A1296">
        <v>1295</v>
      </c>
      <c r="B1296" s="1">
        <v>46146</v>
      </c>
      <c r="C1296" t="s">
        <v>430</v>
      </c>
      <c r="D1296" t="s">
        <v>564</v>
      </c>
      <c r="E1296">
        <v>135</v>
      </c>
      <c r="F1296">
        <v>3</v>
      </c>
      <c r="G1296">
        <v>408</v>
      </c>
      <c r="H1296" t="str">
        <f>TEXT(TbDespesas[[#This Row],[data_transacao]], "aaaa-mm")</f>
        <v>2026-05</v>
      </c>
    </row>
    <row r="1297" spans="1:8">
      <c r="A1297">
        <v>1296</v>
      </c>
      <c r="B1297" s="1">
        <v>46032</v>
      </c>
      <c r="C1297" t="s">
        <v>486</v>
      </c>
      <c r="D1297" t="s">
        <v>446</v>
      </c>
      <c r="E1297">
        <v>104</v>
      </c>
      <c r="F1297">
        <v>29</v>
      </c>
      <c r="G1297">
        <v>3050</v>
      </c>
      <c r="H1297" t="str">
        <f>TEXT(TbDespesas[[#This Row],[data_transacao]], "aaaa-mm")</f>
        <v>2026-01</v>
      </c>
    </row>
    <row r="1298" spans="1:8">
      <c r="A1298">
        <v>1297</v>
      </c>
      <c r="B1298" s="1">
        <v>46032</v>
      </c>
      <c r="C1298" t="s">
        <v>486</v>
      </c>
      <c r="D1298" t="s">
        <v>565</v>
      </c>
      <c r="E1298">
        <v>375</v>
      </c>
      <c r="F1298">
        <v>3</v>
      </c>
      <c r="G1298">
        <v>1185</v>
      </c>
      <c r="H1298" t="str">
        <f>TEXT(TbDespesas[[#This Row],[data_transacao]], "aaaa-mm")</f>
        <v>2026-01</v>
      </c>
    </row>
    <row r="1299" spans="1:8">
      <c r="A1299">
        <v>1298</v>
      </c>
      <c r="B1299" s="1">
        <v>46032</v>
      </c>
      <c r="C1299" t="s">
        <v>486</v>
      </c>
      <c r="D1299" t="s">
        <v>608</v>
      </c>
      <c r="E1299">
        <v>409</v>
      </c>
      <c r="F1299">
        <v>2</v>
      </c>
      <c r="G1299">
        <v>1188</v>
      </c>
      <c r="H1299" t="str">
        <f>TEXT(TbDespesas[[#This Row],[data_transacao]], "aaaa-mm")</f>
        <v>2026-01</v>
      </c>
    </row>
    <row r="1300" spans="1:8">
      <c r="A1300">
        <v>1299</v>
      </c>
      <c r="B1300" s="1">
        <v>46032</v>
      </c>
      <c r="C1300" t="s">
        <v>486</v>
      </c>
      <c r="D1300" t="s">
        <v>11</v>
      </c>
      <c r="E1300">
        <v>352</v>
      </c>
      <c r="F1300">
        <v>3</v>
      </c>
      <c r="G1300">
        <v>1087</v>
      </c>
      <c r="H1300" t="str">
        <f>TEXT(TbDespesas[[#This Row],[data_transacao]], "aaaa-mm")</f>
        <v>2026-01</v>
      </c>
    </row>
    <row r="1301" spans="1:8">
      <c r="A1301">
        <v>1300</v>
      </c>
      <c r="B1301" s="1">
        <v>46032</v>
      </c>
      <c r="C1301" t="s">
        <v>486</v>
      </c>
      <c r="D1301" t="s">
        <v>449</v>
      </c>
      <c r="E1301">
        <v>202</v>
      </c>
      <c r="F1301">
        <v>1</v>
      </c>
      <c r="G1301">
        <v>324</v>
      </c>
      <c r="H1301" t="str">
        <f>TEXT(TbDespesas[[#This Row],[data_transacao]], "aaaa-mm")</f>
        <v>2026-01</v>
      </c>
    </row>
    <row r="1302" spans="1:8">
      <c r="A1302">
        <v>1301</v>
      </c>
      <c r="B1302" s="1">
        <v>46074</v>
      </c>
      <c r="C1302" t="s">
        <v>645</v>
      </c>
      <c r="D1302" t="s">
        <v>436</v>
      </c>
      <c r="E1302">
        <v>235</v>
      </c>
      <c r="F1302">
        <v>15</v>
      </c>
      <c r="G1302">
        <v>3590</v>
      </c>
      <c r="H1302" t="str">
        <f>TEXT(TbDespesas[[#This Row],[data_transacao]], "aaaa-mm")</f>
        <v>2026-02</v>
      </c>
    </row>
    <row r="1303" spans="1:8">
      <c r="A1303">
        <v>1302</v>
      </c>
      <c r="B1303" s="1">
        <v>46074</v>
      </c>
      <c r="C1303" t="s">
        <v>645</v>
      </c>
      <c r="D1303" t="s">
        <v>585</v>
      </c>
      <c r="E1303">
        <v>154</v>
      </c>
      <c r="F1303">
        <v>2</v>
      </c>
      <c r="G1303">
        <v>397</v>
      </c>
      <c r="H1303" t="str">
        <f>TEXT(TbDespesas[[#This Row],[data_transacao]], "aaaa-mm")</f>
        <v>2026-02</v>
      </c>
    </row>
    <row r="1304" spans="1:8">
      <c r="A1304">
        <v>1303</v>
      </c>
      <c r="B1304" s="1">
        <v>46074</v>
      </c>
      <c r="C1304" t="s">
        <v>645</v>
      </c>
      <c r="D1304" t="s">
        <v>193</v>
      </c>
      <c r="E1304">
        <v>224</v>
      </c>
      <c r="F1304">
        <v>15</v>
      </c>
      <c r="G1304">
        <v>3366</v>
      </c>
      <c r="H1304" t="str">
        <f>TEXT(TbDespesas[[#This Row],[data_transacao]], "aaaa-mm")</f>
        <v>2026-02</v>
      </c>
    </row>
    <row r="1305" spans="1:8">
      <c r="A1305">
        <v>1304</v>
      </c>
      <c r="B1305" s="1">
        <v>46074</v>
      </c>
      <c r="C1305" t="s">
        <v>645</v>
      </c>
      <c r="D1305" t="s">
        <v>109</v>
      </c>
      <c r="E1305">
        <v>265</v>
      </c>
      <c r="F1305">
        <v>9</v>
      </c>
      <c r="G1305">
        <v>2417</v>
      </c>
      <c r="H1305" t="str">
        <f>TEXT(TbDespesas[[#This Row],[data_transacao]], "aaaa-mm")</f>
        <v>2026-02</v>
      </c>
    </row>
    <row r="1306" spans="1:8">
      <c r="A1306">
        <v>1305</v>
      </c>
      <c r="B1306" s="1">
        <v>46074</v>
      </c>
      <c r="C1306" t="s">
        <v>645</v>
      </c>
      <c r="D1306" t="s">
        <v>487</v>
      </c>
      <c r="E1306">
        <v>160</v>
      </c>
      <c r="F1306">
        <v>16</v>
      </c>
      <c r="G1306">
        <v>2600</v>
      </c>
      <c r="H1306" t="str">
        <f>TEXT(TbDespesas[[#This Row],[data_transacao]], "aaaa-mm")</f>
        <v>2026-02</v>
      </c>
    </row>
    <row r="1307" spans="1:8">
      <c r="A1307">
        <v>1306</v>
      </c>
      <c r="B1307" s="1">
        <v>46074</v>
      </c>
      <c r="C1307" t="s">
        <v>645</v>
      </c>
      <c r="D1307" t="s">
        <v>48</v>
      </c>
      <c r="E1307">
        <v>103</v>
      </c>
      <c r="F1307">
        <v>27</v>
      </c>
      <c r="G1307">
        <v>2881</v>
      </c>
      <c r="H1307" t="str">
        <f>TEXT(TbDespesas[[#This Row],[data_transacao]], "aaaa-mm")</f>
        <v>2026-02</v>
      </c>
    </row>
    <row r="1308" spans="1:8">
      <c r="A1308">
        <v>1307</v>
      </c>
      <c r="B1308" s="1">
        <v>46074</v>
      </c>
      <c r="C1308" t="s">
        <v>645</v>
      </c>
      <c r="D1308" t="s">
        <v>464</v>
      </c>
      <c r="E1308">
        <v>338</v>
      </c>
      <c r="F1308">
        <v>12</v>
      </c>
      <c r="G1308">
        <v>4088</v>
      </c>
      <c r="H1308" t="str">
        <f>TEXT(TbDespesas[[#This Row],[data_transacao]], "aaaa-mm")</f>
        <v>2026-02</v>
      </c>
    </row>
    <row r="1309" spans="1:8">
      <c r="A1309">
        <v>1308</v>
      </c>
      <c r="B1309" s="1">
        <v>46074</v>
      </c>
      <c r="C1309" t="s">
        <v>645</v>
      </c>
      <c r="D1309" t="s">
        <v>176</v>
      </c>
      <c r="E1309">
        <v>376</v>
      </c>
      <c r="F1309">
        <v>6</v>
      </c>
      <c r="G1309">
        <v>2459</v>
      </c>
      <c r="H1309" t="str">
        <f>TEXT(TbDespesas[[#This Row],[data_transacao]], "aaaa-mm")</f>
        <v>2026-02</v>
      </c>
    </row>
    <row r="1310" spans="1:8">
      <c r="A1310">
        <v>1309</v>
      </c>
      <c r="B1310" s="1">
        <v>46074</v>
      </c>
      <c r="C1310" t="s">
        <v>645</v>
      </c>
      <c r="D1310" t="s">
        <v>326</v>
      </c>
      <c r="E1310">
        <v>322</v>
      </c>
      <c r="F1310">
        <v>8</v>
      </c>
      <c r="G1310">
        <v>2683</v>
      </c>
      <c r="H1310" t="str">
        <f>TEXT(TbDespesas[[#This Row],[data_transacao]], "aaaa-mm")</f>
        <v>2026-02</v>
      </c>
    </row>
    <row r="1311" spans="1:8">
      <c r="A1311">
        <v>1310</v>
      </c>
      <c r="B1311" s="1">
        <v>46074</v>
      </c>
      <c r="C1311" t="s">
        <v>645</v>
      </c>
      <c r="D1311" t="s">
        <v>646</v>
      </c>
      <c r="E1311">
        <v>48</v>
      </c>
      <c r="F1311">
        <v>30</v>
      </c>
      <c r="G1311">
        <v>1482</v>
      </c>
      <c r="H1311" t="str">
        <f>TEXT(TbDespesas[[#This Row],[data_transacao]], "aaaa-mm")</f>
        <v>2026-02</v>
      </c>
    </row>
    <row r="1312" spans="1:8">
      <c r="A1312">
        <v>1311</v>
      </c>
      <c r="B1312" s="1">
        <v>46133</v>
      </c>
      <c r="C1312" t="s">
        <v>647</v>
      </c>
      <c r="D1312" t="s">
        <v>131</v>
      </c>
      <c r="E1312">
        <v>395</v>
      </c>
      <c r="F1312">
        <v>4</v>
      </c>
      <c r="G1312">
        <v>1909</v>
      </c>
      <c r="H1312" t="str">
        <f>TEXT(TbDespesas[[#This Row],[data_transacao]], "aaaa-mm")</f>
        <v>2026-04</v>
      </c>
    </row>
    <row r="1313" spans="1:8">
      <c r="A1313">
        <v>1312</v>
      </c>
      <c r="B1313" s="1">
        <v>46133</v>
      </c>
      <c r="C1313" t="s">
        <v>647</v>
      </c>
      <c r="D1313" t="s">
        <v>155</v>
      </c>
      <c r="E1313">
        <v>302</v>
      </c>
      <c r="F1313">
        <v>9</v>
      </c>
      <c r="G1313">
        <v>2724</v>
      </c>
      <c r="H1313" t="str">
        <f>TEXT(TbDespesas[[#This Row],[data_transacao]], "aaaa-mm")</f>
        <v>2026-04</v>
      </c>
    </row>
    <row r="1314" spans="1:8">
      <c r="A1314">
        <v>1313</v>
      </c>
      <c r="B1314" s="1">
        <v>46133</v>
      </c>
      <c r="C1314" t="s">
        <v>647</v>
      </c>
      <c r="D1314" t="s">
        <v>109</v>
      </c>
      <c r="E1314">
        <v>21</v>
      </c>
      <c r="F1314">
        <v>120</v>
      </c>
      <c r="G1314">
        <v>2527</v>
      </c>
      <c r="H1314" t="str">
        <f>TEXT(TbDespesas[[#This Row],[data_transacao]], "aaaa-mm")</f>
        <v>2026-04</v>
      </c>
    </row>
    <row r="1315" spans="1:8">
      <c r="A1315">
        <v>1314</v>
      </c>
      <c r="B1315" s="1">
        <v>46133</v>
      </c>
      <c r="C1315" t="s">
        <v>647</v>
      </c>
      <c r="D1315" t="s">
        <v>513</v>
      </c>
      <c r="E1315">
        <v>127</v>
      </c>
      <c r="F1315">
        <v>11</v>
      </c>
      <c r="G1315">
        <v>1522</v>
      </c>
      <c r="H1315" t="str">
        <f>TEXT(TbDespesas[[#This Row],[data_transacao]], "aaaa-mm")</f>
        <v>2026-04</v>
      </c>
    </row>
    <row r="1316" spans="1:8">
      <c r="A1316">
        <v>1315</v>
      </c>
      <c r="B1316" s="1">
        <v>46133</v>
      </c>
      <c r="C1316" t="s">
        <v>647</v>
      </c>
      <c r="D1316" t="s">
        <v>424</v>
      </c>
      <c r="E1316">
        <v>174</v>
      </c>
      <c r="F1316">
        <v>5</v>
      </c>
      <c r="G1316">
        <v>1006</v>
      </c>
      <c r="H1316" t="str">
        <f>TEXT(TbDespesas[[#This Row],[data_transacao]], "aaaa-mm")</f>
        <v>2026-04</v>
      </c>
    </row>
    <row r="1317" spans="1:8">
      <c r="A1317">
        <v>1316</v>
      </c>
      <c r="B1317" s="1">
        <v>46133</v>
      </c>
      <c r="C1317" t="s">
        <v>647</v>
      </c>
      <c r="D1317" t="s">
        <v>648</v>
      </c>
      <c r="E1317">
        <v>63</v>
      </c>
      <c r="F1317">
        <v>41</v>
      </c>
      <c r="G1317">
        <v>2636</v>
      </c>
      <c r="H1317" t="str">
        <f>TEXT(TbDespesas[[#This Row],[data_transacao]], "aaaa-mm")</f>
        <v>2026-04</v>
      </c>
    </row>
    <row r="1318" spans="1:8">
      <c r="A1318">
        <v>1317</v>
      </c>
      <c r="B1318" s="1">
        <v>46133</v>
      </c>
      <c r="C1318" t="s">
        <v>647</v>
      </c>
      <c r="D1318" t="s">
        <v>571</v>
      </c>
      <c r="E1318">
        <v>278</v>
      </c>
      <c r="F1318">
        <v>5</v>
      </c>
      <c r="G1318">
        <v>1640</v>
      </c>
      <c r="H1318" t="str">
        <f>TEXT(TbDespesas[[#This Row],[data_transacao]], "aaaa-mm")</f>
        <v>2026-04</v>
      </c>
    </row>
    <row r="1319" spans="1:8">
      <c r="A1319">
        <v>1318</v>
      </c>
      <c r="B1319" s="1">
        <v>45939</v>
      </c>
      <c r="C1319" t="s">
        <v>569</v>
      </c>
      <c r="D1319" t="s">
        <v>191</v>
      </c>
      <c r="E1319">
        <v>302</v>
      </c>
      <c r="F1319">
        <v>5</v>
      </c>
      <c r="G1319">
        <v>1520</v>
      </c>
      <c r="H1319" t="str">
        <f>TEXT(TbDespesas[[#This Row],[data_transacao]], "aaaa-mm")</f>
        <v>2025-10</v>
      </c>
    </row>
    <row r="1320" spans="1:8">
      <c r="A1320">
        <v>1319</v>
      </c>
      <c r="B1320" s="1">
        <v>46212</v>
      </c>
      <c r="C1320" t="s">
        <v>86</v>
      </c>
      <c r="D1320" t="s">
        <v>649</v>
      </c>
      <c r="E1320">
        <v>174</v>
      </c>
      <c r="F1320">
        <v>5</v>
      </c>
      <c r="G1320">
        <v>940</v>
      </c>
      <c r="H1320" t="str">
        <f>TEXT(TbDespesas[[#This Row],[data_transacao]], "aaaa-mm")</f>
        <v>2026-07</v>
      </c>
    </row>
    <row r="1321" spans="1:8">
      <c r="A1321">
        <v>1320</v>
      </c>
      <c r="B1321" s="1">
        <v>46212</v>
      </c>
      <c r="C1321" t="s">
        <v>86</v>
      </c>
      <c r="D1321" t="s">
        <v>458</v>
      </c>
      <c r="E1321">
        <v>29</v>
      </c>
      <c r="F1321">
        <v>34</v>
      </c>
      <c r="G1321">
        <v>1006</v>
      </c>
      <c r="H1321" t="str">
        <f>TEXT(TbDespesas[[#This Row],[data_transacao]], "aaaa-mm")</f>
        <v>2026-07</v>
      </c>
    </row>
    <row r="1322" spans="1:8">
      <c r="A1322">
        <v>1321</v>
      </c>
      <c r="B1322" s="1">
        <v>46212</v>
      </c>
      <c r="C1322" t="s">
        <v>86</v>
      </c>
      <c r="D1322" t="s">
        <v>650</v>
      </c>
      <c r="E1322">
        <v>320</v>
      </c>
      <c r="F1322">
        <v>4</v>
      </c>
      <c r="G1322">
        <v>1551</v>
      </c>
      <c r="H1322" t="str">
        <f>TEXT(TbDespesas[[#This Row],[data_transacao]], "aaaa-mm")</f>
        <v>2026-07</v>
      </c>
    </row>
    <row r="1323" spans="1:8">
      <c r="A1323">
        <v>1322</v>
      </c>
      <c r="B1323" s="1">
        <v>46212</v>
      </c>
      <c r="C1323" t="s">
        <v>86</v>
      </c>
      <c r="D1323" t="s">
        <v>187</v>
      </c>
      <c r="E1323">
        <v>167</v>
      </c>
      <c r="F1323">
        <v>15</v>
      </c>
      <c r="G1323">
        <v>2539</v>
      </c>
      <c r="H1323" t="str">
        <f>TEXT(TbDespesas[[#This Row],[data_transacao]], "aaaa-mm")</f>
        <v>2026-07</v>
      </c>
    </row>
    <row r="1324" spans="1:8">
      <c r="A1324">
        <v>1323</v>
      </c>
      <c r="B1324" s="1">
        <v>46192</v>
      </c>
      <c r="C1324" t="s">
        <v>651</v>
      </c>
      <c r="D1324" t="s">
        <v>139</v>
      </c>
      <c r="E1324">
        <v>416</v>
      </c>
      <c r="F1324">
        <v>1</v>
      </c>
      <c r="G1324">
        <v>563</v>
      </c>
      <c r="H1324" t="str">
        <f>TEXT(TbDespesas[[#This Row],[data_transacao]], "aaaa-mm")</f>
        <v>2026-06</v>
      </c>
    </row>
    <row r="1325" spans="1:8">
      <c r="A1325">
        <v>1324</v>
      </c>
      <c r="B1325" s="1">
        <v>46192</v>
      </c>
      <c r="C1325" t="s">
        <v>651</v>
      </c>
      <c r="D1325" t="s">
        <v>32</v>
      </c>
      <c r="E1325">
        <v>366</v>
      </c>
      <c r="F1325">
        <v>5</v>
      </c>
      <c r="G1325">
        <v>2006</v>
      </c>
      <c r="H1325" t="str">
        <f>TEXT(TbDespesas[[#This Row],[data_transacao]], "aaaa-mm")</f>
        <v>2026-06</v>
      </c>
    </row>
    <row r="1326" spans="1:8">
      <c r="A1326">
        <v>1325</v>
      </c>
      <c r="B1326" s="1">
        <v>46192</v>
      </c>
      <c r="C1326" t="s">
        <v>651</v>
      </c>
      <c r="D1326" t="s">
        <v>80</v>
      </c>
      <c r="E1326">
        <v>309</v>
      </c>
      <c r="F1326">
        <v>10</v>
      </c>
      <c r="G1326">
        <v>3251</v>
      </c>
      <c r="H1326" t="str">
        <f>TEXT(TbDespesas[[#This Row],[data_transacao]], "aaaa-mm")</f>
        <v>2026-06</v>
      </c>
    </row>
    <row r="1327" spans="1:8">
      <c r="A1327">
        <v>1326</v>
      </c>
      <c r="B1327" s="1">
        <v>46192</v>
      </c>
      <c r="C1327" t="s">
        <v>651</v>
      </c>
      <c r="D1327" t="s">
        <v>196</v>
      </c>
      <c r="E1327">
        <v>31</v>
      </c>
      <c r="F1327">
        <v>73</v>
      </c>
      <c r="G1327">
        <v>2265</v>
      </c>
      <c r="H1327" t="str">
        <f>TEXT(TbDespesas[[#This Row],[data_transacao]], "aaaa-mm")</f>
        <v>2026-06</v>
      </c>
    </row>
    <row r="1328" spans="1:8">
      <c r="A1328">
        <v>1327</v>
      </c>
      <c r="B1328" s="1">
        <v>46192</v>
      </c>
      <c r="C1328" t="s">
        <v>651</v>
      </c>
      <c r="D1328" t="s">
        <v>608</v>
      </c>
      <c r="E1328">
        <v>381</v>
      </c>
      <c r="F1328">
        <v>4</v>
      </c>
      <c r="G1328">
        <v>1703</v>
      </c>
      <c r="H1328" t="str">
        <f>TEXT(TbDespesas[[#This Row],[data_transacao]], "aaaa-mm")</f>
        <v>2026-06</v>
      </c>
    </row>
    <row r="1329" spans="1:8">
      <c r="A1329">
        <v>1328</v>
      </c>
      <c r="B1329" s="1">
        <v>46192</v>
      </c>
      <c r="C1329" t="s">
        <v>651</v>
      </c>
      <c r="D1329" t="s">
        <v>117</v>
      </c>
      <c r="E1329">
        <v>326</v>
      </c>
      <c r="F1329">
        <v>5</v>
      </c>
      <c r="G1329">
        <v>1702</v>
      </c>
      <c r="H1329" t="str">
        <f>TEXT(TbDespesas[[#This Row],[data_transacao]], "aaaa-mm")</f>
        <v>2026-06</v>
      </c>
    </row>
    <row r="1330" spans="1:8">
      <c r="A1330">
        <v>1329</v>
      </c>
      <c r="B1330" s="1">
        <v>45955</v>
      </c>
      <c r="C1330" t="s">
        <v>652</v>
      </c>
      <c r="D1330" t="s">
        <v>199</v>
      </c>
      <c r="E1330">
        <v>109</v>
      </c>
      <c r="F1330">
        <v>4</v>
      </c>
      <c r="G1330">
        <v>441</v>
      </c>
      <c r="H1330" t="str">
        <f>TEXT(TbDespesas[[#This Row],[data_transacao]], "aaaa-mm")</f>
        <v>2025-10</v>
      </c>
    </row>
    <row r="1331" spans="1:8">
      <c r="A1331">
        <v>1330</v>
      </c>
      <c r="B1331" s="1">
        <v>45955</v>
      </c>
      <c r="C1331" t="s">
        <v>652</v>
      </c>
      <c r="D1331" t="s">
        <v>609</v>
      </c>
      <c r="E1331">
        <v>75</v>
      </c>
      <c r="F1331">
        <v>27</v>
      </c>
      <c r="G1331">
        <v>2035</v>
      </c>
      <c r="H1331" t="str">
        <f>TEXT(TbDespesas[[#This Row],[data_transacao]], "aaaa-mm")</f>
        <v>2025-10</v>
      </c>
    </row>
    <row r="1332" spans="1:8">
      <c r="A1332">
        <v>1331</v>
      </c>
      <c r="B1332" s="1">
        <v>45955</v>
      </c>
      <c r="C1332" t="s">
        <v>652</v>
      </c>
      <c r="D1332" t="s">
        <v>626</v>
      </c>
      <c r="E1332">
        <v>91</v>
      </c>
      <c r="F1332">
        <v>13</v>
      </c>
      <c r="G1332">
        <v>1265</v>
      </c>
      <c r="H1332" t="str">
        <f>TEXT(TbDespesas[[#This Row],[data_transacao]], "aaaa-mm")</f>
        <v>2025-10</v>
      </c>
    </row>
    <row r="1333" spans="1:8">
      <c r="A1333">
        <v>1332</v>
      </c>
      <c r="B1333" s="1">
        <v>45955</v>
      </c>
      <c r="C1333" t="s">
        <v>652</v>
      </c>
      <c r="D1333" t="s">
        <v>263</v>
      </c>
      <c r="E1333">
        <v>470</v>
      </c>
      <c r="F1333">
        <v>7</v>
      </c>
      <c r="G1333">
        <v>3531</v>
      </c>
      <c r="H1333" t="str">
        <f>TEXT(TbDespesas[[#This Row],[data_transacao]], "aaaa-mm")</f>
        <v>2025-10</v>
      </c>
    </row>
    <row r="1334" spans="1:8">
      <c r="A1334">
        <v>1333</v>
      </c>
      <c r="B1334" s="1">
        <v>45955</v>
      </c>
      <c r="C1334" t="s">
        <v>652</v>
      </c>
      <c r="D1334" t="s">
        <v>368</v>
      </c>
      <c r="E1334">
        <v>10</v>
      </c>
      <c r="F1334">
        <v>224</v>
      </c>
      <c r="G1334">
        <v>2249</v>
      </c>
      <c r="H1334" t="str">
        <f>TEXT(TbDespesas[[#This Row],[data_transacao]], "aaaa-mm")</f>
        <v>2025-10</v>
      </c>
    </row>
    <row r="1335" spans="1:8">
      <c r="A1335">
        <v>1334</v>
      </c>
      <c r="B1335" s="1">
        <v>45955</v>
      </c>
      <c r="C1335" t="s">
        <v>652</v>
      </c>
      <c r="D1335" t="s">
        <v>525</v>
      </c>
      <c r="E1335">
        <v>450</v>
      </c>
      <c r="F1335">
        <v>7</v>
      </c>
      <c r="G1335">
        <v>3324</v>
      </c>
      <c r="H1335" t="str">
        <f>TEXT(TbDespesas[[#This Row],[data_transacao]], "aaaa-mm")</f>
        <v>2025-10</v>
      </c>
    </row>
    <row r="1336" spans="1:8">
      <c r="A1336">
        <v>1335</v>
      </c>
      <c r="B1336" s="1">
        <v>45955</v>
      </c>
      <c r="C1336" t="s">
        <v>652</v>
      </c>
      <c r="D1336" t="s">
        <v>404</v>
      </c>
      <c r="E1336">
        <v>298</v>
      </c>
      <c r="F1336">
        <v>6</v>
      </c>
      <c r="G1336">
        <v>1818</v>
      </c>
      <c r="H1336" t="str">
        <f>TEXT(TbDespesas[[#This Row],[data_transacao]], "aaaa-mm")</f>
        <v>2025-10</v>
      </c>
    </row>
    <row r="1337" spans="1:8">
      <c r="A1337">
        <v>1336</v>
      </c>
      <c r="B1337" s="1">
        <v>45955</v>
      </c>
      <c r="C1337" t="s">
        <v>652</v>
      </c>
      <c r="D1337" t="s">
        <v>76</v>
      </c>
      <c r="E1337">
        <v>60</v>
      </c>
      <c r="F1337">
        <v>45</v>
      </c>
      <c r="G1337">
        <v>2748</v>
      </c>
      <c r="H1337" t="str">
        <f>TEXT(TbDespesas[[#This Row],[data_transacao]], "aaaa-mm")</f>
        <v>2025-10</v>
      </c>
    </row>
    <row r="1338" spans="1:8">
      <c r="A1338">
        <v>1337</v>
      </c>
      <c r="B1338" s="1">
        <v>45955</v>
      </c>
      <c r="C1338" t="s">
        <v>652</v>
      </c>
      <c r="D1338" t="s">
        <v>68</v>
      </c>
      <c r="E1338">
        <v>336</v>
      </c>
      <c r="F1338">
        <v>6</v>
      </c>
      <c r="G1338">
        <v>2081</v>
      </c>
      <c r="H1338" t="str">
        <f>TEXT(TbDespesas[[#This Row],[data_transacao]], "aaaa-mm")</f>
        <v>2025-10</v>
      </c>
    </row>
    <row r="1339" spans="1:8">
      <c r="A1339">
        <v>1338</v>
      </c>
      <c r="B1339" s="1">
        <v>45955</v>
      </c>
      <c r="C1339" t="s">
        <v>652</v>
      </c>
      <c r="D1339" t="s">
        <v>545</v>
      </c>
      <c r="E1339">
        <v>306</v>
      </c>
      <c r="F1339">
        <v>3</v>
      </c>
      <c r="G1339">
        <v>1118</v>
      </c>
      <c r="H1339" t="str">
        <f>TEXT(TbDespesas[[#This Row],[data_transacao]], "aaaa-mm")</f>
        <v>2025-10</v>
      </c>
    </row>
    <row r="1340" spans="1:8">
      <c r="A1340">
        <v>1339</v>
      </c>
      <c r="B1340" s="1">
        <v>45955</v>
      </c>
      <c r="C1340" t="s">
        <v>652</v>
      </c>
      <c r="D1340" t="s">
        <v>84</v>
      </c>
      <c r="E1340">
        <v>351</v>
      </c>
      <c r="F1340">
        <v>9</v>
      </c>
      <c r="G1340">
        <v>3311</v>
      </c>
      <c r="H1340" t="str">
        <f>TEXT(TbDespesas[[#This Row],[data_transacao]], "aaaa-mm")</f>
        <v>2025-10</v>
      </c>
    </row>
    <row r="1341" spans="1:8">
      <c r="A1341">
        <v>1340</v>
      </c>
      <c r="B1341" s="1">
        <v>45998</v>
      </c>
      <c r="C1341" t="s">
        <v>391</v>
      </c>
      <c r="D1341" t="s">
        <v>114</v>
      </c>
      <c r="E1341">
        <v>217</v>
      </c>
      <c r="F1341">
        <v>4</v>
      </c>
      <c r="G1341">
        <v>915</v>
      </c>
      <c r="H1341" t="str">
        <f>TEXT(TbDespesas[[#This Row],[data_transacao]], "aaaa-mm")</f>
        <v>2025-12</v>
      </c>
    </row>
    <row r="1342" spans="1:8">
      <c r="A1342">
        <v>1341</v>
      </c>
      <c r="B1342" s="1">
        <v>45998</v>
      </c>
      <c r="C1342" t="s">
        <v>391</v>
      </c>
      <c r="D1342" t="s">
        <v>82</v>
      </c>
      <c r="E1342">
        <v>321</v>
      </c>
      <c r="F1342">
        <v>2</v>
      </c>
      <c r="G1342">
        <v>845</v>
      </c>
      <c r="H1342" t="str">
        <f>TEXT(TbDespesas[[#This Row],[data_transacao]], "aaaa-mm")</f>
        <v>2025-12</v>
      </c>
    </row>
    <row r="1343" spans="1:8">
      <c r="A1343">
        <v>1342</v>
      </c>
      <c r="B1343" s="1">
        <v>45998</v>
      </c>
      <c r="C1343" t="s">
        <v>391</v>
      </c>
      <c r="D1343" t="s">
        <v>432</v>
      </c>
      <c r="E1343">
        <v>139</v>
      </c>
      <c r="F1343">
        <v>22</v>
      </c>
      <c r="G1343">
        <v>3116</v>
      </c>
      <c r="H1343" t="str">
        <f>TEXT(TbDespesas[[#This Row],[data_transacao]], "aaaa-mm")</f>
        <v>2025-12</v>
      </c>
    </row>
    <row r="1344" spans="1:8">
      <c r="A1344">
        <v>1343</v>
      </c>
      <c r="B1344" s="1">
        <v>45998</v>
      </c>
      <c r="C1344" t="s">
        <v>391</v>
      </c>
      <c r="D1344" t="s">
        <v>21</v>
      </c>
      <c r="E1344">
        <v>274</v>
      </c>
      <c r="F1344">
        <v>6</v>
      </c>
      <c r="G1344">
        <v>1692</v>
      </c>
      <c r="H1344" t="str">
        <f>TEXT(TbDespesas[[#This Row],[data_transacao]], "aaaa-mm")</f>
        <v>2025-12</v>
      </c>
    </row>
    <row r="1345" spans="1:8">
      <c r="A1345">
        <v>1344</v>
      </c>
      <c r="B1345" s="1">
        <v>45998</v>
      </c>
      <c r="C1345" t="s">
        <v>391</v>
      </c>
      <c r="D1345" t="s">
        <v>422</v>
      </c>
      <c r="E1345">
        <v>398</v>
      </c>
      <c r="F1345">
        <v>7</v>
      </c>
      <c r="G1345">
        <v>2869</v>
      </c>
      <c r="H1345" t="str">
        <f>TEXT(TbDespesas[[#This Row],[data_transacao]], "aaaa-mm")</f>
        <v>2025-12</v>
      </c>
    </row>
    <row r="1346" spans="1:8">
      <c r="A1346">
        <v>1345</v>
      </c>
      <c r="B1346" s="1">
        <v>45998</v>
      </c>
      <c r="C1346" t="s">
        <v>391</v>
      </c>
      <c r="D1346" t="s">
        <v>183</v>
      </c>
      <c r="E1346">
        <v>12</v>
      </c>
      <c r="F1346">
        <v>58</v>
      </c>
      <c r="G1346">
        <v>701</v>
      </c>
      <c r="H1346" t="str">
        <f>TEXT(TbDespesas[[#This Row],[data_transacao]], "aaaa-mm")</f>
        <v>2025-12</v>
      </c>
    </row>
    <row r="1347" spans="1:8">
      <c r="A1347">
        <v>1346</v>
      </c>
      <c r="B1347" s="1">
        <v>45998</v>
      </c>
      <c r="C1347" t="s">
        <v>391</v>
      </c>
      <c r="D1347" t="s">
        <v>653</v>
      </c>
      <c r="E1347">
        <v>358</v>
      </c>
      <c r="F1347">
        <v>12</v>
      </c>
      <c r="G1347">
        <v>4335</v>
      </c>
      <c r="H1347" t="str">
        <f>TEXT(TbDespesas[[#This Row],[data_transacao]], "aaaa-mm")</f>
        <v>2025-12</v>
      </c>
    </row>
    <row r="1348" spans="1:8">
      <c r="A1348">
        <v>1347</v>
      </c>
      <c r="B1348" s="1">
        <v>45998</v>
      </c>
      <c r="C1348" t="s">
        <v>391</v>
      </c>
      <c r="D1348" t="s">
        <v>546</v>
      </c>
      <c r="E1348">
        <v>188</v>
      </c>
      <c r="F1348">
        <v>6</v>
      </c>
      <c r="G1348">
        <v>1296</v>
      </c>
      <c r="H1348" t="str">
        <f>TEXT(TbDespesas[[#This Row],[data_transacao]], "aaaa-mm")</f>
        <v>2025-12</v>
      </c>
    </row>
    <row r="1349" spans="1:8">
      <c r="A1349">
        <v>1348</v>
      </c>
      <c r="B1349" s="1">
        <v>45998</v>
      </c>
      <c r="C1349" t="s">
        <v>391</v>
      </c>
      <c r="D1349" t="s">
        <v>382</v>
      </c>
      <c r="E1349">
        <v>92</v>
      </c>
      <c r="F1349">
        <v>38</v>
      </c>
      <c r="G1349">
        <v>3522</v>
      </c>
      <c r="H1349" t="str">
        <f>TEXT(TbDespesas[[#This Row],[data_transacao]], "aaaa-mm")</f>
        <v>2025-12</v>
      </c>
    </row>
    <row r="1350" spans="1:8">
      <c r="A1350">
        <v>1349</v>
      </c>
      <c r="B1350" s="1">
        <v>45998</v>
      </c>
      <c r="C1350" t="s">
        <v>391</v>
      </c>
      <c r="D1350" t="s">
        <v>511</v>
      </c>
      <c r="E1350">
        <v>393</v>
      </c>
      <c r="F1350">
        <v>7</v>
      </c>
      <c r="G1350">
        <v>3122</v>
      </c>
      <c r="H1350" t="str">
        <f>TEXT(TbDespesas[[#This Row],[data_transacao]], "aaaa-mm")</f>
        <v>2025-12</v>
      </c>
    </row>
    <row r="1351" spans="1:8">
      <c r="A1351">
        <v>1350</v>
      </c>
      <c r="B1351" s="1">
        <v>46093</v>
      </c>
      <c r="C1351" t="s">
        <v>532</v>
      </c>
      <c r="D1351" t="s">
        <v>14</v>
      </c>
      <c r="E1351">
        <v>191</v>
      </c>
      <c r="F1351">
        <v>8</v>
      </c>
      <c r="G1351">
        <v>1694</v>
      </c>
      <c r="H1351" t="str">
        <f>TEXT(TbDespesas[[#This Row],[data_transacao]], "aaaa-mm")</f>
        <v>2026-03</v>
      </c>
    </row>
    <row r="1352" spans="1:8">
      <c r="A1352">
        <v>1351</v>
      </c>
      <c r="B1352" s="1">
        <v>46093</v>
      </c>
      <c r="C1352" t="s">
        <v>532</v>
      </c>
      <c r="D1352" t="s">
        <v>178</v>
      </c>
      <c r="E1352">
        <v>451</v>
      </c>
      <c r="F1352">
        <v>5</v>
      </c>
      <c r="G1352">
        <v>2641</v>
      </c>
      <c r="H1352" t="str">
        <f>TEXT(TbDespesas[[#This Row],[data_transacao]], "aaaa-mm")</f>
        <v>2026-03</v>
      </c>
    </row>
    <row r="1353" spans="1:8">
      <c r="A1353">
        <v>1352</v>
      </c>
      <c r="B1353" s="1">
        <v>46093</v>
      </c>
      <c r="C1353" t="s">
        <v>532</v>
      </c>
      <c r="D1353" t="s">
        <v>128</v>
      </c>
      <c r="E1353">
        <v>287</v>
      </c>
      <c r="F1353">
        <v>11</v>
      </c>
      <c r="G1353">
        <v>3419</v>
      </c>
      <c r="H1353" t="str">
        <f>TEXT(TbDespesas[[#This Row],[data_transacao]], "aaaa-mm")</f>
        <v>2026-03</v>
      </c>
    </row>
    <row r="1354" spans="1:8">
      <c r="A1354">
        <v>1353</v>
      </c>
      <c r="B1354" s="1">
        <v>46093</v>
      </c>
      <c r="C1354" t="s">
        <v>532</v>
      </c>
      <c r="D1354" t="s">
        <v>457</v>
      </c>
      <c r="E1354">
        <v>146</v>
      </c>
      <c r="F1354">
        <v>15</v>
      </c>
      <c r="G1354">
        <v>2202</v>
      </c>
      <c r="H1354" t="str">
        <f>TEXT(TbDespesas[[#This Row],[data_transacao]], "aaaa-mm")</f>
        <v>2026-03</v>
      </c>
    </row>
    <row r="1355" spans="1:8">
      <c r="A1355">
        <v>1354</v>
      </c>
      <c r="B1355" s="1">
        <v>46093</v>
      </c>
      <c r="C1355" t="s">
        <v>532</v>
      </c>
      <c r="D1355" t="s">
        <v>240</v>
      </c>
      <c r="E1355">
        <v>32</v>
      </c>
      <c r="F1355">
        <v>12</v>
      </c>
      <c r="G1355">
        <v>397</v>
      </c>
      <c r="H1355" t="str">
        <f>TEXT(TbDespesas[[#This Row],[data_transacao]], "aaaa-mm")</f>
        <v>2026-03</v>
      </c>
    </row>
    <row r="1356" spans="1:8">
      <c r="A1356">
        <v>1355</v>
      </c>
      <c r="B1356" s="1">
        <v>46093</v>
      </c>
      <c r="C1356" t="s">
        <v>532</v>
      </c>
      <c r="D1356" t="s">
        <v>122</v>
      </c>
      <c r="E1356">
        <v>247</v>
      </c>
      <c r="F1356">
        <v>8</v>
      </c>
      <c r="G1356">
        <v>2135</v>
      </c>
      <c r="H1356" t="str">
        <f>TEXT(TbDespesas[[#This Row],[data_transacao]], "aaaa-mm")</f>
        <v>2026-03</v>
      </c>
    </row>
    <row r="1357" spans="1:8">
      <c r="A1357">
        <v>1356</v>
      </c>
      <c r="B1357" s="1">
        <v>46093</v>
      </c>
      <c r="C1357" t="s">
        <v>532</v>
      </c>
      <c r="D1357" t="s">
        <v>8</v>
      </c>
      <c r="E1357">
        <v>188</v>
      </c>
      <c r="F1357">
        <v>10</v>
      </c>
      <c r="G1357">
        <v>1994</v>
      </c>
      <c r="H1357" t="str">
        <f>TEXT(TbDespesas[[#This Row],[data_transacao]], "aaaa-mm")</f>
        <v>2026-03</v>
      </c>
    </row>
    <row r="1358" spans="1:8">
      <c r="A1358">
        <v>1357</v>
      </c>
      <c r="B1358" s="1">
        <v>46093</v>
      </c>
      <c r="C1358" t="s">
        <v>532</v>
      </c>
      <c r="D1358" t="s">
        <v>654</v>
      </c>
      <c r="E1358">
        <v>20</v>
      </c>
      <c r="F1358">
        <v>97</v>
      </c>
      <c r="G1358">
        <v>1949</v>
      </c>
      <c r="H1358" t="str">
        <f>TEXT(TbDespesas[[#This Row],[data_transacao]], "aaaa-mm")</f>
        <v>2026-03</v>
      </c>
    </row>
    <row r="1359" spans="1:8">
      <c r="A1359">
        <v>1358</v>
      </c>
      <c r="B1359" s="1">
        <v>46093</v>
      </c>
      <c r="C1359" t="s">
        <v>532</v>
      </c>
      <c r="D1359" t="s">
        <v>349</v>
      </c>
      <c r="E1359">
        <v>367</v>
      </c>
      <c r="F1359">
        <v>6</v>
      </c>
      <c r="G1359">
        <v>2205</v>
      </c>
      <c r="H1359" t="str">
        <f>TEXT(TbDespesas[[#This Row],[data_transacao]], "aaaa-mm")</f>
        <v>2026-03</v>
      </c>
    </row>
    <row r="1360" spans="1:8">
      <c r="A1360">
        <v>1359</v>
      </c>
      <c r="B1360" s="1">
        <v>46067</v>
      </c>
      <c r="C1360" t="s">
        <v>655</v>
      </c>
      <c r="D1360" t="s">
        <v>541</v>
      </c>
      <c r="E1360">
        <v>210</v>
      </c>
      <c r="F1360">
        <v>11</v>
      </c>
      <c r="G1360">
        <v>2390</v>
      </c>
      <c r="H1360" t="str">
        <f>TEXT(TbDespesas[[#This Row],[data_transacao]], "aaaa-mm")</f>
        <v>2026-02</v>
      </c>
    </row>
    <row r="1361" spans="1:8">
      <c r="A1361">
        <v>1360</v>
      </c>
      <c r="B1361" s="1">
        <v>46067</v>
      </c>
      <c r="C1361" t="s">
        <v>655</v>
      </c>
      <c r="D1361" t="s">
        <v>366</v>
      </c>
      <c r="E1361">
        <v>85</v>
      </c>
      <c r="F1361">
        <v>12</v>
      </c>
      <c r="G1361">
        <v>1084</v>
      </c>
      <c r="H1361" t="str">
        <f>TEXT(TbDespesas[[#This Row],[data_transacao]], "aaaa-mm")</f>
        <v>2026-02</v>
      </c>
    </row>
    <row r="1362" spans="1:8">
      <c r="A1362">
        <v>1361</v>
      </c>
      <c r="B1362" s="1">
        <v>46067</v>
      </c>
      <c r="C1362" t="s">
        <v>655</v>
      </c>
      <c r="D1362" t="s">
        <v>656</v>
      </c>
      <c r="E1362">
        <v>43</v>
      </c>
      <c r="F1362">
        <v>20</v>
      </c>
      <c r="G1362">
        <v>895</v>
      </c>
      <c r="H1362" t="str">
        <f>TEXT(TbDespesas[[#This Row],[data_transacao]], "aaaa-mm")</f>
        <v>2026-02</v>
      </c>
    </row>
    <row r="1363" spans="1:8">
      <c r="A1363">
        <v>1362</v>
      </c>
      <c r="B1363" s="1">
        <v>46067</v>
      </c>
      <c r="C1363" t="s">
        <v>655</v>
      </c>
      <c r="D1363" t="s">
        <v>25</v>
      </c>
      <c r="E1363">
        <v>341</v>
      </c>
      <c r="F1363">
        <v>6</v>
      </c>
      <c r="G1363">
        <v>2298</v>
      </c>
      <c r="H1363" t="str">
        <f>TEXT(TbDespesas[[#This Row],[data_transacao]], "aaaa-mm")</f>
        <v>2026-02</v>
      </c>
    </row>
    <row r="1364" spans="1:8">
      <c r="A1364">
        <v>1363</v>
      </c>
      <c r="B1364" s="1">
        <v>46067</v>
      </c>
      <c r="C1364" t="s">
        <v>655</v>
      </c>
      <c r="D1364" t="s">
        <v>500</v>
      </c>
      <c r="E1364">
        <v>187</v>
      </c>
      <c r="F1364">
        <v>12</v>
      </c>
      <c r="G1364">
        <v>2358</v>
      </c>
      <c r="H1364" t="str">
        <f>TEXT(TbDespesas[[#This Row],[data_transacao]], "aaaa-mm")</f>
        <v>2026-02</v>
      </c>
    </row>
    <row r="1365" spans="1:8">
      <c r="A1365">
        <v>1364</v>
      </c>
      <c r="B1365" s="1">
        <v>46067</v>
      </c>
      <c r="C1365" t="s">
        <v>655</v>
      </c>
      <c r="D1365" t="s">
        <v>642</v>
      </c>
      <c r="E1365">
        <v>332</v>
      </c>
      <c r="F1365">
        <v>6</v>
      </c>
      <c r="G1365">
        <v>2307</v>
      </c>
      <c r="H1365" t="str">
        <f>TEXT(TbDespesas[[#This Row],[data_transacao]], "aaaa-mm")</f>
        <v>2026-02</v>
      </c>
    </row>
    <row r="1366" spans="1:8">
      <c r="A1366">
        <v>1365</v>
      </c>
      <c r="B1366" s="1">
        <v>46067</v>
      </c>
      <c r="C1366" t="s">
        <v>655</v>
      </c>
      <c r="D1366" t="s">
        <v>558</v>
      </c>
      <c r="E1366">
        <v>77</v>
      </c>
      <c r="F1366">
        <v>39</v>
      </c>
      <c r="G1366">
        <v>3057</v>
      </c>
      <c r="H1366" t="str">
        <f>TEXT(TbDespesas[[#This Row],[data_transacao]], "aaaa-mm")</f>
        <v>2026-02</v>
      </c>
    </row>
    <row r="1367" spans="1:8">
      <c r="A1367">
        <v>1366</v>
      </c>
      <c r="B1367" s="1">
        <v>46067</v>
      </c>
      <c r="C1367" t="s">
        <v>655</v>
      </c>
      <c r="D1367" t="s">
        <v>546</v>
      </c>
      <c r="E1367">
        <v>398</v>
      </c>
      <c r="F1367">
        <v>7</v>
      </c>
      <c r="G1367">
        <v>3118</v>
      </c>
      <c r="H1367" t="str">
        <f>TEXT(TbDespesas[[#This Row],[data_transacao]], "aaaa-mm")</f>
        <v>2026-02</v>
      </c>
    </row>
    <row r="1368" spans="1:8">
      <c r="A1368">
        <v>1367</v>
      </c>
      <c r="B1368" s="1">
        <v>46125</v>
      </c>
      <c r="C1368" t="s">
        <v>657</v>
      </c>
      <c r="D1368" t="s">
        <v>187</v>
      </c>
      <c r="E1368">
        <v>82</v>
      </c>
      <c r="F1368">
        <v>5</v>
      </c>
      <c r="G1368">
        <v>417</v>
      </c>
      <c r="H1368" t="str">
        <f>TEXT(TbDespesas[[#This Row],[data_transacao]], "aaaa-mm")</f>
        <v>2026-04</v>
      </c>
    </row>
    <row r="1369" spans="1:8">
      <c r="A1369">
        <v>1368</v>
      </c>
      <c r="B1369" s="1">
        <v>46125</v>
      </c>
      <c r="C1369" t="s">
        <v>657</v>
      </c>
      <c r="D1369" t="s">
        <v>138</v>
      </c>
      <c r="E1369">
        <v>466</v>
      </c>
      <c r="F1369">
        <v>2</v>
      </c>
      <c r="G1369">
        <v>1093</v>
      </c>
      <c r="H1369" t="str">
        <f>TEXT(TbDespesas[[#This Row],[data_transacao]], "aaaa-mm")</f>
        <v>2026-04</v>
      </c>
    </row>
    <row r="1370" spans="1:8">
      <c r="A1370">
        <v>1369</v>
      </c>
      <c r="B1370" s="1">
        <v>46125</v>
      </c>
      <c r="C1370" t="s">
        <v>657</v>
      </c>
      <c r="D1370" t="s">
        <v>64</v>
      </c>
      <c r="E1370">
        <v>193</v>
      </c>
      <c r="F1370">
        <v>13</v>
      </c>
      <c r="G1370">
        <v>2610</v>
      </c>
      <c r="H1370" t="str">
        <f>TEXT(TbDespesas[[#This Row],[data_transacao]], "aaaa-mm")</f>
        <v>2026-04</v>
      </c>
    </row>
    <row r="1371" spans="1:8">
      <c r="A1371">
        <v>1370</v>
      </c>
      <c r="B1371" s="1">
        <v>46125</v>
      </c>
      <c r="C1371" t="s">
        <v>657</v>
      </c>
      <c r="D1371" t="s">
        <v>337</v>
      </c>
      <c r="E1371">
        <v>232</v>
      </c>
      <c r="F1371">
        <v>6</v>
      </c>
      <c r="G1371">
        <v>1503</v>
      </c>
      <c r="H1371" t="str">
        <f>TEXT(TbDespesas[[#This Row],[data_transacao]], "aaaa-mm")</f>
        <v>2026-04</v>
      </c>
    </row>
    <row r="1372" spans="1:8">
      <c r="A1372">
        <v>1371</v>
      </c>
      <c r="B1372" s="1">
        <v>46125</v>
      </c>
      <c r="C1372" t="s">
        <v>657</v>
      </c>
      <c r="D1372" t="s">
        <v>357</v>
      </c>
      <c r="E1372">
        <v>35</v>
      </c>
      <c r="F1372">
        <v>41</v>
      </c>
      <c r="G1372">
        <v>1453</v>
      </c>
      <c r="H1372" t="str">
        <f>TEXT(TbDespesas[[#This Row],[data_transacao]], "aaaa-mm")</f>
        <v>2026-04</v>
      </c>
    </row>
    <row r="1373" spans="1:8">
      <c r="A1373">
        <v>1372</v>
      </c>
      <c r="B1373" s="1">
        <v>46125</v>
      </c>
      <c r="C1373" t="s">
        <v>657</v>
      </c>
      <c r="D1373" t="s">
        <v>515</v>
      </c>
      <c r="E1373">
        <v>346</v>
      </c>
      <c r="F1373">
        <v>7</v>
      </c>
      <c r="G1373">
        <v>2594</v>
      </c>
      <c r="H1373" t="str">
        <f>TEXT(TbDespesas[[#This Row],[data_transacao]], "aaaa-mm")</f>
        <v>2026-04</v>
      </c>
    </row>
    <row r="1374" spans="1:8">
      <c r="A1374">
        <v>1373</v>
      </c>
      <c r="B1374" s="1">
        <v>46125</v>
      </c>
      <c r="C1374" t="s">
        <v>657</v>
      </c>
      <c r="D1374" t="s">
        <v>296</v>
      </c>
      <c r="E1374">
        <v>224</v>
      </c>
      <c r="F1374">
        <v>12</v>
      </c>
      <c r="G1374">
        <v>2729</v>
      </c>
      <c r="H1374" t="str">
        <f>TEXT(TbDespesas[[#This Row],[data_transacao]], "aaaa-mm")</f>
        <v>2026-04</v>
      </c>
    </row>
    <row r="1375" spans="1:8">
      <c r="A1375">
        <v>1374</v>
      </c>
      <c r="B1375" s="1">
        <v>46125</v>
      </c>
      <c r="C1375" t="s">
        <v>657</v>
      </c>
      <c r="D1375" t="s">
        <v>658</v>
      </c>
      <c r="E1375">
        <v>375</v>
      </c>
      <c r="F1375">
        <v>5</v>
      </c>
      <c r="G1375">
        <v>2025</v>
      </c>
      <c r="H1375" t="str">
        <f>TEXT(TbDespesas[[#This Row],[data_transacao]], "aaaa-mm")</f>
        <v>2026-04</v>
      </c>
    </row>
    <row r="1376" spans="1:8">
      <c r="A1376">
        <v>1375</v>
      </c>
      <c r="B1376" s="1">
        <v>46125</v>
      </c>
      <c r="C1376" t="s">
        <v>657</v>
      </c>
      <c r="D1376" t="s">
        <v>397</v>
      </c>
      <c r="E1376">
        <v>484</v>
      </c>
      <c r="F1376">
        <v>7</v>
      </c>
      <c r="G1376">
        <v>3838</v>
      </c>
      <c r="H1376" t="str">
        <f>TEXT(TbDespesas[[#This Row],[data_transacao]], "aaaa-mm")</f>
        <v>2026-04</v>
      </c>
    </row>
    <row r="1377" spans="1:8">
      <c r="A1377">
        <v>1376</v>
      </c>
      <c r="B1377" s="1">
        <v>45990</v>
      </c>
      <c r="C1377" t="s">
        <v>659</v>
      </c>
      <c r="D1377" t="s">
        <v>660</v>
      </c>
      <c r="E1377">
        <v>338</v>
      </c>
      <c r="F1377">
        <v>5</v>
      </c>
      <c r="G1377">
        <v>1783</v>
      </c>
      <c r="H1377" t="str">
        <f>TEXT(TbDespesas[[#This Row],[data_transacao]], "aaaa-mm")</f>
        <v>2025-11</v>
      </c>
    </row>
    <row r="1378" spans="1:8">
      <c r="A1378">
        <v>1377</v>
      </c>
      <c r="B1378" s="1">
        <v>45990</v>
      </c>
      <c r="C1378" t="s">
        <v>659</v>
      </c>
      <c r="D1378" t="s">
        <v>209</v>
      </c>
      <c r="E1378">
        <v>464</v>
      </c>
      <c r="F1378">
        <v>2</v>
      </c>
      <c r="G1378">
        <v>1312</v>
      </c>
      <c r="H1378" t="str">
        <f>TEXT(TbDespesas[[#This Row],[data_transacao]], "aaaa-mm")</f>
        <v>2025-11</v>
      </c>
    </row>
    <row r="1379" spans="1:8">
      <c r="A1379">
        <v>1378</v>
      </c>
      <c r="B1379" s="1">
        <v>45990</v>
      </c>
      <c r="C1379" t="s">
        <v>659</v>
      </c>
      <c r="D1379" t="s">
        <v>324</v>
      </c>
      <c r="E1379">
        <v>336</v>
      </c>
      <c r="F1379">
        <v>7</v>
      </c>
      <c r="G1379">
        <v>2547</v>
      </c>
      <c r="H1379" t="str">
        <f>TEXT(TbDespesas[[#This Row],[data_transacao]], "aaaa-mm")</f>
        <v>2025-11</v>
      </c>
    </row>
    <row r="1380" spans="1:8">
      <c r="A1380">
        <v>1379</v>
      </c>
      <c r="B1380" s="1">
        <v>45990</v>
      </c>
      <c r="C1380" t="s">
        <v>659</v>
      </c>
      <c r="D1380" t="s">
        <v>36</v>
      </c>
      <c r="E1380">
        <v>249</v>
      </c>
      <c r="F1380">
        <v>9</v>
      </c>
      <c r="G1380">
        <v>2426</v>
      </c>
      <c r="H1380" t="str">
        <f>TEXT(TbDespesas[[#This Row],[data_transacao]], "aaaa-mm")</f>
        <v>2025-11</v>
      </c>
    </row>
    <row r="1381" spans="1:8">
      <c r="A1381">
        <v>1380</v>
      </c>
      <c r="B1381" s="1">
        <v>45990</v>
      </c>
      <c r="C1381" t="s">
        <v>659</v>
      </c>
      <c r="D1381" t="s">
        <v>269</v>
      </c>
      <c r="E1381">
        <v>147</v>
      </c>
      <c r="F1381">
        <v>14</v>
      </c>
      <c r="G1381">
        <v>2191</v>
      </c>
      <c r="H1381" t="str">
        <f>TEXT(TbDespesas[[#This Row],[data_transacao]], "aaaa-mm")</f>
        <v>2025-11</v>
      </c>
    </row>
    <row r="1382" spans="1:8">
      <c r="A1382">
        <v>1381</v>
      </c>
      <c r="B1382" s="1">
        <v>45990</v>
      </c>
      <c r="C1382" t="s">
        <v>659</v>
      </c>
      <c r="D1382" t="s">
        <v>42</v>
      </c>
      <c r="E1382">
        <v>447</v>
      </c>
      <c r="F1382">
        <v>0</v>
      </c>
      <c r="G1382">
        <v>0</v>
      </c>
      <c r="H1382" t="str">
        <f>TEXT(TbDespesas[[#This Row],[data_transacao]], "aaaa-mm")</f>
        <v>2025-11</v>
      </c>
    </row>
    <row r="1383" spans="1:8">
      <c r="A1383">
        <v>1382</v>
      </c>
      <c r="B1383" s="1">
        <v>45990</v>
      </c>
      <c r="C1383" t="s">
        <v>659</v>
      </c>
      <c r="D1383" t="s">
        <v>523</v>
      </c>
      <c r="E1383">
        <v>52</v>
      </c>
      <c r="F1383">
        <v>51</v>
      </c>
      <c r="G1383">
        <v>2654</v>
      </c>
      <c r="H1383" t="str">
        <f>TEXT(TbDespesas[[#This Row],[data_transacao]], "aaaa-mm")</f>
        <v>2025-11</v>
      </c>
    </row>
    <row r="1384" spans="1:8">
      <c r="A1384">
        <v>1383</v>
      </c>
      <c r="B1384" s="1">
        <v>45990</v>
      </c>
      <c r="C1384" t="s">
        <v>659</v>
      </c>
      <c r="D1384" t="s">
        <v>248</v>
      </c>
      <c r="E1384">
        <v>142</v>
      </c>
      <c r="F1384">
        <v>10</v>
      </c>
      <c r="G1384">
        <v>1481</v>
      </c>
      <c r="H1384" t="str">
        <f>TEXT(TbDespesas[[#This Row],[data_transacao]], "aaaa-mm")</f>
        <v>2025-11</v>
      </c>
    </row>
    <row r="1385" spans="1:8">
      <c r="A1385">
        <v>1384</v>
      </c>
      <c r="B1385" s="1">
        <v>45990</v>
      </c>
      <c r="C1385" t="s">
        <v>659</v>
      </c>
      <c r="D1385" t="s">
        <v>276</v>
      </c>
      <c r="E1385">
        <v>180</v>
      </c>
      <c r="F1385">
        <v>10</v>
      </c>
      <c r="G1385">
        <v>1938</v>
      </c>
      <c r="H1385" t="str">
        <f>TEXT(TbDespesas[[#This Row],[data_transacao]], "aaaa-mm")</f>
        <v>2025-11</v>
      </c>
    </row>
    <row r="1386" spans="1:8">
      <c r="A1386">
        <v>1385</v>
      </c>
      <c r="B1386" s="1">
        <v>45990</v>
      </c>
      <c r="C1386" t="s">
        <v>659</v>
      </c>
      <c r="D1386" t="s">
        <v>272</v>
      </c>
      <c r="E1386">
        <v>277</v>
      </c>
      <c r="F1386">
        <v>13</v>
      </c>
      <c r="G1386">
        <v>3676</v>
      </c>
      <c r="H1386" t="str">
        <f>TEXT(TbDespesas[[#This Row],[data_transacao]], "aaaa-mm")</f>
        <v>2025-11</v>
      </c>
    </row>
    <row r="1387" spans="1:8">
      <c r="A1387">
        <v>1386</v>
      </c>
      <c r="B1387" s="1">
        <v>45990</v>
      </c>
      <c r="C1387" t="s">
        <v>659</v>
      </c>
      <c r="D1387" t="s">
        <v>440</v>
      </c>
      <c r="E1387">
        <v>455</v>
      </c>
      <c r="F1387">
        <v>4</v>
      </c>
      <c r="G1387">
        <v>1833</v>
      </c>
      <c r="H1387" t="str">
        <f>TEXT(TbDespesas[[#This Row],[data_transacao]], "aaaa-mm")</f>
        <v>2025-11</v>
      </c>
    </row>
    <row r="1388" spans="1:8">
      <c r="A1388">
        <v>1387</v>
      </c>
      <c r="B1388" s="1">
        <v>46155</v>
      </c>
      <c r="C1388" t="s">
        <v>437</v>
      </c>
      <c r="D1388" t="s">
        <v>444</v>
      </c>
      <c r="E1388">
        <v>378</v>
      </c>
      <c r="F1388">
        <v>5</v>
      </c>
      <c r="G1388">
        <v>1936</v>
      </c>
      <c r="H1388" t="str">
        <f>TEXT(TbDespesas[[#This Row],[data_transacao]], "aaaa-mm")</f>
        <v>2026-05</v>
      </c>
    </row>
    <row r="1389" spans="1:8">
      <c r="A1389">
        <v>1388</v>
      </c>
      <c r="B1389" s="1">
        <v>46155</v>
      </c>
      <c r="C1389" t="s">
        <v>437</v>
      </c>
      <c r="D1389" t="s">
        <v>414</v>
      </c>
      <c r="E1389">
        <v>368</v>
      </c>
      <c r="F1389">
        <v>6</v>
      </c>
      <c r="G1389">
        <v>2449</v>
      </c>
      <c r="H1389" t="str">
        <f>TEXT(TbDespesas[[#This Row],[data_transacao]], "aaaa-mm")</f>
        <v>2026-05</v>
      </c>
    </row>
    <row r="1390" spans="1:8">
      <c r="A1390">
        <v>1389</v>
      </c>
      <c r="B1390" s="1">
        <v>46155</v>
      </c>
      <c r="C1390" t="s">
        <v>437</v>
      </c>
      <c r="D1390" t="s">
        <v>240</v>
      </c>
      <c r="E1390">
        <v>366</v>
      </c>
      <c r="F1390">
        <v>7</v>
      </c>
      <c r="G1390">
        <v>2874</v>
      </c>
      <c r="H1390" t="str">
        <f>TEXT(TbDespesas[[#This Row],[data_transacao]], "aaaa-mm")</f>
        <v>2026-05</v>
      </c>
    </row>
    <row r="1391" spans="1:8">
      <c r="A1391">
        <v>1390</v>
      </c>
      <c r="B1391" s="1">
        <v>46155</v>
      </c>
      <c r="C1391" t="s">
        <v>437</v>
      </c>
      <c r="D1391" t="s">
        <v>270</v>
      </c>
      <c r="E1391">
        <v>134</v>
      </c>
      <c r="F1391">
        <v>24</v>
      </c>
      <c r="G1391">
        <v>3292</v>
      </c>
      <c r="H1391" t="str">
        <f>TEXT(TbDespesas[[#This Row],[data_transacao]], "aaaa-mm")</f>
        <v>2026-05</v>
      </c>
    </row>
    <row r="1392" spans="1:8">
      <c r="A1392">
        <v>1391</v>
      </c>
      <c r="B1392" s="1">
        <v>46155</v>
      </c>
      <c r="C1392" t="s">
        <v>437</v>
      </c>
      <c r="D1392" t="s">
        <v>193</v>
      </c>
      <c r="E1392">
        <v>394</v>
      </c>
      <c r="F1392">
        <v>7</v>
      </c>
      <c r="G1392">
        <v>3099</v>
      </c>
      <c r="H1392" t="str">
        <f>TEXT(TbDespesas[[#This Row],[data_transacao]], "aaaa-mm")</f>
        <v>2026-05</v>
      </c>
    </row>
    <row r="1393" spans="1:8">
      <c r="A1393">
        <v>1392</v>
      </c>
      <c r="B1393" s="1">
        <v>46155</v>
      </c>
      <c r="C1393" t="s">
        <v>437</v>
      </c>
      <c r="D1393" t="s">
        <v>635</v>
      </c>
      <c r="E1393">
        <v>280</v>
      </c>
      <c r="F1393">
        <v>6</v>
      </c>
      <c r="G1393">
        <v>1709</v>
      </c>
      <c r="H1393" t="str">
        <f>TEXT(TbDespesas[[#This Row],[data_transacao]], "aaaa-mm")</f>
        <v>2026-05</v>
      </c>
    </row>
    <row r="1394" spans="1:8">
      <c r="A1394">
        <v>1393</v>
      </c>
      <c r="B1394" s="1">
        <v>46155</v>
      </c>
      <c r="C1394" t="s">
        <v>437</v>
      </c>
      <c r="D1394" t="s">
        <v>225</v>
      </c>
      <c r="E1394">
        <v>319</v>
      </c>
      <c r="F1394">
        <v>5</v>
      </c>
      <c r="G1394">
        <v>1709</v>
      </c>
      <c r="H1394" t="str">
        <f>TEXT(TbDespesas[[#This Row],[data_transacao]], "aaaa-mm")</f>
        <v>2026-05</v>
      </c>
    </row>
    <row r="1395" spans="1:8">
      <c r="A1395">
        <v>1394</v>
      </c>
      <c r="B1395" s="1">
        <v>46155</v>
      </c>
      <c r="C1395" t="s">
        <v>437</v>
      </c>
      <c r="D1395" t="s">
        <v>277</v>
      </c>
      <c r="E1395">
        <v>210</v>
      </c>
      <c r="F1395">
        <v>13</v>
      </c>
      <c r="G1395">
        <v>2884</v>
      </c>
      <c r="H1395" t="str">
        <f>TEXT(TbDespesas[[#This Row],[data_transacao]], "aaaa-mm")</f>
        <v>2026-05</v>
      </c>
    </row>
    <row r="1396" spans="1:8">
      <c r="A1396">
        <v>1395</v>
      </c>
      <c r="B1396" s="1">
        <v>46155</v>
      </c>
      <c r="C1396" t="s">
        <v>437</v>
      </c>
      <c r="D1396" t="s">
        <v>377</v>
      </c>
      <c r="E1396">
        <v>285</v>
      </c>
      <c r="F1396">
        <v>8</v>
      </c>
      <c r="G1396">
        <v>2368</v>
      </c>
      <c r="H1396" t="str">
        <f>TEXT(TbDespesas[[#This Row],[data_transacao]], "aaaa-mm")</f>
        <v>2026-05</v>
      </c>
    </row>
    <row r="1397" spans="1:8">
      <c r="A1397">
        <v>1396</v>
      </c>
      <c r="B1397" s="1">
        <v>46155</v>
      </c>
      <c r="C1397" t="s">
        <v>437</v>
      </c>
      <c r="D1397" t="s">
        <v>194</v>
      </c>
      <c r="E1397">
        <v>123</v>
      </c>
      <c r="F1397">
        <v>20</v>
      </c>
      <c r="G1397">
        <v>2470</v>
      </c>
      <c r="H1397" t="str">
        <f>TEXT(TbDespesas[[#This Row],[data_transacao]], "aaaa-mm")</f>
        <v>2026-05</v>
      </c>
    </row>
    <row r="1398" spans="1:8">
      <c r="A1398">
        <v>1397</v>
      </c>
      <c r="B1398" s="1">
        <v>46155</v>
      </c>
      <c r="C1398" t="s">
        <v>437</v>
      </c>
      <c r="D1398" t="s">
        <v>145</v>
      </c>
      <c r="E1398">
        <v>447</v>
      </c>
      <c r="F1398">
        <v>2</v>
      </c>
      <c r="G1398">
        <v>1022</v>
      </c>
      <c r="H1398" t="str">
        <f>TEXT(TbDespesas[[#This Row],[data_transacao]], "aaaa-mm")</f>
        <v>2026-05</v>
      </c>
    </row>
    <row r="1399" spans="1:8">
      <c r="A1399">
        <v>1398</v>
      </c>
      <c r="B1399" s="1">
        <v>46155</v>
      </c>
      <c r="C1399" t="s">
        <v>437</v>
      </c>
      <c r="D1399" t="s">
        <v>133</v>
      </c>
      <c r="E1399">
        <v>407</v>
      </c>
      <c r="F1399">
        <v>2</v>
      </c>
      <c r="G1399">
        <v>1038</v>
      </c>
      <c r="H1399" t="str">
        <f>TEXT(TbDespesas[[#This Row],[data_transacao]], "aaaa-mm")</f>
        <v>2026-05</v>
      </c>
    </row>
    <row r="1400" spans="1:8">
      <c r="A1400">
        <v>1399</v>
      </c>
      <c r="B1400" s="1">
        <v>46267</v>
      </c>
      <c r="C1400" t="s">
        <v>636</v>
      </c>
      <c r="D1400" t="s">
        <v>328</v>
      </c>
      <c r="E1400">
        <v>250</v>
      </c>
      <c r="F1400">
        <v>5</v>
      </c>
      <c r="G1400">
        <v>1427</v>
      </c>
      <c r="H1400" t="str">
        <f>TEXT(TbDespesas[[#This Row],[data_transacao]], "aaaa-mm")</f>
        <v>2026-09</v>
      </c>
    </row>
    <row r="1401" spans="1:8">
      <c r="A1401">
        <v>1400</v>
      </c>
      <c r="B1401" s="1">
        <v>46247</v>
      </c>
      <c r="C1401" t="s">
        <v>521</v>
      </c>
      <c r="D1401" t="s">
        <v>661</v>
      </c>
      <c r="E1401">
        <v>27</v>
      </c>
      <c r="F1401">
        <v>81</v>
      </c>
      <c r="G1401">
        <v>2209</v>
      </c>
      <c r="H1401" t="str">
        <f>TEXT(TbDespesas[[#This Row],[data_transacao]], "aaaa-mm")</f>
        <v>2026-08</v>
      </c>
    </row>
    <row r="1402" spans="1:8">
      <c r="A1402">
        <v>1401</v>
      </c>
      <c r="B1402" s="1">
        <v>46247</v>
      </c>
      <c r="C1402" t="s">
        <v>521</v>
      </c>
      <c r="D1402" t="s">
        <v>323</v>
      </c>
      <c r="E1402">
        <v>366</v>
      </c>
      <c r="F1402">
        <v>2</v>
      </c>
      <c r="G1402">
        <v>1083</v>
      </c>
      <c r="H1402" t="str">
        <f>TEXT(TbDespesas[[#This Row],[data_transacao]], "aaaa-mm")</f>
        <v>2026-08</v>
      </c>
    </row>
    <row r="1403" spans="1:8">
      <c r="A1403">
        <v>1402</v>
      </c>
      <c r="B1403" s="1">
        <v>46247</v>
      </c>
      <c r="C1403" t="s">
        <v>521</v>
      </c>
      <c r="D1403" t="s">
        <v>409</v>
      </c>
      <c r="E1403">
        <v>142</v>
      </c>
      <c r="F1403">
        <v>11</v>
      </c>
      <c r="G1403">
        <v>1612</v>
      </c>
      <c r="H1403" t="str">
        <f>TEXT(TbDespesas[[#This Row],[data_transacao]], "aaaa-mm")</f>
        <v>2026-08</v>
      </c>
    </row>
    <row r="1404" spans="1:8">
      <c r="A1404">
        <v>1403</v>
      </c>
      <c r="B1404" s="1">
        <v>46247</v>
      </c>
      <c r="C1404" t="s">
        <v>521</v>
      </c>
      <c r="D1404" t="s">
        <v>537</v>
      </c>
      <c r="E1404">
        <v>291</v>
      </c>
      <c r="F1404">
        <v>13</v>
      </c>
      <c r="G1404">
        <v>3888</v>
      </c>
      <c r="H1404" t="str">
        <f>TEXT(TbDespesas[[#This Row],[data_transacao]], "aaaa-mm")</f>
        <v>2026-08</v>
      </c>
    </row>
    <row r="1405" spans="1:8">
      <c r="A1405">
        <v>1404</v>
      </c>
      <c r="B1405" s="1">
        <v>46247</v>
      </c>
      <c r="C1405" t="s">
        <v>521</v>
      </c>
      <c r="D1405" t="s">
        <v>478</v>
      </c>
      <c r="E1405">
        <v>250</v>
      </c>
      <c r="F1405">
        <v>6</v>
      </c>
      <c r="G1405">
        <v>1681</v>
      </c>
      <c r="H1405" t="str">
        <f>TEXT(TbDespesas[[#This Row],[data_transacao]], "aaaa-mm")</f>
        <v>2026-08</v>
      </c>
    </row>
    <row r="1406" spans="1:8">
      <c r="A1406">
        <v>1405</v>
      </c>
      <c r="B1406" s="1">
        <v>46247</v>
      </c>
      <c r="C1406" t="s">
        <v>521</v>
      </c>
      <c r="D1406" t="s">
        <v>606</v>
      </c>
      <c r="E1406">
        <v>11</v>
      </c>
      <c r="F1406">
        <v>124</v>
      </c>
      <c r="G1406">
        <v>1374</v>
      </c>
      <c r="H1406" t="str">
        <f>TEXT(TbDespesas[[#This Row],[data_transacao]], "aaaa-mm")</f>
        <v>2026-08</v>
      </c>
    </row>
    <row r="1407" spans="1:8">
      <c r="A1407">
        <v>1406</v>
      </c>
      <c r="B1407" s="1">
        <v>46000</v>
      </c>
      <c r="C1407" t="s">
        <v>234</v>
      </c>
      <c r="D1407" t="s">
        <v>420</v>
      </c>
      <c r="E1407">
        <v>99</v>
      </c>
      <c r="F1407">
        <v>25</v>
      </c>
      <c r="G1407">
        <v>2516</v>
      </c>
      <c r="H1407" t="str">
        <f>TEXT(TbDespesas[[#This Row],[data_transacao]], "aaaa-mm")</f>
        <v>2025-12</v>
      </c>
    </row>
    <row r="1408" spans="1:8">
      <c r="A1408">
        <v>1407</v>
      </c>
      <c r="B1408" s="1">
        <v>46000</v>
      </c>
      <c r="C1408" t="s">
        <v>234</v>
      </c>
      <c r="D1408" t="s">
        <v>256</v>
      </c>
      <c r="E1408">
        <v>281</v>
      </c>
      <c r="F1408">
        <v>9</v>
      </c>
      <c r="G1408">
        <v>2668</v>
      </c>
      <c r="H1408" t="str">
        <f>TEXT(TbDespesas[[#This Row],[data_transacao]], "aaaa-mm")</f>
        <v>2025-12</v>
      </c>
    </row>
    <row r="1409" spans="1:8">
      <c r="A1409">
        <v>1408</v>
      </c>
      <c r="B1409" s="1">
        <v>46000</v>
      </c>
      <c r="C1409" t="s">
        <v>234</v>
      </c>
      <c r="D1409" t="s">
        <v>275</v>
      </c>
      <c r="E1409">
        <v>93</v>
      </c>
      <c r="F1409">
        <v>34</v>
      </c>
      <c r="G1409">
        <v>3216</v>
      </c>
      <c r="H1409" t="str">
        <f>TEXT(TbDespesas[[#This Row],[data_transacao]], "aaaa-mm")</f>
        <v>2025-12</v>
      </c>
    </row>
    <row r="1410" spans="1:8">
      <c r="A1410">
        <v>1409</v>
      </c>
      <c r="B1410" s="1">
        <v>46074</v>
      </c>
      <c r="C1410" t="s">
        <v>517</v>
      </c>
      <c r="D1410" t="s">
        <v>184</v>
      </c>
      <c r="E1410">
        <v>344</v>
      </c>
      <c r="F1410">
        <v>6</v>
      </c>
      <c r="G1410">
        <v>2221</v>
      </c>
      <c r="H1410" t="str">
        <f>TEXT(TbDespesas[[#This Row],[data_transacao]], "aaaa-mm")</f>
        <v>2026-02</v>
      </c>
    </row>
    <row r="1411" spans="1:8">
      <c r="A1411">
        <v>1410</v>
      </c>
      <c r="B1411" s="1">
        <v>46074</v>
      </c>
      <c r="C1411" t="s">
        <v>517</v>
      </c>
      <c r="D1411" t="s">
        <v>285</v>
      </c>
      <c r="E1411">
        <v>383</v>
      </c>
      <c r="F1411">
        <v>8</v>
      </c>
      <c r="G1411">
        <v>3091</v>
      </c>
      <c r="H1411" t="str">
        <f>TEXT(TbDespesas[[#This Row],[data_transacao]], "aaaa-mm")</f>
        <v>2026-02</v>
      </c>
    </row>
    <row r="1412" spans="1:8">
      <c r="A1412">
        <v>1411</v>
      </c>
      <c r="B1412" s="1">
        <v>46074</v>
      </c>
      <c r="C1412" t="s">
        <v>517</v>
      </c>
      <c r="D1412" t="s">
        <v>18</v>
      </c>
      <c r="E1412">
        <v>15</v>
      </c>
      <c r="F1412">
        <v>223</v>
      </c>
      <c r="G1412">
        <v>3347</v>
      </c>
      <c r="H1412" t="str">
        <f>TEXT(TbDespesas[[#This Row],[data_transacao]], "aaaa-mm")</f>
        <v>2026-02</v>
      </c>
    </row>
    <row r="1413" spans="1:8">
      <c r="A1413">
        <v>1412</v>
      </c>
      <c r="B1413" s="1">
        <v>46074</v>
      </c>
      <c r="C1413" t="s">
        <v>517</v>
      </c>
      <c r="D1413" t="s">
        <v>262</v>
      </c>
      <c r="E1413">
        <v>44</v>
      </c>
      <c r="F1413">
        <v>23</v>
      </c>
      <c r="G1413">
        <v>1047</v>
      </c>
      <c r="H1413" t="str">
        <f>TEXT(TbDespesas[[#This Row],[data_transacao]], "aaaa-mm")</f>
        <v>2026-02</v>
      </c>
    </row>
    <row r="1414" spans="1:8">
      <c r="A1414">
        <v>1413</v>
      </c>
      <c r="B1414" s="1">
        <v>46074</v>
      </c>
      <c r="C1414" t="s">
        <v>517</v>
      </c>
      <c r="D1414" t="s">
        <v>119</v>
      </c>
      <c r="E1414">
        <v>460</v>
      </c>
      <c r="F1414">
        <v>4</v>
      </c>
      <c r="G1414">
        <v>1952</v>
      </c>
      <c r="H1414" t="str">
        <f>TEXT(TbDespesas[[#This Row],[data_transacao]], "aaaa-mm")</f>
        <v>2026-02</v>
      </c>
    </row>
    <row r="1415" spans="1:8">
      <c r="A1415">
        <v>1414</v>
      </c>
      <c r="B1415" s="1">
        <v>46074</v>
      </c>
      <c r="C1415" t="s">
        <v>517</v>
      </c>
      <c r="D1415" t="s">
        <v>418</v>
      </c>
      <c r="E1415">
        <v>330</v>
      </c>
      <c r="F1415">
        <v>10</v>
      </c>
      <c r="G1415">
        <v>3404</v>
      </c>
      <c r="H1415" t="str">
        <f>TEXT(TbDespesas[[#This Row],[data_transacao]], "aaaa-mm")</f>
        <v>2026-02</v>
      </c>
    </row>
    <row r="1416" spans="1:8">
      <c r="A1416">
        <v>1415</v>
      </c>
      <c r="B1416" s="1">
        <v>46074</v>
      </c>
      <c r="C1416" t="s">
        <v>517</v>
      </c>
      <c r="D1416" t="s">
        <v>155</v>
      </c>
      <c r="E1416">
        <v>81</v>
      </c>
      <c r="F1416">
        <v>13</v>
      </c>
      <c r="G1416">
        <v>1054</v>
      </c>
      <c r="H1416" t="str">
        <f>TEXT(TbDespesas[[#This Row],[data_transacao]], "aaaa-mm")</f>
        <v>2026-02</v>
      </c>
    </row>
    <row r="1417" spans="1:8">
      <c r="A1417">
        <v>1416</v>
      </c>
      <c r="B1417" s="1">
        <v>46074</v>
      </c>
      <c r="C1417" t="s">
        <v>517</v>
      </c>
      <c r="D1417" t="s">
        <v>628</v>
      </c>
      <c r="E1417">
        <v>146</v>
      </c>
      <c r="F1417">
        <v>8</v>
      </c>
      <c r="G1417">
        <v>1295</v>
      </c>
      <c r="H1417" t="str">
        <f>TEXT(TbDespesas[[#This Row],[data_transacao]], "aaaa-mm")</f>
        <v>2026-02</v>
      </c>
    </row>
    <row r="1418" spans="1:8">
      <c r="A1418">
        <v>1417</v>
      </c>
      <c r="B1418" s="1">
        <v>46074</v>
      </c>
      <c r="C1418" t="s">
        <v>517</v>
      </c>
      <c r="D1418" t="s">
        <v>662</v>
      </c>
      <c r="E1418">
        <v>381</v>
      </c>
      <c r="F1418">
        <v>2</v>
      </c>
      <c r="G1418">
        <v>862</v>
      </c>
      <c r="H1418" t="str">
        <f>TEXT(TbDespesas[[#This Row],[data_transacao]], "aaaa-mm")</f>
        <v>2026-02</v>
      </c>
    </row>
    <row r="1419" spans="1:8">
      <c r="A1419">
        <v>1418</v>
      </c>
      <c r="B1419" s="1">
        <v>45932</v>
      </c>
      <c r="C1419" t="s">
        <v>663</v>
      </c>
      <c r="D1419" t="s">
        <v>497</v>
      </c>
      <c r="E1419">
        <v>283</v>
      </c>
      <c r="F1419">
        <v>5</v>
      </c>
      <c r="G1419">
        <v>1671</v>
      </c>
      <c r="H1419" t="str">
        <f>TEXT(TbDespesas[[#This Row],[data_transacao]], "aaaa-mm")</f>
        <v>2025-10</v>
      </c>
    </row>
    <row r="1420" spans="1:8">
      <c r="A1420">
        <v>1419</v>
      </c>
      <c r="B1420" s="1">
        <v>45932</v>
      </c>
      <c r="C1420" t="s">
        <v>663</v>
      </c>
      <c r="D1420" t="s">
        <v>390</v>
      </c>
      <c r="E1420">
        <v>457</v>
      </c>
      <c r="F1420">
        <v>5</v>
      </c>
      <c r="G1420">
        <v>2571</v>
      </c>
      <c r="H1420" t="str">
        <f>TEXT(TbDespesas[[#This Row],[data_transacao]], "aaaa-mm")</f>
        <v>2025-10</v>
      </c>
    </row>
    <row r="1421" spans="1:8">
      <c r="A1421">
        <v>1420</v>
      </c>
      <c r="B1421" s="1">
        <v>45932</v>
      </c>
      <c r="C1421" t="s">
        <v>663</v>
      </c>
      <c r="D1421" t="s">
        <v>583</v>
      </c>
      <c r="E1421">
        <v>42</v>
      </c>
      <c r="F1421">
        <v>39</v>
      </c>
      <c r="G1421">
        <v>1660</v>
      </c>
      <c r="H1421" t="str">
        <f>TEXT(TbDespesas[[#This Row],[data_transacao]], "aaaa-mm")</f>
        <v>2025-10</v>
      </c>
    </row>
    <row r="1422" spans="1:8">
      <c r="A1422">
        <v>1421</v>
      </c>
      <c r="B1422" s="1">
        <v>45932</v>
      </c>
      <c r="C1422" t="s">
        <v>663</v>
      </c>
      <c r="D1422" t="s">
        <v>412</v>
      </c>
      <c r="E1422">
        <v>439</v>
      </c>
      <c r="F1422">
        <v>5</v>
      </c>
      <c r="G1422">
        <v>2257</v>
      </c>
      <c r="H1422" t="str">
        <f>TEXT(TbDespesas[[#This Row],[data_transacao]], "aaaa-mm")</f>
        <v>2025-10</v>
      </c>
    </row>
    <row r="1423" spans="1:8">
      <c r="A1423">
        <v>1422</v>
      </c>
      <c r="B1423" s="1">
        <v>45932</v>
      </c>
      <c r="C1423" t="s">
        <v>663</v>
      </c>
      <c r="D1423" t="s">
        <v>664</v>
      </c>
      <c r="E1423">
        <v>310</v>
      </c>
      <c r="F1423">
        <v>7</v>
      </c>
      <c r="G1423">
        <v>2180</v>
      </c>
      <c r="H1423" t="str">
        <f>TEXT(TbDespesas[[#This Row],[data_transacao]], "aaaa-mm")</f>
        <v>2025-10</v>
      </c>
    </row>
    <row r="1424" spans="1:8">
      <c r="A1424">
        <v>1423</v>
      </c>
      <c r="B1424" s="1">
        <v>45932</v>
      </c>
      <c r="C1424" t="s">
        <v>663</v>
      </c>
      <c r="D1424" t="s">
        <v>50</v>
      </c>
      <c r="E1424">
        <v>165</v>
      </c>
      <c r="F1424">
        <v>7</v>
      </c>
      <c r="G1424">
        <v>1251</v>
      </c>
      <c r="H1424" t="str">
        <f>TEXT(TbDespesas[[#This Row],[data_transacao]], "aaaa-mm")</f>
        <v>2025-10</v>
      </c>
    </row>
    <row r="1425" spans="1:8">
      <c r="A1425">
        <v>1424</v>
      </c>
      <c r="B1425" s="1">
        <v>45932</v>
      </c>
      <c r="C1425" t="s">
        <v>663</v>
      </c>
      <c r="D1425" t="s">
        <v>541</v>
      </c>
      <c r="E1425">
        <v>221</v>
      </c>
      <c r="F1425">
        <v>7</v>
      </c>
      <c r="G1425">
        <v>1606</v>
      </c>
      <c r="H1425" t="str">
        <f>TEXT(TbDespesas[[#This Row],[data_transacao]], "aaaa-mm")</f>
        <v>2025-10</v>
      </c>
    </row>
    <row r="1426" spans="1:8">
      <c r="A1426">
        <v>1425</v>
      </c>
      <c r="B1426" s="1">
        <v>45932</v>
      </c>
      <c r="C1426" t="s">
        <v>663</v>
      </c>
      <c r="D1426" t="s">
        <v>331</v>
      </c>
      <c r="E1426">
        <v>398</v>
      </c>
      <c r="F1426">
        <v>0</v>
      </c>
      <c r="G1426">
        <v>152</v>
      </c>
      <c r="H1426" t="str">
        <f>TEXT(TbDespesas[[#This Row],[data_transacao]], "aaaa-mm")</f>
        <v>2025-10</v>
      </c>
    </row>
    <row r="1427" spans="1:8">
      <c r="A1427">
        <v>1426</v>
      </c>
      <c r="B1427" s="1">
        <v>45914</v>
      </c>
      <c r="C1427" t="s">
        <v>462</v>
      </c>
      <c r="D1427" t="s">
        <v>265</v>
      </c>
      <c r="E1427">
        <v>287</v>
      </c>
      <c r="F1427">
        <v>1</v>
      </c>
      <c r="G1427">
        <v>423</v>
      </c>
      <c r="H1427" t="str">
        <f>TEXT(TbDespesas[[#This Row],[data_transacao]], "aaaa-mm")</f>
        <v>2025-09</v>
      </c>
    </row>
    <row r="1428" spans="1:8">
      <c r="A1428">
        <v>1427</v>
      </c>
      <c r="B1428" s="1">
        <v>45914</v>
      </c>
      <c r="C1428" t="s">
        <v>462</v>
      </c>
      <c r="D1428" t="s">
        <v>622</v>
      </c>
      <c r="E1428">
        <v>179</v>
      </c>
      <c r="F1428">
        <v>6</v>
      </c>
      <c r="G1428">
        <v>1118</v>
      </c>
      <c r="H1428" t="str">
        <f>TEXT(TbDespesas[[#This Row],[data_transacao]], "aaaa-mm")</f>
        <v>2025-09</v>
      </c>
    </row>
    <row r="1429" spans="1:8">
      <c r="A1429">
        <v>1428</v>
      </c>
      <c r="B1429" s="1">
        <v>45914</v>
      </c>
      <c r="C1429" t="s">
        <v>462</v>
      </c>
      <c r="D1429" t="s">
        <v>665</v>
      </c>
      <c r="E1429">
        <v>163</v>
      </c>
      <c r="F1429">
        <v>8</v>
      </c>
      <c r="G1429">
        <v>1342</v>
      </c>
      <c r="H1429" t="str">
        <f>TEXT(TbDespesas[[#This Row],[data_transacao]], "aaaa-mm")</f>
        <v>2025-09</v>
      </c>
    </row>
    <row r="1430" spans="1:8">
      <c r="A1430">
        <v>1429</v>
      </c>
      <c r="B1430" s="1">
        <v>45914</v>
      </c>
      <c r="C1430" t="s">
        <v>462</v>
      </c>
      <c r="D1430" t="s">
        <v>666</v>
      </c>
      <c r="E1430">
        <v>436</v>
      </c>
      <c r="F1430">
        <v>4</v>
      </c>
      <c r="G1430">
        <v>1895</v>
      </c>
      <c r="H1430" t="str">
        <f>TEXT(TbDespesas[[#This Row],[data_transacao]], "aaaa-mm")</f>
        <v>2025-09</v>
      </c>
    </row>
    <row r="1431" spans="1:8">
      <c r="A1431">
        <v>1430</v>
      </c>
      <c r="B1431" s="1">
        <v>45914</v>
      </c>
      <c r="C1431" t="s">
        <v>462</v>
      </c>
      <c r="D1431" t="s">
        <v>189</v>
      </c>
      <c r="E1431">
        <v>284</v>
      </c>
      <c r="F1431">
        <v>7</v>
      </c>
      <c r="G1431">
        <v>2219</v>
      </c>
      <c r="H1431" t="str">
        <f>TEXT(TbDespesas[[#This Row],[data_transacao]], "aaaa-mm")</f>
        <v>2025-09</v>
      </c>
    </row>
    <row r="1432" spans="1:8">
      <c r="A1432">
        <v>1431</v>
      </c>
      <c r="B1432" s="1">
        <v>46120</v>
      </c>
      <c r="C1432" t="s">
        <v>455</v>
      </c>
      <c r="D1432" t="s">
        <v>500</v>
      </c>
      <c r="E1432">
        <v>476</v>
      </c>
      <c r="F1432">
        <v>4</v>
      </c>
      <c r="G1432">
        <v>1929</v>
      </c>
      <c r="H1432" t="str">
        <f>TEXT(TbDespesas[[#This Row],[data_transacao]], "aaaa-mm")</f>
        <v>2026-04</v>
      </c>
    </row>
    <row r="1433" spans="1:8">
      <c r="A1433">
        <v>1432</v>
      </c>
      <c r="B1433" s="1">
        <v>46120</v>
      </c>
      <c r="C1433" t="s">
        <v>455</v>
      </c>
      <c r="D1433" t="s">
        <v>667</v>
      </c>
      <c r="E1433">
        <v>465</v>
      </c>
      <c r="F1433">
        <v>7</v>
      </c>
      <c r="G1433">
        <v>3652</v>
      </c>
      <c r="H1433" t="str">
        <f>TEXT(TbDespesas[[#This Row],[data_transacao]], "aaaa-mm")</f>
        <v>2026-04</v>
      </c>
    </row>
    <row r="1434" spans="1:8">
      <c r="A1434">
        <v>1433</v>
      </c>
      <c r="B1434" s="1">
        <v>46120</v>
      </c>
      <c r="C1434" t="s">
        <v>455</v>
      </c>
      <c r="D1434" t="s">
        <v>668</v>
      </c>
      <c r="E1434">
        <v>319</v>
      </c>
      <c r="F1434">
        <v>8</v>
      </c>
      <c r="G1434">
        <v>2771</v>
      </c>
      <c r="H1434" t="str">
        <f>TEXT(TbDespesas[[#This Row],[data_transacao]], "aaaa-mm")</f>
        <v>2026-04</v>
      </c>
    </row>
    <row r="1435" spans="1:8">
      <c r="A1435">
        <v>1434</v>
      </c>
      <c r="B1435" s="1">
        <v>46120</v>
      </c>
      <c r="C1435" t="s">
        <v>455</v>
      </c>
      <c r="D1435" t="s">
        <v>57</v>
      </c>
      <c r="E1435">
        <v>457</v>
      </c>
      <c r="F1435">
        <v>5</v>
      </c>
      <c r="G1435">
        <v>2694</v>
      </c>
      <c r="H1435" t="str">
        <f>TEXT(TbDespesas[[#This Row],[data_transacao]], "aaaa-mm")</f>
        <v>2026-04</v>
      </c>
    </row>
    <row r="1436" spans="1:8">
      <c r="A1436">
        <v>1435</v>
      </c>
      <c r="B1436" s="1">
        <v>46233</v>
      </c>
      <c r="C1436" t="s">
        <v>93</v>
      </c>
      <c r="D1436" t="s">
        <v>26</v>
      </c>
      <c r="E1436">
        <v>437</v>
      </c>
      <c r="F1436">
        <v>5</v>
      </c>
      <c r="G1436">
        <v>2566</v>
      </c>
      <c r="H1436" t="str">
        <f>TEXT(TbDespesas[[#This Row],[data_transacao]], "aaaa-mm")</f>
        <v>2026-07</v>
      </c>
    </row>
    <row r="1437" spans="1:8">
      <c r="A1437">
        <v>1436</v>
      </c>
      <c r="B1437" s="1">
        <v>46233</v>
      </c>
      <c r="C1437" t="s">
        <v>93</v>
      </c>
      <c r="D1437" t="s">
        <v>322</v>
      </c>
      <c r="E1437">
        <v>465</v>
      </c>
      <c r="F1437">
        <v>2</v>
      </c>
      <c r="G1437">
        <v>993</v>
      </c>
      <c r="H1437" t="str">
        <f>TEXT(TbDespesas[[#This Row],[data_transacao]], "aaaa-mm")</f>
        <v>2026-07</v>
      </c>
    </row>
    <row r="1438" spans="1:8">
      <c r="A1438">
        <v>1437</v>
      </c>
      <c r="B1438" s="1">
        <v>46233</v>
      </c>
      <c r="C1438" t="s">
        <v>93</v>
      </c>
      <c r="D1438" t="s">
        <v>669</v>
      </c>
      <c r="E1438">
        <v>466</v>
      </c>
      <c r="F1438">
        <v>2</v>
      </c>
      <c r="G1438">
        <v>1058</v>
      </c>
      <c r="H1438" t="str">
        <f>TEXT(TbDespesas[[#This Row],[data_transacao]], "aaaa-mm")</f>
        <v>2026-07</v>
      </c>
    </row>
    <row r="1439" spans="1:8">
      <c r="A1439">
        <v>1438</v>
      </c>
      <c r="B1439" s="1">
        <v>46233</v>
      </c>
      <c r="C1439" t="s">
        <v>93</v>
      </c>
      <c r="D1439" t="s">
        <v>402</v>
      </c>
      <c r="E1439">
        <v>43</v>
      </c>
      <c r="F1439">
        <v>65</v>
      </c>
      <c r="G1439">
        <v>2806</v>
      </c>
      <c r="H1439" t="str">
        <f>TEXT(TbDespesas[[#This Row],[data_transacao]], "aaaa-mm")</f>
        <v>2026-07</v>
      </c>
    </row>
    <row r="1440" spans="1:8">
      <c r="A1440">
        <v>1439</v>
      </c>
      <c r="B1440" s="1">
        <v>46160</v>
      </c>
      <c r="C1440" t="s">
        <v>495</v>
      </c>
      <c r="D1440" t="s">
        <v>125</v>
      </c>
      <c r="E1440">
        <v>378</v>
      </c>
      <c r="F1440">
        <v>6</v>
      </c>
      <c r="G1440">
        <v>2403</v>
      </c>
      <c r="H1440" t="str">
        <f>TEXT(TbDespesas[[#This Row],[data_transacao]], "aaaa-mm")</f>
        <v>2026-05</v>
      </c>
    </row>
    <row r="1441" spans="1:8">
      <c r="A1441">
        <v>1440</v>
      </c>
      <c r="B1441" s="1">
        <v>46160</v>
      </c>
      <c r="C1441" t="s">
        <v>495</v>
      </c>
      <c r="D1441" t="s">
        <v>202</v>
      </c>
      <c r="E1441">
        <v>428</v>
      </c>
      <c r="F1441">
        <v>4</v>
      </c>
      <c r="G1441">
        <v>2026</v>
      </c>
      <c r="H1441" t="str">
        <f>TEXT(TbDespesas[[#This Row],[data_transacao]], "aaaa-mm")</f>
        <v>2026-05</v>
      </c>
    </row>
    <row r="1442" spans="1:8">
      <c r="A1442">
        <v>1441</v>
      </c>
      <c r="B1442" s="1">
        <v>46160</v>
      </c>
      <c r="C1442" t="s">
        <v>495</v>
      </c>
      <c r="D1442" t="s">
        <v>43</v>
      </c>
      <c r="E1442">
        <v>51</v>
      </c>
      <c r="F1442">
        <v>35</v>
      </c>
      <c r="G1442">
        <v>1793</v>
      </c>
      <c r="H1442" t="str">
        <f>TEXT(TbDespesas[[#This Row],[data_transacao]], "aaaa-mm")</f>
        <v>2026-05</v>
      </c>
    </row>
    <row r="1443" spans="1:8">
      <c r="A1443">
        <v>1442</v>
      </c>
      <c r="B1443" s="1">
        <v>46160</v>
      </c>
      <c r="C1443" t="s">
        <v>495</v>
      </c>
      <c r="D1443" t="s">
        <v>213</v>
      </c>
      <c r="E1443">
        <v>151</v>
      </c>
      <c r="F1443">
        <v>8</v>
      </c>
      <c r="G1443">
        <v>1355</v>
      </c>
      <c r="H1443" t="str">
        <f>TEXT(TbDespesas[[#This Row],[data_transacao]], "aaaa-mm")</f>
        <v>2026-05</v>
      </c>
    </row>
    <row r="1444" spans="1:8">
      <c r="A1444">
        <v>1443</v>
      </c>
      <c r="B1444" s="1">
        <v>46160</v>
      </c>
      <c r="C1444" t="s">
        <v>495</v>
      </c>
      <c r="D1444" t="s">
        <v>626</v>
      </c>
      <c r="E1444">
        <v>247</v>
      </c>
      <c r="F1444">
        <v>10</v>
      </c>
      <c r="G1444">
        <v>2647</v>
      </c>
      <c r="H1444" t="str">
        <f>TEXT(TbDespesas[[#This Row],[data_transacao]], "aaaa-mm")</f>
        <v>2026-05</v>
      </c>
    </row>
    <row r="1445" spans="1:8">
      <c r="A1445">
        <v>1444</v>
      </c>
      <c r="B1445" s="1">
        <v>46160</v>
      </c>
      <c r="C1445" t="s">
        <v>495</v>
      </c>
      <c r="D1445" t="s">
        <v>500</v>
      </c>
      <c r="E1445">
        <v>331</v>
      </c>
      <c r="F1445">
        <v>10</v>
      </c>
      <c r="G1445">
        <v>3524</v>
      </c>
      <c r="H1445" t="str">
        <f>TEXT(TbDespesas[[#This Row],[data_transacao]], "aaaa-mm")</f>
        <v>2026-05</v>
      </c>
    </row>
    <row r="1446" spans="1:8">
      <c r="A1446">
        <v>1445</v>
      </c>
      <c r="B1446" s="1">
        <v>46160</v>
      </c>
      <c r="C1446" t="s">
        <v>495</v>
      </c>
      <c r="D1446" t="s">
        <v>283</v>
      </c>
      <c r="E1446">
        <v>312</v>
      </c>
      <c r="F1446">
        <v>6</v>
      </c>
      <c r="G1446">
        <v>2181</v>
      </c>
      <c r="H1446" t="str">
        <f>TEXT(TbDespesas[[#This Row],[data_transacao]], "aaaa-mm")</f>
        <v>2026-05</v>
      </c>
    </row>
    <row r="1447" spans="1:8">
      <c r="A1447">
        <v>1446</v>
      </c>
      <c r="B1447" s="1">
        <v>46160</v>
      </c>
      <c r="C1447" t="s">
        <v>495</v>
      </c>
      <c r="D1447" t="s">
        <v>482</v>
      </c>
      <c r="E1447">
        <v>128</v>
      </c>
      <c r="F1447">
        <v>14</v>
      </c>
      <c r="G1447">
        <v>1845</v>
      </c>
      <c r="H1447" t="str">
        <f>TEXT(TbDespesas[[#This Row],[data_transacao]], "aaaa-mm")</f>
        <v>2026-05</v>
      </c>
    </row>
    <row r="1448" spans="1:8">
      <c r="A1448">
        <v>1447</v>
      </c>
      <c r="B1448" s="1">
        <v>46160</v>
      </c>
      <c r="C1448" t="s">
        <v>495</v>
      </c>
      <c r="D1448" t="s">
        <v>634</v>
      </c>
      <c r="E1448">
        <v>22</v>
      </c>
      <c r="F1448">
        <v>142</v>
      </c>
      <c r="G1448">
        <v>3133</v>
      </c>
      <c r="H1448" t="str">
        <f>TEXT(TbDespesas[[#This Row],[data_transacao]], "aaaa-mm")</f>
        <v>2026-05</v>
      </c>
    </row>
    <row r="1449" spans="1:8">
      <c r="A1449">
        <v>1448</v>
      </c>
      <c r="B1449" s="1">
        <v>46160</v>
      </c>
      <c r="C1449" t="s">
        <v>495</v>
      </c>
      <c r="D1449" t="s">
        <v>332</v>
      </c>
      <c r="E1449">
        <v>410</v>
      </c>
      <c r="F1449">
        <v>8</v>
      </c>
      <c r="G1449">
        <v>3314</v>
      </c>
      <c r="H1449" t="str">
        <f>TEXT(TbDespesas[[#This Row],[data_transacao]], "aaaa-mm")</f>
        <v>2026-05</v>
      </c>
    </row>
    <row r="1450" spans="1:8">
      <c r="A1450">
        <v>1449</v>
      </c>
      <c r="B1450" s="1">
        <v>46160</v>
      </c>
      <c r="C1450" t="s">
        <v>495</v>
      </c>
      <c r="D1450" t="s">
        <v>278</v>
      </c>
      <c r="E1450">
        <v>154</v>
      </c>
      <c r="F1450">
        <v>9</v>
      </c>
      <c r="G1450">
        <v>1494</v>
      </c>
      <c r="H1450" t="str">
        <f>TEXT(TbDespesas[[#This Row],[data_transacao]], "aaaa-mm")</f>
        <v>2026-05</v>
      </c>
    </row>
    <row r="1451" spans="1:8">
      <c r="A1451">
        <v>1450</v>
      </c>
      <c r="B1451" s="1">
        <v>46120</v>
      </c>
      <c r="C1451" t="s">
        <v>549</v>
      </c>
      <c r="D1451" t="s">
        <v>89</v>
      </c>
      <c r="E1451">
        <v>169</v>
      </c>
      <c r="F1451">
        <v>10</v>
      </c>
      <c r="G1451">
        <v>1841</v>
      </c>
      <c r="H1451" t="str">
        <f>TEXT(TbDespesas[[#This Row],[data_transacao]], "aaaa-mm")</f>
        <v>2026-04</v>
      </c>
    </row>
    <row r="1452" spans="1:8">
      <c r="A1452">
        <v>1451</v>
      </c>
      <c r="B1452" s="1">
        <v>46120</v>
      </c>
      <c r="C1452" t="s">
        <v>549</v>
      </c>
      <c r="D1452" t="s">
        <v>19</v>
      </c>
      <c r="E1452">
        <v>137</v>
      </c>
      <c r="F1452">
        <v>22</v>
      </c>
      <c r="G1452">
        <v>3100</v>
      </c>
      <c r="H1452" t="str">
        <f>TEXT(TbDespesas[[#This Row],[data_transacao]], "aaaa-mm")</f>
        <v>2026-04</v>
      </c>
    </row>
    <row r="1453" spans="1:8">
      <c r="A1453">
        <v>1452</v>
      </c>
      <c r="B1453" s="1">
        <v>46120</v>
      </c>
      <c r="C1453" t="s">
        <v>549</v>
      </c>
      <c r="D1453" t="s">
        <v>250</v>
      </c>
      <c r="E1453">
        <v>73</v>
      </c>
      <c r="F1453">
        <v>24</v>
      </c>
      <c r="G1453">
        <v>1794</v>
      </c>
      <c r="H1453" t="str">
        <f>TEXT(TbDespesas[[#This Row],[data_transacao]], "aaaa-mm")</f>
        <v>2026-04</v>
      </c>
    </row>
    <row r="1454" spans="1:8">
      <c r="A1454">
        <v>1453</v>
      </c>
      <c r="B1454" s="1">
        <v>46120</v>
      </c>
      <c r="C1454" t="s">
        <v>549</v>
      </c>
      <c r="D1454" t="s">
        <v>271</v>
      </c>
      <c r="E1454">
        <v>236</v>
      </c>
      <c r="F1454">
        <v>4</v>
      </c>
      <c r="G1454">
        <v>951</v>
      </c>
      <c r="H1454" t="str">
        <f>TEXT(TbDespesas[[#This Row],[data_transacao]], "aaaa-mm")</f>
        <v>2026-04</v>
      </c>
    </row>
    <row r="1455" spans="1:8">
      <c r="A1455">
        <v>1454</v>
      </c>
      <c r="B1455" s="1">
        <v>46120</v>
      </c>
      <c r="C1455" t="s">
        <v>549</v>
      </c>
      <c r="D1455" t="s">
        <v>607</v>
      </c>
      <c r="E1455">
        <v>18</v>
      </c>
      <c r="F1455">
        <v>85</v>
      </c>
      <c r="G1455">
        <v>1540</v>
      </c>
      <c r="H1455" t="str">
        <f>TEXT(TbDespesas[[#This Row],[data_transacao]], "aaaa-mm")</f>
        <v>2026-04</v>
      </c>
    </row>
    <row r="1456" spans="1:8">
      <c r="A1456">
        <v>1455</v>
      </c>
      <c r="B1456" s="1">
        <v>46120</v>
      </c>
      <c r="C1456" t="s">
        <v>549</v>
      </c>
      <c r="D1456" t="s">
        <v>471</v>
      </c>
      <c r="E1456">
        <v>377</v>
      </c>
      <c r="F1456">
        <v>9</v>
      </c>
      <c r="G1456">
        <v>3399</v>
      </c>
      <c r="H1456" t="str">
        <f>TEXT(TbDespesas[[#This Row],[data_transacao]], "aaaa-mm")</f>
        <v>2026-04</v>
      </c>
    </row>
    <row r="1457" spans="1:8">
      <c r="A1457">
        <v>1456</v>
      </c>
      <c r="B1457" s="1">
        <v>46120</v>
      </c>
      <c r="C1457" t="s">
        <v>549</v>
      </c>
      <c r="D1457" t="s">
        <v>667</v>
      </c>
      <c r="E1457">
        <v>462</v>
      </c>
      <c r="F1457">
        <v>1</v>
      </c>
      <c r="G1457">
        <v>649</v>
      </c>
      <c r="H1457" t="str">
        <f>TEXT(TbDespesas[[#This Row],[data_transacao]], "aaaa-mm")</f>
        <v>2026-04</v>
      </c>
    </row>
    <row r="1458" spans="1:8">
      <c r="A1458">
        <v>1457</v>
      </c>
      <c r="B1458" s="1">
        <v>46120</v>
      </c>
      <c r="C1458" t="s">
        <v>549</v>
      </c>
      <c r="D1458" t="s">
        <v>78</v>
      </c>
      <c r="E1458">
        <v>61</v>
      </c>
      <c r="F1458">
        <v>7</v>
      </c>
      <c r="G1458">
        <v>442</v>
      </c>
      <c r="H1458" t="str">
        <f>TEXT(TbDespesas[[#This Row],[data_transacao]], "aaaa-mm")</f>
        <v>2026-04</v>
      </c>
    </row>
    <row r="1459" spans="1:8">
      <c r="A1459">
        <v>1458</v>
      </c>
      <c r="B1459" s="1">
        <v>46120</v>
      </c>
      <c r="C1459" t="s">
        <v>549</v>
      </c>
      <c r="D1459" t="s">
        <v>91</v>
      </c>
      <c r="E1459">
        <v>108</v>
      </c>
      <c r="F1459">
        <v>21</v>
      </c>
      <c r="G1459">
        <v>2355</v>
      </c>
      <c r="H1459" t="str">
        <f>TEXT(TbDespesas[[#This Row],[data_transacao]], "aaaa-mm")</f>
        <v>2026-04</v>
      </c>
    </row>
    <row r="1460" spans="1:8">
      <c r="A1460">
        <v>1459</v>
      </c>
      <c r="B1460" s="1">
        <v>46120</v>
      </c>
      <c r="C1460" t="s">
        <v>549</v>
      </c>
      <c r="D1460" t="s">
        <v>51</v>
      </c>
      <c r="E1460">
        <v>455</v>
      </c>
      <c r="F1460">
        <v>3</v>
      </c>
      <c r="G1460">
        <v>1603</v>
      </c>
      <c r="H1460" t="str">
        <f>TEXT(TbDespesas[[#This Row],[data_transacao]], "aaaa-mm")</f>
        <v>2026-04</v>
      </c>
    </row>
    <row r="1461" spans="1:8">
      <c r="A1461">
        <v>1460</v>
      </c>
      <c r="B1461" s="1">
        <v>46138</v>
      </c>
      <c r="C1461" t="s">
        <v>129</v>
      </c>
      <c r="D1461" t="s">
        <v>230</v>
      </c>
      <c r="E1461">
        <v>266</v>
      </c>
      <c r="F1461">
        <v>7</v>
      </c>
      <c r="G1461">
        <v>1973</v>
      </c>
      <c r="H1461" t="str">
        <f>TEXT(TbDespesas[[#This Row],[data_transacao]], "aaaa-mm")</f>
        <v>2026-04</v>
      </c>
    </row>
    <row r="1462" spans="1:8">
      <c r="A1462">
        <v>1461</v>
      </c>
      <c r="B1462" s="1">
        <v>46138</v>
      </c>
      <c r="C1462" t="s">
        <v>129</v>
      </c>
      <c r="D1462" t="s">
        <v>10</v>
      </c>
      <c r="E1462">
        <v>156</v>
      </c>
      <c r="F1462">
        <v>14</v>
      </c>
      <c r="G1462">
        <v>2320</v>
      </c>
      <c r="H1462" t="str">
        <f>TEXT(TbDespesas[[#This Row],[data_transacao]], "aaaa-mm")</f>
        <v>2026-04</v>
      </c>
    </row>
    <row r="1463" spans="1:8">
      <c r="A1463">
        <v>1462</v>
      </c>
      <c r="B1463" s="1">
        <v>46138</v>
      </c>
      <c r="C1463" t="s">
        <v>129</v>
      </c>
      <c r="D1463" t="s">
        <v>432</v>
      </c>
      <c r="E1463">
        <v>397</v>
      </c>
      <c r="F1463">
        <v>9</v>
      </c>
      <c r="G1463">
        <v>3598</v>
      </c>
      <c r="H1463" t="str">
        <f>TEXT(TbDespesas[[#This Row],[data_transacao]], "aaaa-mm")</f>
        <v>2026-04</v>
      </c>
    </row>
    <row r="1464" spans="1:8">
      <c r="A1464">
        <v>1463</v>
      </c>
      <c r="B1464" s="1">
        <v>46138</v>
      </c>
      <c r="C1464" t="s">
        <v>129</v>
      </c>
      <c r="D1464" t="s">
        <v>57</v>
      </c>
      <c r="E1464">
        <v>92</v>
      </c>
      <c r="F1464">
        <v>21</v>
      </c>
      <c r="G1464">
        <v>1987</v>
      </c>
      <c r="H1464" t="str">
        <f>TEXT(TbDespesas[[#This Row],[data_transacao]], "aaaa-mm")</f>
        <v>2026-04</v>
      </c>
    </row>
    <row r="1465" spans="1:8">
      <c r="A1465">
        <v>1464</v>
      </c>
      <c r="B1465" s="1">
        <v>46138</v>
      </c>
      <c r="C1465" t="s">
        <v>129</v>
      </c>
      <c r="D1465" t="s">
        <v>378</v>
      </c>
      <c r="E1465">
        <v>210</v>
      </c>
      <c r="F1465">
        <v>11</v>
      </c>
      <c r="G1465">
        <v>2356</v>
      </c>
      <c r="H1465" t="str">
        <f>TEXT(TbDespesas[[#This Row],[data_transacao]], "aaaa-mm")</f>
        <v>2026-04</v>
      </c>
    </row>
    <row r="1466" spans="1:8">
      <c r="A1466">
        <v>1465</v>
      </c>
      <c r="B1466" s="1">
        <v>46138</v>
      </c>
      <c r="C1466" t="s">
        <v>129</v>
      </c>
      <c r="D1466" t="s">
        <v>22</v>
      </c>
      <c r="E1466">
        <v>42</v>
      </c>
      <c r="F1466">
        <v>32</v>
      </c>
      <c r="G1466">
        <v>1359</v>
      </c>
      <c r="H1466" t="str">
        <f>TEXT(TbDespesas[[#This Row],[data_transacao]], "aaaa-mm")</f>
        <v>2026-04</v>
      </c>
    </row>
    <row r="1467" spans="1:8">
      <c r="A1467">
        <v>1466</v>
      </c>
      <c r="B1467" s="1">
        <v>46138</v>
      </c>
      <c r="C1467" t="s">
        <v>129</v>
      </c>
      <c r="D1467" t="s">
        <v>236</v>
      </c>
      <c r="E1467">
        <v>103</v>
      </c>
      <c r="F1467">
        <v>11</v>
      </c>
      <c r="G1467">
        <v>1156</v>
      </c>
      <c r="H1467" t="str">
        <f>TEXT(TbDespesas[[#This Row],[data_transacao]], "aaaa-mm")</f>
        <v>2026-04</v>
      </c>
    </row>
    <row r="1468" spans="1:8">
      <c r="A1468">
        <v>1467</v>
      </c>
      <c r="B1468" s="1">
        <v>46270</v>
      </c>
      <c r="C1468" t="s">
        <v>504</v>
      </c>
      <c r="D1468" t="s">
        <v>369</v>
      </c>
      <c r="E1468">
        <v>52</v>
      </c>
      <c r="F1468">
        <v>9</v>
      </c>
      <c r="G1468">
        <v>517</v>
      </c>
      <c r="H1468" t="str">
        <f>TEXT(TbDespesas[[#This Row],[data_transacao]], "aaaa-mm")</f>
        <v>2026-09</v>
      </c>
    </row>
    <row r="1469" spans="1:8">
      <c r="A1469">
        <v>1468</v>
      </c>
      <c r="B1469" s="1">
        <v>46270</v>
      </c>
      <c r="C1469" t="s">
        <v>504</v>
      </c>
      <c r="D1469" t="s">
        <v>553</v>
      </c>
      <c r="E1469">
        <v>50</v>
      </c>
      <c r="F1469">
        <v>27</v>
      </c>
      <c r="G1469">
        <v>1387</v>
      </c>
      <c r="H1469" t="str">
        <f>TEXT(TbDespesas[[#This Row],[data_transacao]], "aaaa-mm")</f>
        <v>2026-09</v>
      </c>
    </row>
    <row r="1470" spans="1:8">
      <c r="A1470">
        <v>1469</v>
      </c>
      <c r="B1470" s="1">
        <v>46270</v>
      </c>
      <c r="C1470" t="s">
        <v>504</v>
      </c>
      <c r="D1470" t="s">
        <v>516</v>
      </c>
      <c r="E1470">
        <v>287</v>
      </c>
      <c r="F1470">
        <v>2</v>
      </c>
      <c r="G1470">
        <v>858</v>
      </c>
      <c r="H1470" t="str">
        <f>TEXT(TbDespesas[[#This Row],[data_transacao]], "aaaa-mm")</f>
        <v>2026-09</v>
      </c>
    </row>
    <row r="1471" spans="1:8">
      <c r="A1471">
        <v>1470</v>
      </c>
      <c r="B1471" s="1">
        <v>46270</v>
      </c>
      <c r="C1471" t="s">
        <v>504</v>
      </c>
      <c r="D1471" t="s">
        <v>670</v>
      </c>
      <c r="E1471">
        <v>499</v>
      </c>
      <c r="F1471">
        <v>2</v>
      </c>
      <c r="G1471">
        <v>1010</v>
      </c>
      <c r="H1471" t="str">
        <f>TEXT(TbDespesas[[#This Row],[data_transacao]], "aaaa-mm")</f>
        <v>2026-09</v>
      </c>
    </row>
    <row r="1472" spans="1:8">
      <c r="A1472">
        <v>1471</v>
      </c>
      <c r="B1472" s="1">
        <v>46270</v>
      </c>
      <c r="C1472" t="s">
        <v>504</v>
      </c>
      <c r="D1472" t="s">
        <v>151</v>
      </c>
      <c r="E1472">
        <v>454</v>
      </c>
      <c r="F1472">
        <v>7</v>
      </c>
      <c r="G1472">
        <v>3318</v>
      </c>
      <c r="H1472" t="str">
        <f>TEXT(TbDespesas[[#This Row],[data_transacao]], "aaaa-mm")</f>
        <v>2026-09</v>
      </c>
    </row>
    <row r="1473" spans="1:8">
      <c r="A1473">
        <v>1472</v>
      </c>
      <c r="B1473" s="1">
        <v>46270</v>
      </c>
      <c r="C1473" t="s">
        <v>504</v>
      </c>
      <c r="D1473" t="s">
        <v>660</v>
      </c>
      <c r="E1473">
        <v>123</v>
      </c>
      <c r="F1473">
        <v>5</v>
      </c>
      <c r="G1473">
        <v>659</v>
      </c>
      <c r="H1473" t="str">
        <f>TEXT(TbDespesas[[#This Row],[data_transacao]], "aaaa-mm")</f>
        <v>2026-09</v>
      </c>
    </row>
    <row r="1474" spans="1:8">
      <c r="A1474">
        <v>1473</v>
      </c>
      <c r="B1474" s="1">
        <v>46270</v>
      </c>
      <c r="C1474" t="s">
        <v>504</v>
      </c>
      <c r="D1474" t="s">
        <v>591</v>
      </c>
      <c r="E1474">
        <v>187</v>
      </c>
      <c r="F1474">
        <v>10</v>
      </c>
      <c r="G1474">
        <v>1886</v>
      </c>
      <c r="H1474" t="str">
        <f>TEXT(TbDespesas[[#This Row],[data_transacao]], "aaaa-mm")</f>
        <v>2026-09</v>
      </c>
    </row>
    <row r="1475" spans="1:8">
      <c r="A1475">
        <v>1474</v>
      </c>
      <c r="B1475" s="1">
        <v>46270</v>
      </c>
      <c r="C1475" t="s">
        <v>504</v>
      </c>
      <c r="D1475" t="s">
        <v>172</v>
      </c>
      <c r="E1475">
        <v>369</v>
      </c>
      <c r="F1475">
        <v>2</v>
      </c>
      <c r="G1475">
        <v>866</v>
      </c>
      <c r="H1475" t="str">
        <f>TEXT(TbDespesas[[#This Row],[data_transacao]], "aaaa-mm")</f>
        <v>2026-09</v>
      </c>
    </row>
    <row r="1476" spans="1:8">
      <c r="A1476">
        <v>1475</v>
      </c>
      <c r="B1476" s="1">
        <v>46270</v>
      </c>
      <c r="C1476" t="s">
        <v>504</v>
      </c>
      <c r="D1476" t="s">
        <v>111</v>
      </c>
      <c r="E1476">
        <v>171</v>
      </c>
      <c r="F1476">
        <v>16</v>
      </c>
      <c r="G1476">
        <v>2780</v>
      </c>
      <c r="H1476" t="str">
        <f>TEXT(TbDespesas[[#This Row],[data_transacao]], "aaaa-mm")</f>
        <v>2026-09</v>
      </c>
    </row>
    <row r="1477" spans="1:8">
      <c r="A1477">
        <v>1476</v>
      </c>
      <c r="B1477" s="1">
        <v>46270</v>
      </c>
      <c r="C1477" t="s">
        <v>504</v>
      </c>
      <c r="D1477" t="s">
        <v>559</v>
      </c>
      <c r="E1477">
        <v>497</v>
      </c>
      <c r="F1477">
        <v>0</v>
      </c>
      <c r="G1477">
        <v>211</v>
      </c>
      <c r="H1477" t="str">
        <f>TEXT(TbDespesas[[#This Row],[data_transacao]], "aaaa-mm")</f>
        <v>2026-09</v>
      </c>
    </row>
    <row r="1478" spans="1:8">
      <c r="A1478">
        <v>1477</v>
      </c>
      <c r="B1478" s="1">
        <v>46270</v>
      </c>
      <c r="C1478" t="s">
        <v>504</v>
      </c>
      <c r="D1478" t="s">
        <v>540</v>
      </c>
      <c r="E1478">
        <v>100</v>
      </c>
      <c r="F1478">
        <v>21</v>
      </c>
      <c r="G1478">
        <v>2186</v>
      </c>
      <c r="H1478" t="str">
        <f>TEXT(TbDespesas[[#This Row],[data_transacao]], "aaaa-mm")</f>
        <v>2026-09</v>
      </c>
    </row>
    <row r="1479" spans="1:8">
      <c r="A1479">
        <v>1478</v>
      </c>
      <c r="B1479" s="1">
        <v>46052</v>
      </c>
      <c r="C1479" t="s">
        <v>671</v>
      </c>
      <c r="D1479" t="s">
        <v>294</v>
      </c>
      <c r="E1479">
        <v>99</v>
      </c>
      <c r="F1479">
        <v>19</v>
      </c>
      <c r="G1479">
        <v>1978</v>
      </c>
      <c r="H1479" t="str">
        <f>TEXT(TbDespesas[[#This Row],[data_transacao]], "aaaa-mm")</f>
        <v>2026-01</v>
      </c>
    </row>
    <row r="1480" spans="1:8">
      <c r="A1480">
        <v>1479</v>
      </c>
      <c r="B1480" s="1">
        <v>46052</v>
      </c>
      <c r="C1480" t="s">
        <v>671</v>
      </c>
      <c r="D1480" t="s">
        <v>133</v>
      </c>
      <c r="E1480">
        <v>344</v>
      </c>
      <c r="F1480">
        <v>4</v>
      </c>
      <c r="G1480">
        <v>1637</v>
      </c>
      <c r="H1480" t="str">
        <f>TEXT(TbDespesas[[#This Row],[data_transacao]], "aaaa-mm")</f>
        <v>2026-01</v>
      </c>
    </row>
    <row r="1481" spans="1:8">
      <c r="A1481">
        <v>1480</v>
      </c>
      <c r="B1481" s="1">
        <v>46052</v>
      </c>
      <c r="C1481" t="s">
        <v>671</v>
      </c>
      <c r="D1481" t="s">
        <v>214</v>
      </c>
      <c r="E1481">
        <v>423</v>
      </c>
      <c r="F1481">
        <v>1</v>
      </c>
      <c r="G1481">
        <v>589</v>
      </c>
      <c r="H1481" t="str">
        <f>TEXT(TbDespesas[[#This Row],[data_transacao]], "aaaa-mm")</f>
        <v>2026-01</v>
      </c>
    </row>
    <row r="1482" spans="1:8">
      <c r="A1482">
        <v>1481</v>
      </c>
      <c r="B1482" s="1">
        <v>46052</v>
      </c>
      <c r="C1482" t="s">
        <v>671</v>
      </c>
      <c r="D1482" t="s">
        <v>424</v>
      </c>
      <c r="E1482">
        <v>70</v>
      </c>
      <c r="F1482">
        <v>27</v>
      </c>
      <c r="G1482">
        <v>1911</v>
      </c>
      <c r="H1482" t="str">
        <f>TEXT(TbDespesas[[#This Row],[data_transacao]], "aaaa-mm")</f>
        <v>2026-01</v>
      </c>
    </row>
    <row r="1483" spans="1:8">
      <c r="A1483">
        <v>1482</v>
      </c>
      <c r="B1483" s="1">
        <v>46052</v>
      </c>
      <c r="C1483" t="s">
        <v>671</v>
      </c>
      <c r="D1483" t="s">
        <v>131</v>
      </c>
      <c r="E1483">
        <v>436</v>
      </c>
      <c r="F1483">
        <v>4</v>
      </c>
      <c r="G1483">
        <v>1936</v>
      </c>
      <c r="H1483" t="str">
        <f>TEXT(TbDespesas[[#This Row],[data_transacao]], "aaaa-mm")</f>
        <v>2026-01</v>
      </c>
    </row>
    <row r="1484" spans="1:8">
      <c r="A1484">
        <v>1483</v>
      </c>
      <c r="B1484" s="1">
        <v>46052</v>
      </c>
      <c r="C1484" t="s">
        <v>671</v>
      </c>
      <c r="D1484" t="s">
        <v>672</v>
      </c>
      <c r="E1484">
        <v>391</v>
      </c>
      <c r="F1484">
        <v>2</v>
      </c>
      <c r="G1484">
        <v>1029</v>
      </c>
      <c r="H1484" t="str">
        <f>TEXT(TbDespesas[[#This Row],[data_transacao]], "aaaa-mm")</f>
        <v>2026-01</v>
      </c>
    </row>
    <row r="1485" spans="1:8">
      <c r="A1485">
        <v>1484</v>
      </c>
      <c r="B1485" s="1">
        <v>46052</v>
      </c>
      <c r="C1485" t="s">
        <v>671</v>
      </c>
      <c r="D1485" t="s">
        <v>228</v>
      </c>
      <c r="E1485">
        <v>66</v>
      </c>
      <c r="F1485">
        <v>38</v>
      </c>
      <c r="G1485">
        <v>2564</v>
      </c>
      <c r="H1485" t="str">
        <f>TEXT(TbDespesas[[#This Row],[data_transacao]], "aaaa-mm")</f>
        <v>2026-01</v>
      </c>
    </row>
    <row r="1486" spans="1:8">
      <c r="A1486">
        <v>1485</v>
      </c>
      <c r="B1486" s="1">
        <v>46052</v>
      </c>
      <c r="C1486" t="s">
        <v>671</v>
      </c>
      <c r="D1486" t="s">
        <v>452</v>
      </c>
      <c r="E1486">
        <v>230</v>
      </c>
      <c r="F1486">
        <v>12</v>
      </c>
      <c r="G1486">
        <v>2910</v>
      </c>
      <c r="H1486" t="str">
        <f>TEXT(TbDespesas[[#This Row],[data_transacao]], "aaaa-mm")</f>
        <v>2026-01</v>
      </c>
    </row>
    <row r="1487" spans="1:8">
      <c r="A1487">
        <v>1486</v>
      </c>
      <c r="B1487" s="1">
        <v>46052</v>
      </c>
      <c r="C1487" t="s">
        <v>671</v>
      </c>
      <c r="D1487" t="s">
        <v>71</v>
      </c>
      <c r="E1487">
        <v>271</v>
      </c>
      <c r="F1487">
        <v>2</v>
      </c>
      <c r="G1487">
        <v>543</v>
      </c>
      <c r="H1487" t="str">
        <f>TEXT(TbDespesas[[#This Row],[data_transacao]], "aaaa-mm")</f>
        <v>2026-01</v>
      </c>
    </row>
    <row r="1488" spans="1:8">
      <c r="A1488">
        <v>1487</v>
      </c>
      <c r="B1488" s="1">
        <v>46052</v>
      </c>
      <c r="C1488" t="s">
        <v>671</v>
      </c>
      <c r="D1488" t="s">
        <v>84</v>
      </c>
      <c r="E1488">
        <v>133</v>
      </c>
      <c r="F1488">
        <v>10</v>
      </c>
      <c r="G1488">
        <v>1451</v>
      </c>
      <c r="H1488" t="str">
        <f>TEXT(TbDespesas[[#This Row],[data_transacao]], "aaaa-mm")</f>
        <v>2026-01</v>
      </c>
    </row>
    <row r="1489" spans="1:8">
      <c r="A1489">
        <v>1488</v>
      </c>
      <c r="B1489" s="1">
        <v>46034</v>
      </c>
      <c r="C1489" t="s">
        <v>673</v>
      </c>
      <c r="D1489" t="s">
        <v>220</v>
      </c>
      <c r="E1489">
        <v>92</v>
      </c>
      <c r="F1489">
        <v>29</v>
      </c>
      <c r="G1489">
        <v>2674</v>
      </c>
      <c r="H1489" t="str">
        <f>TEXT(TbDespesas[[#This Row],[data_transacao]], "aaaa-mm")</f>
        <v>2026-01</v>
      </c>
    </row>
    <row r="1490" spans="1:8">
      <c r="A1490">
        <v>1489</v>
      </c>
      <c r="B1490" s="1">
        <v>46034</v>
      </c>
      <c r="C1490" t="s">
        <v>673</v>
      </c>
      <c r="D1490" t="s">
        <v>120</v>
      </c>
      <c r="E1490">
        <v>482</v>
      </c>
      <c r="F1490">
        <v>0</v>
      </c>
      <c r="G1490">
        <v>241</v>
      </c>
      <c r="H1490" t="str">
        <f>TEXT(TbDespesas[[#This Row],[data_transacao]], "aaaa-mm")</f>
        <v>2026-01</v>
      </c>
    </row>
    <row r="1491" spans="1:8">
      <c r="A1491">
        <v>1490</v>
      </c>
      <c r="B1491" s="1">
        <v>46034</v>
      </c>
      <c r="C1491" t="s">
        <v>673</v>
      </c>
      <c r="D1491" t="s">
        <v>325</v>
      </c>
      <c r="E1491">
        <v>269</v>
      </c>
      <c r="F1491">
        <v>6</v>
      </c>
      <c r="G1491">
        <v>1648</v>
      </c>
      <c r="H1491" t="str">
        <f>TEXT(TbDespesas[[#This Row],[data_transacao]], "aaaa-mm")</f>
        <v>2026-01</v>
      </c>
    </row>
    <row r="1492" spans="1:8">
      <c r="A1492">
        <v>1491</v>
      </c>
      <c r="B1492" s="1">
        <v>46034</v>
      </c>
      <c r="C1492" t="s">
        <v>673</v>
      </c>
      <c r="D1492" t="s">
        <v>167</v>
      </c>
      <c r="E1492">
        <v>277</v>
      </c>
      <c r="F1492">
        <v>11</v>
      </c>
      <c r="G1492">
        <v>3227</v>
      </c>
      <c r="H1492" t="str">
        <f>TEXT(TbDespesas[[#This Row],[data_transacao]], "aaaa-mm")</f>
        <v>2026-01</v>
      </c>
    </row>
    <row r="1493" spans="1:8">
      <c r="A1493">
        <v>1492</v>
      </c>
      <c r="B1493" s="1">
        <v>46034</v>
      </c>
      <c r="C1493" t="s">
        <v>673</v>
      </c>
      <c r="D1493" t="s">
        <v>346</v>
      </c>
      <c r="E1493">
        <v>368</v>
      </c>
      <c r="F1493">
        <v>4</v>
      </c>
      <c r="G1493">
        <v>1487</v>
      </c>
      <c r="H1493" t="str">
        <f>TEXT(TbDespesas[[#This Row],[data_transacao]], "aaaa-mm")</f>
        <v>2026-01</v>
      </c>
    </row>
    <row r="1494" spans="1:8">
      <c r="A1494">
        <v>1493</v>
      </c>
      <c r="B1494" s="1">
        <v>46034</v>
      </c>
      <c r="C1494" t="s">
        <v>673</v>
      </c>
      <c r="D1494" t="s">
        <v>600</v>
      </c>
      <c r="E1494">
        <v>150</v>
      </c>
      <c r="F1494">
        <v>11</v>
      </c>
      <c r="G1494">
        <v>1724</v>
      </c>
      <c r="H1494" t="str">
        <f>TEXT(TbDespesas[[#This Row],[data_transacao]], "aaaa-mm")</f>
        <v>2026-01</v>
      </c>
    </row>
    <row r="1495" spans="1:8">
      <c r="A1495">
        <v>1494</v>
      </c>
      <c r="B1495" s="1">
        <v>46034</v>
      </c>
      <c r="C1495" t="s">
        <v>673</v>
      </c>
      <c r="D1495" t="s">
        <v>609</v>
      </c>
      <c r="E1495">
        <v>368</v>
      </c>
      <c r="F1495">
        <v>7</v>
      </c>
      <c r="G1495">
        <v>2736</v>
      </c>
      <c r="H1495" t="str">
        <f>TEXT(TbDespesas[[#This Row],[data_transacao]], "aaaa-mm")</f>
        <v>2026-01</v>
      </c>
    </row>
    <row r="1496" spans="1:8">
      <c r="A1496">
        <v>1495</v>
      </c>
      <c r="B1496" s="1">
        <v>46034</v>
      </c>
      <c r="C1496" t="s">
        <v>673</v>
      </c>
      <c r="D1496" t="s">
        <v>581</v>
      </c>
      <c r="E1496">
        <v>115</v>
      </c>
      <c r="F1496">
        <v>26</v>
      </c>
      <c r="G1496">
        <v>3097</v>
      </c>
      <c r="H1496" t="str">
        <f>TEXT(TbDespesas[[#This Row],[data_transacao]], "aaaa-mm")</f>
        <v>2026-01</v>
      </c>
    </row>
    <row r="1497" spans="1:8">
      <c r="A1497">
        <v>1496</v>
      </c>
      <c r="B1497" s="1">
        <v>46271</v>
      </c>
      <c r="C1497" t="s">
        <v>674</v>
      </c>
      <c r="D1497" t="s">
        <v>515</v>
      </c>
      <c r="E1497">
        <v>327</v>
      </c>
      <c r="F1497">
        <v>1</v>
      </c>
      <c r="G1497">
        <v>568</v>
      </c>
      <c r="H1497" t="str">
        <f>TEXT(TbDespesas[[#This Row],[data_transacao]], "aaaa-mm")</f>
        <v>2026-09</v>
      </c>
    </row>
    <row r="1498" spans="1:8">
      <c r="A1498">
        <v>1497</v>
      </c>
      <c r="B1498" s="1">
        <v>46271</v>
      </c>
      <c r="C1498" t="s">
        <v>674</v>
      </c>
      <c r="D1498" t="s">
        <v>78</v>
      </c>
      <c r="E1498">
        <v>142</v>
      </c>
      <c r="F1498">
        <v>18</v>
      </c>
      <c r="G1498">
        <v>2589</v>
      </c>
      <c r="H1498" t="str">
        <f>TEXT(TbDespesas[[#This Row],[data_transacao]], "aaaa-mm")</f>
        <v>2026-09</v>
      </c>
    </row>
    <row r="1499" spans="1:8">
      <c r="A1499">
        <v>1498</v>
      </c>
      <c r="B1499" s="1">
        <v>46024</v>
      </c>
      <c r="C1499" t="s">
        <v>137</v>
      </c>
      <c r="D1499" t="s">
        <v>525</v>
      </c>
      <c r="E1499">
        <v>332</v>
      </c>
      <c r="F1499">
        <v>7</v>
      </c>
      <c r="G1499">
        <v>2603</v>
      </c>
      <c r="H1499" t="str">
        <f>TEXT(TbDespesas[[#This Row],[data_transacao]], "aaaa-mm")</f>
        <v>2026-01</v>
      </c>
    </row>
    <row r="1500" spans="1:8">
      <c r="A1500">
        <v>1499</v>
      </c>
      <c r="B1500" s="1">
        <v>46024</v>
      </c>
      <c r="C1500" t="s">
        <v>137</v>
      </c>
      <c r="D1500" t="s">
        <v>566</v>
      </c>
      <c r="E1500">
        <v>318</v>
      </c>
      <c r="F1500">
        <v>3</v>
      </c>
      <c r="G1500">
        <v>1105</v>
      </c>
      <c r="H1500" t="str">
        <f>TEXT(TbDespesas[[#This Row],[data_transacao]], "aaaa-mm")</f>
        <v>2026-01</v>
      </c>
    </row>
    <row r="1501" spans="1:8">
      <c r="A1501">
        <v>1500</v>
      </c>
      <c r="B1501" s="1">
        <v>46024</v>
      </c>
      <c r="C1501" t="s">
        <v>137</v>
      </c>
      <c r="D1501" t="s">
        <v>675</v>
      </c>
      <c r="E1501">
        <v>414</v>
      </c>
      <c r="F1501">
        <v>3</v>
      </c>
      <c r="G1501">
        <v>1269</v>
      </c>
      <c r="H1501" t="str">
        <f>TEXT(TbDespesas[[#This Row],[data_transacao]], "aaaa-mm")</f>
        <v>2026-01</v>
      </c>
    </row>
    <row r="1502" spans="1:8">
      <c r="A1502">
        <v>1501</v>
      </c>
      <c r="B1502" s="1">
        <v>46024</v>
      </c>
      <c r="C1502" t="s">
        <v>137</v>
      </c>
      <c r="D1502" t="s">
        <v>640</v>
      </c>
      <c r="E1502">
        <v>121</v>
      </c>
      <c r="F1502">
        <v>13</v>
      </c>
      <c r="G1502">
        <v>1591</v>
      </c>
      <c r="H1502" t="str">
        <f>TEXT(TbDespesas[[#This Row],[data_transacao]], "aaaa-mm")</f>
        <v>2026-01</v>
      </c>
    </row>
    <row r="1503" spans="1:8">
      <c r="A1503">
        <v>1502</v>
      </c>
      <c r="B1503" s="1">
        <v>46024</v>
      </c>
      <c r="C1503" t="s">
        <v>137</v>
      </c>
      <c r="D1503" t="s">
        <v>676</v>
      </c>
      <c r="E1503">
        <v>361</v>
      </c>
      <c r="F1503">
        <v>7</v>
      </c>
      <c r="G1503">
        <v>2756</v>
      </c>
      <c r="H1503" t="str">
        <f>TEXT(TbDespesas[[#This Row],[data_transacao]], "aaaa-mm")</f>
        <v>2026-01</v>
      </c>
    </row>
    <row r="1504" spans="1:8">
      <c r="A1504">
        <v>1503</v>
      </c>
      <c r="B1504" s="1">
        <v>46024</v>
      </c>
      <c r="C1504" t="s">
        <v>137</v>
      </c>
      <c r="D1504" t="s">
        <v>342</v>
      </c>
      <c r="E1504">
        <v>449</v>
      </c>
      <c r="F1504">
        <v>5</v>
      </c>
      <c r="G1504">
        <v>2676</v>
      </c>
      <c r="H1504" t="str">
        <f>TEXT(TbDespesas[[#This Row],[data_transacao]], "aaaa-mm")</f>
        <v>2026-01</v>
      </c>
    </row>
    <row r="1505" spans="1:8">
      <c r="A1505">
        <v>1504</v>
      </c>
      <c r="B1505" s="1">
        <v>46024</v>
      </c>
      <c r="C1505" t="s">
        <v>137</v>
      </c>
      <c r="D1505" t="s">
        <v>360</v>
      </c>
      <c r="E1505">
        <v>225</v>
      </c>
      <c r="F1505">
        <v>4</v>
      </c>
      <c r="G1505">
        <v>942</v>
      </c>
      <c r="H1505" t="str">
        <f>TEXT(TbDespesas[[#This Row],[data_transacao]], "aaaa-mm")</f>
        <v>2026-01</v>
      </c>
    </row>
    <row r="1506" spans="1:8">
      <c r="A1506">
        <v>1505</v>
      </c>
      <c r="B1506" s="1">
        <v>46024</v>
      </c>
      <c r="C1506" t="s">
        <v>137</v>
      </c>
      <c r="D1506" t="s">
        <v>433</v>
      </c>
      <c r="E1506">
        <v>373</v>
      </c>
      <c r="F1506">
        <v>9</v>
      </c>
      <c r="G1506">
        <v>3407</v>
      </c>
      <c r="H1506" t="str">
        <f>TEXT(TbDespesas[[#This Row],[data_transacao]], "aaaa-mm")</f>
        <v>2026-01</v>
      </c>
    </row>
    <row r="1507" spans="1:8">
      <c r="A1507">
        <v>1506</v>
      </c>
      <c r="B1507" s="1">
        <v>46094</v>
      </c>
      <c r="C1507" t="s">
        <v>344</v>
      </c>
      <c r="D1507" t="s">
        <v>278</v>
      </c>
      <c r="E1507">
        <v>22</v>
      </c>
      <c r="F1507">
        <v>150</v>
      </c>
      <c r="G1507">
        <v>3319</v>
      </c>
      <c r="H1507" t="str">
        <f>TEXT(TbDespesas[[#This Row],[data_transacao]], "aaaa-mm")</f>
        <v>2026-03</v>
      </c>
    </row>
    <row r="1508" spans="1:8">
      <c r="A1508">
        <v>1507</v>
      </c>
      <c r="B1508" s="1">
        <v>46094</v>
      </c>
      <c r="C1508" t="s">
        <v>344</v>
      </c>
      <c r="D1508" t="s">
        <v>493</v>
      </c>
      <c r="E1508">
        <v>285</v>
      </c>
      <c r="F1508">
        <v>3</v>
      </c>
      <c r="G1508">
        <v>982</v>
      </c>
      <c r="H1508" t="str">
        <f>TEXT(TbDespesas[[#This Row],[data_transacao]], "aaaa-mm")</f>
        <v>2026-03</v>
      </c>
    </row>
    <row r="1509" spans="1:8">
      <c r="A1509">
        <v>1508</v>
      </c>
      <c r="B1509" s="1">
        <v>46094</v>
      </c>
      <c r="C1509" t="s">
        <v>344</v>
      </c>
      <c r="D1509" t="s">
        <v>393</v>
      </c>
      <c r="E1509">
        <v>19</v>
      </c>
      <c r="F1509">
        <v>41</v>
      </c>
      <c r="G1509">
        <v>786</v>
      </c>
      <c r="H1509" t="str">
        <f>TEXT(TbDespesas[[#This Row],[data_transacao]], "aaaa-mm")</f>
        <v>2026-03</v>
      </c>
    </row>
    <row r="1510" spans="1:8">
      <c r="A1510">
        <v>1509</v>
      </c>
      <c r="B1510" s="1">
        <v>46094</v>
      </c>
      <c r="C1510" t="s">
        <v>344</v>
      </c>
      <c r="D1510" t="s">
        <v>262</v>
      </c>
      <c r="E1510">
        <v>90</v>
      </c>
      <c r="F1510">
        <v>39</v>
      </c>
      <c r="G1510">
        <v>3521</v>
      </c>
      <c r="H1510" t="str">
        <f>TEXT(TbDespesas[[#This Row],[data_transacao]], "aaaa-mm")</f>
        <v>2026-03</v>
      </c>
    </row>
    <row r="1511" spans="1:8">
      <c r="A1511">
        <v>1510</v>
      </c>
      <c r="B1511" s="1">
        <v>46094</v>
      </c>
      <c r="C1511" t="s">
        <v>344</v>
      </c>
      <c r="D1511" t="s">
        <v>75</v>
      </c>
      <c r="E1511">
        <v>33</v>
      </c>
      <c r="F1511">
        <v>82</v>
      </c>
      <c r="G1511">
        <v>2738</v>
      </c>
      <c r="H1511" t="str">
        <f>TEXT(TbDespesas[[#This Row],[data_transacao]], "aaaa-mm")</f>
        <v>2026-03</v>
      </c>
    </row>
    <row r="1512" spans="1:8">
      <c r="A1512">
        <v>1511</v>
      </c>
      <c r="B1512" s="1">
        <v>46094</v>
      </c>
      <c r="C1512" t="s">
        <v>344</v>
      </c>
      <c r="D1512" t="s">
        <v>187</v>
      </c>
      <c r="E1512">
        <v>381</v>
      </c>
      <c r="F1512">
        <v>5</v>
      </c>
      <c r="G1512">
        <v>2043</v>
      </c>
      <c r="H1512" t="str">
        <f>TEXT(TbDespesas[[#This Row],[data_transacao]], "aaaa-mm")</f>
        <v>2026-03</v>
      </c>
    </row>
    <row r="1513" spans="1:8">
      <c r="A1513">
        <v>1512</v>
      </c>
      <c r="B1513" s="1">
        <v>46094</v>
      </c>
      <c r="C1513" t="s">
        <v>344</v>
      </c>
      <c r="D1513" t="s">
        <v>441</v>
      </c>
      <c r="E1513">
        <v>123</v>
      </c>
      <c r="F1513">
        <v>13</v>
      </c>
      <c r="G1513">
        <v>1706</v>
      </c>
      <c r="H1513" t="str">
        <f>TEXT(TbDespesas[[#This Row],[data_transacao]], "aaaa-mm")</f>
        <v>2026-03</v>
      </c>
    </row>
    <row r="1514" spans="1:8">
      <c r="A1514">
        <v>1513</v>
      </c>
      <c r="B1514" s="1">
        <v>46094</v>
      </c>
      <c r="C1514" t="s">
        <v>344</v>
      </c>
      <c r="D1514" t="s">
        <v>373</v>
      </c>
      <c r="E1514">
        <v>459</v>
      </c>
      <c r="F1514">
        <v>5</v>
      </c>
      <c r="G1514">
        <v>2699</v>
      </c>
      <c r="H1514" t="str">
        <f>TEXT(TbDespesas[[#This Row],[data_transacao]], "aaaa-mm")</f>
        <v>2026-03</v>
      </c>
    </row>
    <row r="1515" spans="1:8">
      <c r="A1515">
        <v>1514</v>
      </c>
      <c r="B1515" s="1">
        <v>46094</v>
      </c>
      <c r="C1515" t="s">
        <v>344</v>
      </c>
      <c r="D1515" t="s">
        <v>677</v>
      </c>
      <c r="E1515">
        <v>479</v>
      </c>
      <c r="F1515">
        <v>2</v>
      </c>
      <c r="G1515">
        <v>1162</v>
      </c>
      <c r="H1515" t="str">
        <f>TEXT(TbDespesas[[#This Row],[data_transacao]], "aaaa-mm")</f>
        <v>2026-03</v>
      </c>
    </row>
    <row r="1516" spans="1:8">
      <c r="A1516">
        <v>1515</v>
      </c>
      <c r="B1516" s="1">
        <v>46094</v>
      </c>
      <c r="C1516" t="s">
        <v>344</v>
      </c>
      <c r="D1516" t="s">
        <v>510</v>
      </c>
      <c r="E1516">
        <v>266</v>
      </c>
      <c r="F1516">
        <v>10</v>
      </c>
      <c r="G1516">
        <v>2818</v>
      </c>
      <c r="H1516" t="str">
        <f>TEXT(TbDespesas[[#This Row],[data_transacao]], "aaaa-mm")</f>
        <v>2026-03</v>
      </c>
    </row>
    <row r="1517" spans="1:8">
      <c r="A1517">
        <v>1516</v>
      </c>
      <c r="B1517" s="1">
        <v>46094</v>
      </c>
      <c r="C1517" t="s">
        <v>344</v>
      </c>
      <c r="D1517" t="s">
        <v>56</v>
      </c>
      <c r="E1517">
        <v>377</v>
      </c>
      <c r="F1517">
        <v>2</v>
      </c>
      <c r="G1517">
        <v>1105</v>
      </c>
      <c r="H1517" t="str">
        <f>TEXT(TbDespesas[[#This Row],[data_transacao]], "aaaa-mm")</f>
        <v>2026-03</v>
      </c>
    </row>
    <row r="1518" spans="1:8">
      <c r="A1518">
        <v>1517</v>
      </c>
      <c r="B1518" s="1">
        <v>46245</v>
      </c>
      <c r="C1518" t="s">
        <v>499</v>
      </c>
      <c r="D1518" t="s">
        <v>626</v>
      </c>
      <c r="E1518">
        <v>372</v>
      </c>
      <c r="F1518">
        <v>6</v>
      </c>
      <c r="G1518">
        <v>2398</v>
      </c>
      <c r="H1518" t="str">
        <f>TEXT(TbDespesas[[#This Row],[data_transacao]], "aaaa-mm")</f>
        <v>2026-08</v>
      </c>
    </row>
    <row r="1519" spans="1:8">
      <c r="A1519">
        <v>1518</v>
      </c>
      <c r="B1519" s="1">
        <v>46245</v>
      </c>
      <c r="C1519" t="s">
        <v>499</v>
      </c>
      <c r="D1519" t="s">
        <v>442</v>
      </c>
      <c r="E1519">
        <v>406</v>
      </c>
      <c r="F1519">
        <v>7</v>
      </c>
      <c r="G1519">
        <v>2998</v>
      </c>
      <c r="H1519" t="str">
        <f>TEXT(TbDespesas[[#This Row],[data_transacao]], "aaaa-mm")</f>
        <v>2026-08</v>
      </c>
    </row>
    <row r="1520" spans="1:8">
      <c r="A1520">
        <v>1519</v>
      </c>
      <c r="B1520" s="1">
        <v>46073</v>
      </c>
      <c r="C1520" t="s">
        <v>473</v>
      </c>
      <c r="D1520" t="s">
        <v>324</v>
      </c>
      <c r="E1520">
        <v>154</v>
      </c>
      <c r="F1520">
        <v>13</v>
      </c>
      <c r="G1520">
        <v>2068</v>
      </c>
      <c r="H1520" t="str">
        <f>TEXT(TbDespesas[[#This Row],[data_transacao]], "aaaa-mm")</f>
        <v>2026-02</v>
      </c>
    </row>
    <row r="1521" spans="1:8">
      <c r="A1521">
        <v>1520</v>
      </c>
      <c r="B1521" s="1">
        <v>46073</v>
      </c>
      <c r="C1521" t="s">
        <v>473</v>
      </c>
      <c r="D1521" t="s">
        <v>558</v>
      </c>
      <c r="E1521">
        <v>186</v>
      </c>
      <c r="F1521">
        <v>0</v>
      </c>
      <c r="G1521">
        <v>90</v>
      </c>
      <c r="H1521" t="str">
        <f>TEXT(TbDespesas[[#This Row],[data_transacao]], "aaaa-mm")</f>
        <v>2026-02</v>
      </c>
    </row>
    <row r="1522" spans="1:8">
      <c r="A1522">
        <v>1521</v>
      </c>
      <c r="B1522" s="1">
        <v>46073</v>
      </c>
      <c r="C1522" t="s">
        <v>473</v>
      </c>
      <c r="D1522" t="s">
        <v>82</v>
      </c>
      <c r="E1522">
        <v>465</v>
      </c>
      <c r="F1522">
        <v>4</v>
      </c>
      <c r="G1522">
        <v>1871</v>
      </c>
      <c r="H1522" t="str">
        <f>TEXT(TbDespesas[[#This Row],[data_transacao]], "aaaa-mm")</f>
        <v>2026-02</v>
      </c>
    </row>
    <row r="1523" spans="1:8">
      <c r="A1523">
        <v>1522</v>
      </c>
      <c r="B1523" s="1">
        <v>46073</v>
      </c>
      <c r="C1523" t="s">
        <v>473</v>
      </c>
      <c r="D1523" t="s">
        <v>678</v>
      </c>
      <c r="E1523">
        <v>93</v>
      </c>
      <c r="F1523">
        <v>31</v>
      </c>
      <c r="G1523">
        <v>2972</v>
      </c>
      <c r="H1523" t="str">
        <f>TEXT(TbDespesas[[#This Row],[data_transacao]], "aaaa-mm")</f>
        <v>2026-02</v>
      </c>
    </row>
    <row r="1524" spans="1:8">
      <c r="A1524">
        <v>1523</v>
      </c>
      <c r="B1524" s="1">
        <v>46073</v>
      </c>
      <c r="C1524" t="s">
        <v>473</v>
      </c>
      <c r="D1524" t="s">
        <v>74</v>
      </c>
      <c r="E1524">
        <v>480</v>
      </c>
      <c r="F1524">
        <v>6</v>
      </c>
      <c r="G1524">
        <v>3164</v>
      </c>
      <c r="H1524" t="str">
        <f>TEXT(TbDespesas[[#This Row],[data_transacao]], "aaaa-mm")</f>
        <v>2026-02</v>
      </c>
    </row>
    <row r="1525" spans="1:8">
      <c r="A1525">
        <v>1524</v>
      </c>
      <c r="B1525" s="1">
        <v>46073</v>
      </c>
      <c r="C1525" t="s">
        <v>473</v>
      </c>
      <c r="D1525" t="s">
        <v>133</v>
      </c>
      <c r="E1525">
        <v>190</v>
      </c>
      <c r="F1525">
        <v>13</v>
      </c>
      <c r="G1525">
        <v>2511</v>
      </c>
      <c r="H1525" t="str">
        <f>TEXT(TbDespesas[[#This Row],[data_transacao]], "aaaa-mm")</f>
        <v>2026-02</v>
      </c>
    </row>
    <row r="1526" spans="1:8">
      <c r="A1526">
        <v>1525</v>
      </c>
      <c r="B1526" s="1">
        <v>46073</v>
      </c>
      <c r="C1526" t="s">
        <v>473</v>
      </c>
      <c r="D1526" t="s">
        <v>416</v>
      </c>
      <c r="E1526">
        <v>270</v>
      </c>
      <c r="F1526">
        <v>10</v>
      </c>
      <c r="G1526">
        <v>2723</v>
      </c>
      <c r="H1526" t="str">
        <f>TEXT(TbDespesas[[#This Row],[data_transacao]], "aaaa-mm")</f>
        <v>2026-02</v>
      </c>
    </row>
    <row r="1527" spans="1:8">
      <c r="A1527">
        <v>1526</v>
      </c>
      <c r="B1527" s="1">
        <v>46073</v>
      </c>
      <c r="C1527" t="s">
        <v>473</v>
      </c>
      <c r="D1527" t="s">
        <v>113</v>
      </c>
      <c r="E1527">
        <v>435</v>
      </c>
      <c r="F1527">
        <v>7</v>
      </c>
      <c r="G1527">
        <v>3185</v>
      </c>
      <c r="H1527" t="str">
        <f>TEXT(TbDespesas[[#This Row],[data_transacao]], "aaaa-mm")</f>
        <v>2026-02</v>
      </c>
    </row>
    <row r="1528" spans="1:8">
      <c r="A1528">
        <v>1527</v>
      </c>
      <c r="B1528" s="1">
        <v>46148</v>
      </c>
      <c r="C1528" t="s">
        <v>671</v>
      </c>
      <c r="D1528" t="s">
        <v>59</v>
      </c>
      <c r="E1528">
        <v>314</v>
      </c>
      <c r="F1528">
        <v>6</v>
      </c>
      <c r="G1528">
        <v>2053</v>
      </c>
      <c r="H1528" t="str">
        <f>TEXT(TbDespesas[[#This Row],[data_transacao]], "aaaa-mm")</f>
        <v>2026-05</v>
      </c>
    </row>
    <row r="1529" spans="1:8">
      <c r="A1529">
        <v>1528</v>
      </c>
      <c r="B1529" s="1">
        <v>46148</v>
      </c>
      <c r="C1529" t="s">
        <v>671</v>
      </c>
      <c r="D1529" t="s">
        <v>102</v>
      </c>
      <c r="E1529">
        <v>358</v>
      </c>
      <c r="F1529">
        <v>12</v>
      </c>
      <c r="G1529">
        <v>4453</v>
      </c>
      <c r="H1529" t="str">
        <f>TEXT(TbDespesas[[#This Row],[data_transacao]], "aaaa-mm")</f>
        <v>2026-05</v>
      </c>
    </row>
    <row r="1530" spans="1:8">
      <c r="A1530">
        <v>1529</v>
      </c>
      <c r="B1530" s="1">
        <v>46148</v>
      </c>
      <c r="C1530" t="s">
        <v>671</v>
      </c>
      <c r="D1530" t="s">
        <v>390</v>
      </c>
      <c r="E1530">
        <v>242</v>
      </c>
      <c r="F1530">
        <v>6</v>
      </c>
      <c r="G1530">
        <v>1544</v>
      </c>
      <c r="H1530" t="str">
        <f>TEXT(TbDespesas[[#This Row],[data_transacao]], "aaaa-mm")</f>
        <v>2026-05</v>
      </c>
    </row>
    <row r="1531" spans="1:8">
      <c r="A1531">
        <v>1530</v>
      </c>
      <c r="B1531" s="1">
        <v>46148</v>
      </c>
      <c r="C1531" t="s">
        <v>671</v>
      </c>
      <c r="D1531" t="s">
        <v>608</v>
      </c>
      <c r="E1531">
        <v>22</v>
      </c>
      <c r="F1531">
        <v>107</v>
      </c>
      <c r="G1531">
        <v>2365</v>
      </c>
      <c r="H1531" t="str">
        <f>TEXT(TbDespesas[[#This Row],[data_transacao]], "aaaa-mm")</f>
        <v>2026-05</v>
      </c>
    </row>
    <row r="1532" spans="1:8">
      <c r="A1532">
        <v>1531</v>
      </c>
      <c r="B1532" s="1">
        <v>46148</v>
      </c>
      <c r="C1532" t="s">
        <v>671</v>
      </c>
      <c r="D1532" t="s">
        <v>48</v>
      </c>
      <c r="E1532">
        <v>378</v>
      </c>
      <c r="F1532">
        <v>4</v>
      </c>
      <c r="G1532">
        <v>1749</v>
      </c>
      <c r="H1532" t="str">
        <f>TEXT(TbDespesas[[#This Row],[data_transacao]], "aaaa-mm")</f>
        <v>2026-05</v>
      </c>
    </row>
    <row r="1533" spans="1:8">
      <c r="A1533">
        <v>1532</v>
      </c>
      <c r="B1533" s="1">
        <v>46148</v>
      </c>
      <c r="C1533" t="s">
        <v>671</v>
      </c>
      <c r="D1533" t="s">
        <v>679</v>
      </c>
      <c r="E1533">
        <v>70</v>
      </c>
      <c r="F1533">
        <v>13</v>
      </c>
      <c r="G1533">
        <v>968</v>
      </c>
      <c r="H1533" t="str">
        <f>TEXT(TbDespesas[[#This Row],[data_transacao]], "aaaa-mm")</f>
        <v>2026-05</v>
      </c>
    </row>
    <row r="1534" spans="1:8">
      <c r="A1534">
        <v>1533</v>
      </c>
      <c r="B1534" s="1">
        <v>46148</v>
      </c>
      <c r="C1534" t="s">
        <v>671</v>
      </c>
      <c r="D1534" t="s">
        <v>666</v>
      </c>
      <c r="E1534">
        <v>210</v>
      </c>
      <c r="F1534">
        <v>4</v>
      </c>
      <c r="G1534">
        <v>920</v>
      </c>
      <c r="H1534" t="str">
        <f>TEXT(TbDespesas[[#This Row],[data_transacao]], "aaaa-mm")</f>
        <v>2026-05</v>
      </c>
    </row>
    <row r="1535" spans="1:8">
      <c r="A1535">
        <v>1534</v>
      </c>
      <c r="B1535" s="1">
        <v>46148</v>
      </c>
      <c r="C1535" t="s">
        <v>671</v>
      </c>
      <c r="D1535" t="s">
        <v>375</v>
      </c>
      <c r="E1535">
        <v>275</v>
      </c>
      <c r="F1535">
        <v>8</v>
      </c>
      <c r="G1535">
        <v>2357</v>
      </c>
      <c r="H1535" t="str">
        <f>TEXT(TbDespesas[[#This Row],[data_transacao]], "aaaa-mm")</f>
        <v>2026-05</v>
      </c>
    </row>
    <row r="1536" spans="1:8">
      <c r="A1536">
        <v>1535</v>
      </c>
      <c r="B1536" s="1">
        <v>46148</v>
      </c>
      <c r="C1536" t="s">
        <v>671</v>
      </c>
      <c r="D1536" t="s">
        <v>229</v>
      </c>
      <c r="E1536">
        <v>137</v>
      </c>
      <c r="F1536">
        <v>27</v>
      </c>
      <c r="G1536">
        <v>3714</v>
      </c>
      <c r="H1536" t="str">
        <f>TEXT(TbDespesas[[#This Row],[data_transacao]], "aaaa-mm")</f>
        <v>2026-05</v>
      </c>
    </row>
    <row r="1537" spans="1:8">
      <c r="A1537">
        <v>1536</v>
      </c>
      <c r="B1537" s="1">
        <v>46131</v>
      </c>
      <c r="C1537" t="s">
        <v>651</v>
      </c>
      <c r="D1537" t="s">
        <v>66</v>
      </c>
      <c r="E1537">
        <v>175</v>
      </c>
      <c r="F1537">
        <v>10</v>
      </c>
      <c r="G1537">
        <v>1883</v>
      </c>
      <c r="H1537" t="str">
        <f>TEXT(TbDespesas[[#This Row],[data_transacao]], "aaaa-mm")</f>
        <v>2026-04</v>
      </c>
    </row>
    <row r="1538" spans="1:8">
      <c r="A1538">
        <v>1537</v>
      </c>
      <c r="B1538" s="1">
        <v>46244</v>
      </c>
      <c r="C1538" t="s">
        <v>430</v>
      </c>
      <c r="D1538" t="s">
        <v>78</v>
      </c>
      <c r="E1538">
        <v>484</v>
      </c>
      <c r="F1538">
        <v>2</v>
      </c>
      <c r="G1538">
        <v>1400</v>
      </c>
      <c r="H1538" t="str">
        <f>TEXT(TbDespesas[[#This Row],[data_transacao]], "aaaa-mm")</f>
        <v>2026-08</v>
      </c>
    </row>
    <row r="1539" spans="1:8">
      <c r="A1539">
        <v>1538</v>
      </c>
      <c r="B1539" s="1">
        <v>46244</v>
      </c>
      <c r="C1539" t="s">
        <v>430</v>
      </c>
      <c r="D1539" t="s">
        <v>456</v>
      </c>
      <c r="E1539">
        <v>197</v>
      </c>
      <c r="F1539">
        <v>4</v>
      </c>
      <c r="G1539">
        <v>904</v>
      </c>
      <c r="H1539" t="str">
        <f>TEXT(TbDespesas[[#This Row],[data_transacao]], "aaaa-mm")</f>
        <v>2026-08</v>
      </c>
    </row>
    <row r="1540" spans="1:8">
      <c r="A1540">
        <v>1539</v>
      </c>
      <c r="B1540" s="1">
        <v>46244</v>
      </c>
      <c r="C1540" t="s">
        <v>430</v>
      </c>
      <c r="D1540" t="s">
        <v>600</v>
      </c>
      <c r="E1540">
        <v>131</v>
      </c>
      <c r="F1540">
        <v>14</v>
      </c>
      <c r="G1540">
        <v>1850</v>
      </c>
      <c r="H1540" t="str">
        <f>TEXT(TbDespesas[[#This Row],[data_transacao]], "aaaa-mm")</f>
        <v>2026-08</v>
      </c>
    </row>
    <row r="1541" spans="1:8">
      <c r="A1541">
        <v>1540</v>
      </c>
      <c r="B1541" s="1">
        <v>46244</v>
      </c>
      <c r="C1541" t="s">
        <v>430</v>
      </c>
      <c r="D1541" t="s">
        <v>592</v>
      </c>
      <c r="E1541">
        <v>133</v>
      </c>
      <c r="F1541">
        <v>22</v>
      </c>
      <c r="G1541">
        <v>3038</v>
      </c>
      <c r="H1541" t="str">
        <f>TEXT(TbDespesas[[#This Row],[data_transacao]], "aaaa-mm")</f>
        <v>2026-08</v>
      </c>
    </row>
    <row r="1542" spans="1:8">
      <c r="A1542">
        <v>1541</v>
      </c>
      <c r="B1542" s="1">
        <v>46244</v>
      </c>
      <c r="C1542" t="s">
        <v>430</v>
      </c>
      <c r="D1542" t="s">
        <v>370</v>
      </c>
      <c r="E1542">
        <v>407</v>
      </c>
      <c r="F1542">
        <v>7</v>
      </c>
      <c r="G1542">
        <v>3054</v>
      </c>
      <c r="H1542" t="str">
        <f>TEXT(TbDespesas[[#This Row],[data_transacao]], "aaaa-mm")</f>
        <v>2026-08</v>
      </c>
    </row>
    <row r="1543" spans="1:8">
      <c r="A1543">
        <v>1542</v>
      </c>
      <c r="B1543" s="1">
        <v>46244</v>
      </c>
      <c r="C1543" t="s">
        <v>430</v>
      </c>
      <c r="D1543" t="s">
        <v>204</v>
      </c>
      <c r="E1543">
        <v>39</v>
      </c>
      <c r="F1543">
        <v>25</v>
      </c>
      <c r="G1543">
        <v>1003</v>
      </c>
      <c r="H1543" t="str">
        <f>TEXT(TbDespesas[[#This Row],[data_transacao]], "aaaa-mm")</f>
        <v>2026-08</v>
      </c>
    </row>
    <row r="1544" spans="1:8">
      <c r="A1544">
        <v>1543</v>
      </c>
      <c r="B1544" s="1">
        <v>46015</v>
      </c>
      <c r="C1544" t="s">
        <v>237</v>
      </c>
      <c r="D1544" t="s">
        <v>668</v>
      </c>
      <c r="E1544">
        <v>352</v>
      </c>
      <c r="F1544">
        <v>10</v>
      </c>
      <c r="G1544">
        <v>3684</v>
      </c>
      <c r="H1544" t="str">
        <f>TEXT(TbDespesas[[#This Row],[data_transacao]], "aaaa-mm")</f>
        <v>2025-12</v>
      </c>
    </row>
    <row r="1545" spans="1:8">
      <c r="A1545">
        <v>1544</v>
      </c>
      <c r="B1545" s="1">
        <v>46015</v>
      </c>
      <c r="C1545" t="s">
        <v>237</v>
      </c>
      <c r="D1545" t="s">
        <v>239</v>
      </c>
      <c r="E1545">
        <v>287</v>
      </c>
      <c r="F1545">
        <v>8</v>
      </c>
      <c r="G1545">
        <v>2553</v>
      </c>
      <c r="H1545" t="str">
        <f>TEXT(TbDespesas[[#This Row],[data_transacao]], "aaaa-mm")</f>
        <v>2025-12</v>
      </c>
    </row>
    <row r="1546" spans="1:8">
      <c r="A1546">
        <v>1545</v>
      </c>
      <c r="B1546" s="1">
        <v>46015</v>
      </c>
      <c r="C1546" t="s">
        <v>237</v>
      </c>
      <c r="D1546" t="s">
        <v>44</v>
      </c>
      <c r="E1546">
        <v>25</v>
      </c>
      <c r="F1546">
        <v>111</v>
      </c>
      <c r="G1546">
        <v>2796</v>
      </c>
      <c r="H1546" t="str">
        <f>TEXT(TbDespesas[[#This Row],[data_transacao]], "aaaa-mm")</f>
        <v>2025-12</v>
      </c>
    </row>
    <row r="1547" spans="1:8">
      <c r="A1547">
        <v>1546</v>
      </c>
      <c r="B1547" s="1">
        <v>46015</v>
      </c>
      <c r="C1547" t="s">
        <v>237</v>
      </c>
      <c r="D1547" t="s">
        <v>141</v>
      </c>
      <c r="E1547">
        <v>112</v>
      </c>
      <c r="F1547">
        <v>15</v>
      </c>
      <c r="G1547">
        <v>1710</v>
      </c>
      <c r="H1547" t="str">
        <f>TEXT(TbDespesas[[#This Row],[data_transacao]], "aaaa-mm")</f>
        <v>2025-12</v>
      </c>
    </row>
    <row r="1548" spans="1:8">
      <c r="A1548">
        <v>1547</v>
      </c>
      <c r="B1548" s="1">
        <v>46015</v>
      </c>
      <c r="C1548" t="s">
        <v>237</v>
      </c>
      <c r="D1548" t="s">
        <v>163</v>
      </c>
      <c r="E1548">
        <v>340</v>
      </c>
      <c r="F1548">
        <v>3</v>
      </c>
      <c r="G1548">
        <v>1309</v>
      </c>
      <c r="H1548" t="str">
        <f>TEXT(TbDespesas[[#This Row],[data_transacao]], "aaaa-mm")</f>
        <v>2025-12</v>
      </c>
    </row>
    <row r="1549" spans="1:8">
      <c r="A1549">
        <v>1548</v>
      </c>
      <c r="B1549" s="1">
        <v>45919</v>
      </c>
      <c r="C1549" t="s">
        <v>462</v>
      </c>
      <c r="D1549" t="s">
        <v>561</v>
      </c>
      <c r="E1549">
        <v>193</v>
      </c>
      <c r="F1549">
        <v>1</v>
      </c>
      <c r="G1549">
        <v>194</v>
      </c>
      <c r="H1549" t="str">
        <f>TEXT(TbDespesas[[#This Row],[data_transacao]], "aaaa-mm")</f>
        <v>2025-09</v>
      </c>
    </row>
    <row r="1550" spans="1:8">
      <c r="A1550">
        <v>1549</v>
      </c>
      <c r="B1550" s="1">
        <v>45919</v>
      </c>
      <c r="C1550" t="s">
        <v>462</v>
      </c>
      <c r="D1550" t="s">
        <v>570</v>
      </c>
      <c r="E1550">
        <v>314</v>
      </c>
      <c r="F1550">
        <v>3</v>
      </c>
      <c r="G1550">
        <v>1229</v>
      </c>
      <c r="H1550" t="str">
        <f>TEXT(TbDespesas[[#This Row],[data_transacao]], "aaaa-mm")</f>
        <v>2025-09</v>
      </c>
    </row>
    <row r="1551" spans="1:8">
      <c r="A1551">
        <v>1550</v>
      </c>
      <c r="B1551" s="1">
        <v>45919</v>
      </c>
      <c r="C1551" t="s">
        <v>462</v>
      </c>
      <c r="D1551" t="s">
        <v>546</v>
      </c>
      <c r="E1551">
        <v>275</v>
      </c>
      <c r="F1551">
        <v>9</v>
      </c>
      <c r="G1551">
        <v>2563</v>
      </c>
      <c r="H1551" t="str">
        <f>TEXT(TbDespesas[[#This Row],[data_transacao]], "aaaa-mm")</f>
        <v>2025-09</v>
      </c>
    </row>
    <row r="1552" spans="1:8">
      <c r="A1552">
        <v>1551</v>
      </c>
      <c r="B1552" s="1">
        <v>45919</v>
      </c>
      <c r="C1552" t="s">
        <v>462</v>
      </c>
      <c r="D1552" t="s">
        <v>202</v>
      </c>
      <c r="E1552">
        <v>169</v>
      </c>
      <c r="F1552">
        <v>10</v>
      </c>
      <c r="G1552">
        <v>1846</v>
      </c>
      <c r="H1552" t="str">
        <f>TEXT(TbDespesas[[#This Row],[data_transacao]], "aaaa-mm")</f>
        <v>2025-09</v>
      </c>
    </row>
    <row r="1553" spans="1:8">
      <c r="A1553">
        <v>1552</v>
      </c>
      <c r="B1553" s="1">
        <v>46273</v>
      </c>
      <c r="C1553" t="s">
        <v>289</v>
      </c>
      <c r="D1553" t="s">
        <v>480</v>
      </c>
      <c r="E1553">
        <v>373</v>
      </c>
      <c r="F1553">
        <v>5</v>
      </c>
      <c r="G1553">
        <v>1885</v>
      </c>
      <c r="H1553" t="str">
        <f>TEXT(TbDespesas[[#This Row],[data_transacao]], "aaaa-mm")</f>
        <v>2026-09</v>
      </c>
    </row>
    <row r="1554" spans="1:8">
      <c r="A1554">
        <v>1553</v>
      </c>
      <c r="B1554" s="1">
        <v>46273</v>
      </c>
      <c r="C1554" t="s">
        <v>289</v>
      </c>
      <c r="D1554" t="s">
        <v>680</v>
      </c>
      <c r="E1554">
        <v>201</v>
      </c>
      <c r="F1554">
        <v>15</v>
      </c>
      <c r="G1554">
        <v>3167</v>
      </c>
      <c r="H1554" t="str">
        <f>TEXT(TbDespesas[[#This Row],[data_transacao]], "aaaa-mm")</f>
        <v>2026-09</v>
      </c>
    </row>
    <row r="1555" spans="1:8">
      <c r="A1555">
        <v>1554</v>
      </c>
      <c r="B1555" s="1">
        <v>46273</v>
      </c>
      <c r="C1555" t="s">
        <v>289</v>
      </c>
      <c r="D1555" t="s">
        <v>371</v>
      </c>
      <c r="E1555">
        <v>235</v>
      </c>
      <c r="F1555">
        <v>6</v>
      </c>
      <c r="G1555">
        <v>1629</v>
      </c>
      <c r="H1555" t="str">
        <f>TEXT(TbDespesas[[#This Row],[data_transacao]], "aaaa-mm")</f>
        <v>2026-09</v>
      </c>
    </row>
    <row r="1556" spans="1:8">
      <c r="A1556">
        <v>1555</v>
      </c>
      <c r="B1556" s="1">
        <v>46273</v>
      </c>
      <c r="C1556" t="s">
        <v>289</v>
      </c>
      <c r="D1556" t="s">
        <v>410</v>
      </c>
      <c r="E1556">
        <v>369</v>
      </c>
      <c r="F1556">
        <v>5</v>
      </c>
      <c r="G1556">
        <v>1846</v>
      </c>
      <c r="H1556" t="str">
        <f>TEXT(TbDespesas[[#This Row],[data_transacao]], "aaaa-mm")</f>
        <v>2026-09</v>
      </c>
    </row>
    <row r="1557" spans="1:8">
      <c r="A1557">
        <v>1556</v>
      </c>
      <c r="B1557" s="1">
        <v>46273</v>
      </c>
      <c r="C1557" t="s">
        <v>289</v>
      </c>
      <c r="D1557" t="s">
        <v>196</v>
      </c>
      <c r="E1557">
        <v>210</v>
      </c>
      <c r="F1557">
        <v>12</v>
      </c>
      <c r="G1557">
        <v>2579</v>
      </c>
      <c r="H1557" t="str">
        <f>TEXT(TbDespesas[[#This Row],[data_transacao]], "aaaa-mm")</f>
        <v>2026-09</v>
      </c>
    </row>
    <row r="1558" spans="1:8">
      <c r="A1558">
        <v>1557</v>
      </c>
      <c r="B1558" s="1">
        <v>46273</v>
      </c>
      <c r="C1558" t="s">
        <v>289</v>
      </c>
      <c r="D1558" t="s">
        <v>82</v>
      </c>
      <c r="E1558">
        <v>25</v>
      </c>
      <c r="F1558">
        <v>73</v>
      </c>
      <c r="G1558">
        <v>1832</v>
      </c>
      <c r="H1558" t="str">
        <f>TEXT(TbDespesas[[#This Row],[data_transacao]], "aaaa-mm")</f>
        <v>2026-09</v>
      </c>
    </row>
    <row r="1559" spans="1:8">
      <c r="A1559">
        <v>1558</v>
      </c>
      <c r="B1559" s="1">
        <v>46257</v>
      </c>
      <c r="C1559" t="s">
        <v>681</v>
      </c>
      <c r="D1559" t="s">
        <v>74</v>
      </c>
      <c r="E1559">
        <v>28</v>
      </c>
      <c r="F1559">
        <v>55</v>
      </c>
      <c r="G1559">
        <v>1567</v>
      </c>
      <c r="H1559" t="str">
        <f>TEXT(TbDespesas[[#This Row],[data_transacao]], "aaaa-mm")</f>
        <v>2026-08</v>
      </c>
    </row>
    <row r="1560" spans="1:8">
      <c r="A1560">
        <v>1559</v>
      </c>
      <c r="B1560" s="1">
        <v>46257</v>
      </c>
      <c r="C1560" t="s">
        <v>681</v>
      </c>
      <c r="D1560" t="s">
        <v>89</v>
      </c>
      <c r="E1560">
        <v>482</v>
      </c>
      <c r="F1560">
        <v>4</v>
      </c>
      <c r="G1560">
        <v>2338</v>
      </c>
      <c r="H1560" t="str">
        <f>TEXT(TbDespesas[[#This Row],[data_transacao]], "aaaa-mm")</f>
        <v>2026-08</v>
      </c>
    </row>
    <row r="1561" spans="1:8">
      <c r="A1561">
        <v>1560</v>
      </c>
      <c r="B1561" s="1">
        <v>46257</v>
      </c>
      <c r="C1561" t="s">
        <v>681</v>
      </c>
      <c r="D1561" t="s">
        <v>254</v>
      </c>
      <c r="E1561">
        <v>324</v>
      </c>
      <c r="F1561">
        <v>4</v>
      </c>
      <c r="G1561">
        <v>1444</v>
      </c>
      <c r="H1561" t="str">
        <f>TEXT(TbDespesas[[#This Row],[data_transacao]], "aaaa-mm")</f>
        <v>2026-08</v>
      </c>
    </row>
    <row r="1562" spans="1:8">
      <c r="A1562">
        <v>1561</v>
      </c>
      <c r="B1562" s="1">
        <v>46257</v>
      </c>
      <c r="C1562" t="s">
        <v>681</v>
      </c>
      <c r="D1562" t="s">
        <v>133</v>
      </c>
      <c r="E1562">
        <v>418</v>
      </c>
      <c r="F1562">
        <v>5</v>
      </c>
      <c r="G1562">
        <v>2472</v>
      </c>
      <c r="H1562" t="str">
        <f>TEXT(TbDespesas[[#This Row],[data_transacao]], "aaaa-mm")</f>
        <v>2026-08</v>
      </c>
    </row>
    <row r="1563" spans="1:8">
      <c r="A1563">
        <v>1562</v>
      </c>
      <c r="B1563" s="1">
        <v>46257</v>
      </c>
      <c r="C1563" t="s">
        <v>681</v>
      </c>
      <c r="D1563" t="s">
        <v>198</v>
      </c>
      <c r="E1563">
        <v>373</v>
      </c>
      <c r="F1563">
        <v>7</v>
      </c>
      <c r="G1563">
        <v>2619</v>
      </c>
      <c r="H1563" t="str">
        <f>TEXT(TbDespesas[[#This Row],[data_transacao]], "aaaa-mm")</f>
        <v>2026-08</v>
      </c>
    </row>
    <row r="1564" spans="1:8">
      <c r="A1564">
        <v>1563</v>
      </c>
      <c r="B1564" s="1">
        <v>46257</v>
      </c>
      <c r="C1564" t="s">
        <v>681</v>
      </c>
      <c r="D1564" t="s">
        <v>255</v>
      </c>
      <c r="E1564">
        <v>306</v>
      </c>
      <c r="F1564">
        <v>8</v>
      </c>
      <c r="G1564">
        <v>2680</v>
      </c>
      <c r="H1564" t="str">
        <f>TEXT(TbDespesas[[#This Row],[data_transacao]], "aaaa-mm")</f>
        <v>2026-08</v>
      </c>
    </row>
    <row r="1565" spans="1:8">
      <c r="A1565">
        <v>1564</v>
      </c>
      <c r="B1565" s="1">
        <v>46257</v>
      </c>
      <c r="C1565" t="s">
        <v>681</v>
      </c>
      <c r="D1565" t="s">
        <v>85</v>
      </c>
      <c r="E1565">
        <v>366</v>
      </c>
      <c r="F1565">
        <v>3</v>
      </c>
      <c r="G1565">
        <v>1283</v>
      </c>
      <c r="H1565" t="str">
        <f>TEXT(TbDespesas[[#This Row],[data_transacao]], "aaaa-mm")</f>
        <v>2026-08</v>
      </c>
    </row>
    <row r="1566" spans="1:8">
      <c r="A1566">
        <v>1565</v>
      </c>
      <c r="B1566" s="1">
        <v>46257</v>
      </c>
      <c r="C1566" t="s">
        <v>681</v>
      </c>
      <c r="D1566" t="s">
        <v>508</v>
      </c>
      <c r="E1566">
        <v>153</v>
      </c>
      <c r="F1566">
        <v>19</v>
      </c>
      <c r="G1566">
        <v>2975</v>
      </c>
      <c r="H1566" t="str">
        <f>TEXT(TbDespesas[[#This Row],[data_transacao]], "aaaa-mm")</f>
        <v>2026-08</v>
      </c>
    </row>
    <row r="1567" spans="1:8">
      <c r="A1567">
        <v>1566</v>
      </c>
      <c r="B1567" s="1">
        <v>46257</v>
      </c>
      <c r="C1567" t="s">
        <v>681</v>
      </c>
      <c r="D1567" t="s">
        <v>389</v>
      </c>
      <c r="E1567">
        <v>73</v>
      </c>
      <c r="F1567">
        <v>69</v>
      </c>
      <c r="G1567">
        <v>5103</v>
      </c>
      <c r="H1567" t="str">
        <f>TEXT(TbDespesas[[#This Row],[data_transacao]], "aaaa-mm")</f>
        <v>2026-08</v>
      </c>
    </row>
    <row r="1568" spans="1:8">
      <c r="A1568">
        <v>1567</v>
      </c>
      <c r="B1568" s="1">
        <v>46085</v>
      </c>
      <c r="C1568" t="s">
        <v>673</v>
      </c>
      <c r="D1568" t="s">
        <v>250</v>
      </c>
      <c r="E1568">
        <v>343</v>
      </c>
      <c r="F1568">
        <v>5</v>
      </c>
      <c r="G1568">
        <v>1726</v>
      </c>
      <c r="H1568" t="str">
        <f>TEXT(TbDespesas[[#This Row],[data_transacao]], "aaaa-mm")</f>
        <v>2026-03</v>
      </c>
    </row>
    <row r="1569" spans="1:8">
      <c r="A1569">
        <v>1568</v>
      </c>
      <c r="B1569" s="1">
        <v>46085</v>
      </c>
      <c r="C1569" t="s">
        <v>673</v>
      </c>
      <c r="D1569" t="s">
        <v>241</v>
      </c>
      <c r="E1569">
        <v>247</v>
      </c>
      <c r="F1569">
        <v>9</v>
      </c>
      <c r="G1569">
        <v>2391</v>
      </c>
      <c r="H1569" t="str">
        <f>TEXT(TbDespesas[[#This Row],[data_transacao]], "aaaa-mm")</f>
        <v>2026-03</v>
      </c>
    </row>
    <row r="1570" spans="1:8">
      <c r="A1570">
        <v>1569</v>
      </c>
      <c r="B1570" s="1">
        <v>46085</v>
      </c>
      <c r="C1570" t="s">
        <v>673</v>
      </c>
      <c r="D1570" t="s">
        <v>145</v>
      </c>
      <c r="E1570">
        <v>67</v>
      </c>
      <c r="F1570">
        <v>16</v>
      </c>
      <c r="G1570">
        <v>1105</v>
      </c>
      <c r="H1570" t="str">
        <f>TEXT(TbDespesas[[#This Row],[data_transacao]], "aaaa-mm")</f>
        <v>2026-03</v>
      </c>
    </row>
    <row r="1571" spans="1:8">
      <c r="A1571">
        <v>1570</v>
      </c>
      <c r="B1571" s="1">
        <v>46085</v>
      </c>
      <c r="C1571" t="s">
        <v>673</v>
      </c>
      <c r="D1571" t="s">
        <v>640</v>
      </c>
      <c r="E1571">
        <v>212</v>
      </c>
      <c r="F1571">
        <v>7</v>
      </c>
      <c r="G1571">
        <v>1660</v>
      </c>
      <c r="H1571" t="str">
        <f>TEXT(TbDespesas[[#This Row],[data_transacao]], "aaaa-mm")</f>
        <v>2026-03</v>
      </c>
    </row>
    <row r="1572" spans="1:8">
      <c r="A1572">
        <v>1571</v>
      </c>
      <c r="B1572" s="1">
        <v>46085</v>
      </c>
      <c r="C1572" t="s">
        <v>673</v>
      </c>
      <c r="D1572" t="s">
        <v>626</v>
      </c>
      <c r="E1572">
        <v>238</v>
      </c>
      <c r="F1572">
        <v>9</v>
      </c>
      <c r="G1572">
        <v>2310</v>
      </c>
      <c r="H1572" t="str">
        <f>TEXT(TbDespesas[[#This Row],[data_transacao]], "aaaa-mm")</f>
        <v>2026-03</v>
      </c>
    </row>
    <row r="1573" spans="1:8">
      <c r="A1573">
        <v>1572</v>
      </c>
      <c r="B1573" s="1">
        <v>46064</v>
      </c>
      <c r="C1573" t="s">
        <v>499</v>
      </c>
      <c r="D1573" t="s">
        <v>178</v>
      </c>
      <c r="E1573">
        <v>10</v>
      </c>
      <c r="F1573">
        <v>199</v>
      </c>
      <c r="G1573">
        <v>1992</v>
      </c>
      <c r="H1573" t="str">
        <f>TEXT(TbDespesas[[#This Row],[data_transacao]], "aaaa-mm")</f>
        <v>2026-02</v>
      </c>
    </row>
    <row r="1574" spans="1:8">
      <c r="A1574">
        <v>1573</v>
      </c>
      <c r="B1574" s="1">
        <v>46064</v>
      </c>
      <c r="C1574" t="s">
        <v>499</v>
      </c>
      <c r="D1574" t="s">
        <v>323</v>
      </c>
      <c r="E1574">
        <v>491</v>
      </c>
      <c r="F1574">
        <v>5</v>
      </c>
      <c r="G1574">
        <v>2786</v>
      </c>
      <c r="H1574" t="str">
        <f>TEXT(TbDespesas[[#This Row],[data_transacao]], "aaaa-mm")</f>
        <v>2026-02</v>
      </c>
    </row>
    <row r="1575" spans="1:8">
      <c r="A1575">
        <v>1574</v>
      </c>
      <c r="B1575" s="1">
        <v>46064</v>
      </c>
      <c r="C1575" t="s">
        <v>499</v>
      </c>
      <c r="D1575" t="s">
        <v>433</v>
      </c>
      <c r="E1575">
        <v>269</v>
      </c>
      <c r="F1575">
        <v>6</v>
      </c>
      <c r="G1575">
        <v>1644</v>
      </c>
      <c r="H1575" t="str">
        <f>TEXT(TbDespesas[[#This Row],[data_transacao]], "aaaa-mm")</f>
        <v>2026-02</v>
      </c>
    </row>
    <row r="1576" spans="1:8">
      <c r="A1576">
        <v>1575</v>
      </c>
      <c r="B1576" s="1">
        <v>46064</v>
      </c>
      <c r="C1576" t="s">
        <v>499</v>
      </c>
      <c r="D1576" t="s">
        <v>550</v>
      </c>
      <c r="E1576">
        <v>93</v>
      </c>
      <c r="F1576">
        <v>16</v>
      </c>
      <c r="G1576">
        <v>1539</v>
      </c>
      <c r="H1576" t="str">
        <f>TEXT(TbDespesas[[#This Row],[data_transacao]], "aaaa-mm")</f>
        <v>2026-02</v>
      </c>
    </row>
    <row r="1577" spans="1:8">
      <c r="A1577">
        <v>1576</v>
      </c>
      <c r="B1577" s="1">
        <v>46064</v>
      </c>
      <c r="C1577" t="s">
        <v>499</v>
      </c>
      <c r="D1577" t="s">
        <v>624</v>
      </c>
      <c r="E1577">
        <v>94</v>
      </c>
      <c r="F1577">
        <v>4</v>
      </c>
      <c r="G1577">
        <v>401</v>
      </c>
      <c r="H1577" t="str">
        <f>TEXT(TbDespesas[[#This Row],[data_transacao]], "aaaa-mm")</f>
        <v>2026-02</v>
      </c>
    </row>
    <row r="1578" spans="1:8">
      <c r="A1578">
        <v>1577</v>
      </c>
      <c r="B1578" s="1">
        <v>45974</v>
      </c>
      <c r="C1578" t="s">
        <v>73</v>
      </c>
      <c r="D1578" t="s">
        <v>145</v>
      </c>
      <c r="E1578">
        <v>220</v>
      </c>
      <c r="F1578">
        <v>9</v>
      </c>
      <c r="G1578">
        <v>2022</v>
      </c>
      <c r="H1578" t="str">
        <f>TEXT(TbDespesas[[#This Row],[data_transacao]], "aaaa-mm")</f>
        <v>2025-11</v>
      </c>
    </row>
    <row r="1579" spans="1:8">
      <c r="A1579">
        <v>1578</v>
      </c>
      <c r="B1579" s="1">
        <v>45974</v>
      </c>
      <c r="C1579" t="s">
        <v>73</v>
      </c>
      <c r="D1579" t="s">
        <v>294</v>
      </c>
      <c r="E1579">
        <v>295</v>
      </c>
      <c r="F1579">
        <v>4</v>
      </c>
      <c r="G1579">
        <v>1306</v>
      </c>
      <c r="H1579" t="str">
        <f>TEXT(TbDespesas[[#This Row],[data_transacao]], "aaaa-mm")</f>
        <v>2025-11</v>
      </c>
    </row>
    <row r="1580" spans="1:8">
      <c r="A1580">
        <v>1579</v>
      </c>
      <c r="B1580" s="1">
        <v>45974</v>
      </c>
      <c r="C1580" t="s">
        <v>73</v>
      </c>
      <c r="D1580" t="s">
        <v>170</v>
      </c>
      <c r="E1580">
        <v>455</v>
      </c>
      <c r="F1580">
        <v>5</v>
      </c>
      <c r="G1580">
        <v>2468</v>
      </c>
      <c r="H1580" t="str">
        <f>TEXT(TbDespesas[[#This Row],[data_transacao]], "aaaa-mm")</f>
        <v>2025-11</v>
      </c>
    </row>
    <row r="1581" spans="1:8">
      <c r="A1581">
        <v>1580</v>
      </c>
      <c r="B1581" s="1">
        <v>45974</v>
      </c>
      <c r="C1581" t="s">
        <v>73</v>
      </c>
      <c r="D1581" t="s">
        <v>648</v>
      </c>
      <c r="E1581">
        <v>40</v>
      </c>
      <c r="F1581">
        <v>80</v>
      </c>
      <c r="G1581">
        <v>3215</v>
      </c>
      <c r="H1581" t="str">
        <f>TEXT(TbDespesas[[#This Row],[data_transacao]], "aaaa-mm")</f>
        <v>2025-11</v>
      </c>
    </row>
    <row r="1582" spans="1:8">
      <c r="A1582">
        <v>1581</v>
      </c>
      <c r="B1582" s="1">
        <v>45974</v>
      </c>
      <c r="C1582" t="s">
        <v>73</v>
      </c>
      <c r="D1582" t="s">
        <v>199</v>
      </c>
      <c r="E1582">
        <v>286</v>
      </c>
      <c r="F1582">
        <v>6</v>
      </c>
      <c r="G1582">
        <v>1909</v>
      </c>
      <c r="H1582" t="str">
        <f>TEXT(TbDespesas[[#This Row],[data_transacao]], "aaaa-mm")</f>
        <v>2025-11</v>
      </c>
    </row>
    <row r="1583" spans="1:8">
      <c r="A1583">
        <v>1582</v>
      </c>
      <c r="B1583" s="1">
        <v>45974</v>
      </c>
      <c r="C1583" t="s">
        <v>73</v>
      </c>
      <c r="D1583" t="s">
        <v>510</v>
      </c>
      <c r="E1583">
        <v>220</v>
      </c>
      <c r="F1583">
        <v>7</v>
      </c>
      <c r="G1583">
        <v>1610</v>
      </c>
      <c r="H1583" t="str">
        <f>TEXT(TbDespesas[[#This Row],[data_transacao]], "aaaa-mm")</f>
        <v>2025-11</v>
      </c>
    </row>
    <row r="1584" spans="1:8">
      <c r="A1584">
        <v>1583</v>
      </c>
      <c r="B1584" s="1">
        <v>45974</v>
      </c>
      <c r="C1584" t="s">
        <v>73</v>
      </c>
      <c r="D1584" t="s">
        <v>374</v>
      </c>
      <c r="E1584">
        <v>453</v>
      </c>
      <c r="F1584">
        <v>4</v>
      </c>
      <c r="G1584">
        <v>2106</v>
      </c>
      <c r="H1584" t="str">
        <f>TEXT(TbDespesas[[#This Row],[data_transacao]], "aaaa-mm")</f>
        <v>2025-11</v>
      </c>
    </row>
    <row r="1585" spans="1:8">
      <c r="A1585">
        <v>1584</v>
      </c>
      <c r="B1585" s="1">
        <v>45974</v>
      </c>
      <c r="C1585" t="s">
        <v>73</v>
      </c>
      <c r="D1585" t="s">
        <v>198</v>
      </c>
      <c r="E1585">
        <v>266</v>
      </c>
      <c r="F1585">
        <v>5</v>
      </c>
      <c r="G1585">
        <v>1433</v>
      </c>
      <c r="H1585" t="str">
        <f>TEXT(TbDespesas[[#This Row],[data_transacao]], "aaaa-mm")</f>
        <v>2025-11</v>
      </c>
    </row>
    <row r="1586" spans="1:8">
      <c r="A1586">
        <v>1585</v>
      </c>
      <c r="B1586" s="1">
        <v>45974</v>
      </c>
      <c r="C1586" t="s">
        <v>73</v>
      </c>
      <c r="D1586" t="s">
        <v>393</v>
      </c>
      <c r="E1586">
        <v>290</v>
      </c>
      <c r="F1586">
        <v>8</v>
      </c>
      <c r="G1586">
        <v>2369</v>
      </c>
      <c r="H1586" t="str">
        <f>TEXT(TbDespesas[[#This Row],[data_transacao]], "aaaa-mm")</f>
        <v>2025-11</v>
      </c>
    </row>
    <row r="1587" spans="1:8">
      <c r="A1587">
        <v>1586</v>
      </c>
      <c r="B1587" s="1">
        <v>45974</v>
      </c>
      <c r="C1587" t="s">
        <v>73</v>
      </c>
      <c r="D1587" t="s">
        <v>339</v>
      </c>
      <c r="E1587">
        <v>481</v>
      </c>
      <c r="F1587">
        <v>4</v>
      </c>
      <c r="G1587">
        <v>2145</v>
      </c>
      <c r="H1587" t="str">
        <f>TEXT(TbDespesas[[#This Row],[data_transacao]], "aaaa-mm")</f>
        <v>2025-11</v>
      </c>
    </row>
    <row r="1588" spans="1:8">
      <c r="A1588">
        <v>1587</v>
      </c>
      <c r="B1588" s="1">
        <v>45974</v>
      </c>
      <c r="C1588" t="s">
        <v>73</v>
      </c>
      <c r="D1588" t="s">
        <v>10</v>
      </c>
      <c r="E1588">
        <v>15</v>
      </c>
      <c r="F1588">
        <v>139</v>
      </c>
      <c r="G1588">
        <v>2087</v>
      </c>
      <c r="H1588" t="str">
        <f>TEXT(TbDespesas[[#This Row],[data_transacao]], "aaaa-mm")</f>
        <v>2025-11</v>
      </c>
    </row>
    <row r="1589" spans="1:8">
      <c r="A1589">
        <v>1588</v>
      </c>
      <c r="B1589" s="1">
        <v>45974</v>
      </c>
      <c r="C1589" t="s">
        <v>73</v>
      </c>
      <c r="D1589" t="s">
        <v>682</v>
      </c>
      <c r="E1589">
        <v>141</v>
      </c>
      <c r="F1589">
        <v>12</v>
      </c>
      <c r="G1589">
        <v>1713</v>
      </c>
      <c r="H1589" t="str">
        <f>TEXT(TbDespesas[[#This Row],[data_transacao]], "aaaa-mm")</f>
        <v>2025-11</v>
      </c>
    </row>
    <row r="1590" spans="1:8">
      <c r="A1590">
        <v>1589</v>
      </c>
      <c r="B1590" s="1">
        <v>46177</v>
      </c>
      <c r="C1590" t="s">
        <v>643</v>
      </c>
      <c r="D1590" t="s">
        <v>543</v>
      </c>
      <c r="E1590">
        <v>45</v>
      </c>
      <c r="F1590">
        <v>47</v>
      </c>
      <c r="G1590">
        <v>2144</v>
      </c>
      <c r="H1590" t="str">
        <f>TEXT(TbDespesas[[#This Row],[data_transacao]], "aaaa-mm")</f>
        <v>2026-06</v>
      </c>
    </row>
    <row r="1591" spans="1:8">
      <c r="A1591">
        <v>1590</v>
      </c>
      <c r="B1591" s="1">
        <v>46177</v>
      </c>
      <c r="C1591" t="s">
        <v>643</v>
      </c>
      <c r="D1591" t="s">
        <v>296</v>
      </c>
      <c r="E1591">
        <v>146</v>
      </c>
      <c r="F1591">
        <v>10</v>
      </c>
      <c r="G1591">
        <v>1548</v>
      </c>
      <c r="H1591" t="str">
        <f>TEXT(TbDespesas[[#This Row],[data_transacao]], "aaaa-mm")</f>
        <v>2026-06</v>
      </c>
    </row>
    <row r="1592" spans="1:8">
      <c r="A1592">
        <v>1591</v>
      </c>
      <c r="B1592" s="1">
        <v>46177</v>
      </c>
      <c r="C1592" t="s">
        <v>643</v>
      </c>
      <c r="D1592" t="s">
        <v>387</v>
      </c>
      <c r="E1592">
        <v>487</v>
      </c>
      <c r="F1592">
        <v>4</v>
      </c>
      <c r="G1592">
        <v>2173</v>
      </c>
      <c r="H1592" t="str">
        <f>TEXT(TbDespesas[[#This Row],[data_transacao]], "aaaa-mm")</f>
        <v>2026-06</v>
      </c>
    </row>
    <row r="1593" spans="1:8">
      <c r="A1593">
        <v>1592</v>
      </c>
      <c r="B1593" s="1">
        <v>46177</v>
      </c>
      <c r="C1593" t="s">
        <v>643</v>
      </c>
      <c r="D1593" t="s">
        <v>394</v>
      </c>
      <c r="E1593">
        <v>16</v>
      </c>
      <c r="F1593">
        <v>61</v>
      </c>
      <c r="G1593">
        <v>990</v>
      </c>
      <c r="H1593" t="str">
        <f>TEXT(TbDespesas[[#This Row],[data_transacao]], "aaaa-mm")</f>
        <v>2026-06</v>
      </c>
    </row>
    <row r="1594" spans="1:8">
      <c r="A1594">
        <v>1593</v>
      </c>
      <c r="B1594" s="1">
        <v>46177</v>
      </c>
      <c r="C1594" t="s">
        <v>643</v>
      </c>
      <c r="D1594" t="s">
        <v>261</v>
      </c>
      <c r="E1594">
        <v>148</v>
      </c>
      <c r="F1594">
        <v>16</v>
      </c>
      <c r="G1594">
        <v>2391</v>
      </c>
      <c r="H1594" t="str">
        <f>TEXT(TbDespesas[[#This Row],[data_transacao]], "aaaa-mm")</f>
        <v>2026-06</v>
      </c>
    </row>
    <row r="1595" spans="1:8">
      <c r="A1595">
        <v>1594</v>
      </c>
      <c r="B1595" s="1">
        <v>46177</v>
      </c>
      <c r="C1595" t="s">
        <v>643</v>
      </c>
      <c r="D1595" t="s">
        <v>191</v>
      </c>
      <c r="E1595">
        <v>313</v>
      </c>
      <c r="F1595">
        <v>4</v>
      </c>
      <c r="G1595">
        <v>1505</v>
      </c>
      <c r="H1595" t="str">
        <f>TEXT(TbDespesas[[#This Row],[data_transacao]], "aaaa-mm")</f>
        <v>2026-06</v>
      </c>
    </row>
    <row r="1596" spans="1:8">
      <c r="A1596">
        <v>1595</v>
      </c>
      <c r="B1596" s="1">
        <v>46177</v>
      </c>
      <c r="C1596" t="s">
        <v>643</v>
      </c>
      <c r="D1596" t="s">
        <v>134</v>
      </c>
      <c r="E1596">
        <v>421</v>
      </c>
      <c r="F1596">
        <v>4</v>
      </c>
      <c r="G1596">
        <v>1709</v>
      </c>
      <c r="H1596" t="str">
        <f>TEXT(TbDespesas[[#This Row],[data_transacao]], "aaaa-mm")</f>
        <v>2026-06</v>
      </c>
    </row>
    <row r="1597" spans="1:8">
      <c r="A1597">
        <v>1596</v>
      </c>
      <c r="B1597" s="1">
        <v>46177</v>
      </c>
      <c r="C1597" t="s">
        <v>643</v>
      </c>
      <c r="D1597" t="s">
        <v>617</v>
      </c>
      <c r="E1597">
        <v>366</v>
      </c>
      <c r="F1597">
        <v>4</v>
      </c>
      <c r="G1597">
        <v>1788</v>
      </c>
      <c r="H1597" t="str">
        <f>TEXT(TbDespesas[[#This Row],[data_transacao]], "aaaa-mm")</f>
        <v>2026-06</v>
      </c>
    </row>
    <row r="1598" spans="1:8">
      <c r="A1598">
        <v>1597</v>
      </c>
      <c r="B1598" s="1">
        <v>46193</v>
      </c>
      <c r="C1598" t="s">
        <v>683</v>
      </c>
      <c r="D1598" t="s">
        <v>139</v>
      </c>
      <c r="E1598">
        <v>44</v>
      </c>
      <c r="F1598">
        <v>46</v>
      </c>
      <c r="G1598">
        <v>2059</v>
      </c>
      <c r="H1598" t="str">
        <f>TEXT(TbDespesas[[#This Row],[data_transacao]], "aaaa-mm")</f>
        <v>2026-06</v>
      </c>
    </row>
    <row r="1599" spans="1:8">
      <c r="A1599">
        <v>1598</v>
      </c>
      <c r="B1599" s="1">
        <v>46048</v>
      </c>
      <c r="C1599" t="s">
        <v>391</v>
      </c>
      <c r="D1599" t="s">
        <v>474</v>
      </c>
      <c r="E1599">
        <v>423</v>
      </c>
      <c r="F1599">
        <v>7</v>
      </c>
      <c r="G1599">
        <v>3079</v>
      </c>
      <c r="H1599" t="str">
        <f>TEXT(TbDespesas[[#This Row],[data_transacao]], "aaaa-mm")</f>
        <v>2026-01</v>
      </c>
    </row>
    <row r="1600" spans="1:8">
      <c r="A1600">
        <v>1599</v>
      </c>
      <c r="B1600" s="1">
        <v>46048</v>
      </c>
      <c r="C1600" t="s">
        <v>391</v>
      </c>
      <c r="D1600" t="s">
        <v>684</v>
      </c>
      <c r="E1600">
        <v>340</v>
      </c>
      <c r="F1600">
        <v>6</v>
      </c>
      <c r="G1600">
        <v>2378</v>
      </c>
      <c r="H1600" t="str">
        <f>TEXT(TbDespesas[[#This Row],[data_transacao]], "aaaa-mm")</f>
        <v>2026-01</v>
      </c>
    </row>
    <row r="1601" spans="1:8">
      <c r="A1601">
        <v>1600</v>
      </c>
      <c r="B1601" s="1">
        <v>46048</v>
      </c>
      <c r="C1601" t="s">
        <v>391</v>
      </c>
      <c r="D1601" t="s">
        <v>87</v>
      </c>
      <c r="E1601">
        <v>264</v>
      </c>
      <c r="F1601">
        <v>9</v>
      </c>
      <c r="G1601">
        <v>2539</v>
      </c>
      <c r="H1601" t="str">
        <f>TEXT(TbDespesas[[#This Row],[data_transacao]], "aaaa-mm")</f>
        <v>2026-01</v>
      </c>
    </row>
    <row r="1602" spans="1:8">
      <c r="A1602">
        <v>1601</v>
      </c>
      <c r="B1602" s="1">
        <v>46048</v>
      </c>
      <c r="C1602" t="s">
        <v>391</v>
      </c>
      <c r="D1602" t="s">
        <v>377</v>
      </c>
      <c r="E1602">
        <v>322</v>
      </c>
      <c r="F1602">
        <v>9</v>
      </c>
      <c r="G1602">
        <v>2999</v>
      </c>
      <c r="H1602" t="str">
        <f>TEXT(TbDespesas[[#This Row],[data_transacao]], "aaaa-mm")</f>
        <v>2026-01</v>
      </c>
    </row>
    <row r="1603" spans="1:8">
      <c r="A1603">
        <v>1602</v>
      </c>
      <c r="B1603" s="1">
        <v>46048</v>
      </c>
      <c r="C1603" t="s">
        <v>391</v>
      </c>
      <c r="D1603" t="s">
        <v>402</v>
      </c>
      <c r="E1603">
        <v>141</v>
      </c>
      <c r="F1603">
        <v>14</v>
      </c>
      <c r="G1603">
        <v>2041</v>
      </c>
      <c r="H1603" t="str">
        <f>TEXT(TbDespesas[[#This Row],[data_transacao]], "aaaa-mm")</f>
        <v>2026-01</v>
      </c>
    </row>
    <row r="1604" spans="1:8">
      <c r="A1604">
        <v>1603</v>
      </c>
      <c r="B1604" s="1">
        <v>46048</v>
      </c>
      <c r="C1604" t="s">
        <v>391</v>
      </c>
      <c r="D1604" t="s">
        <v>295</v>
      </c>
      <c r="E1604">
        <v>35</v>
      </c>
      <c r="F1604">
        <v>54</v>
      </c>
      <c r="G1604">
        <v>1900</v>
      </c>
      <c r="H1604" t="str">
        <f>TEXT(TbDespesas[[#This Row],[data_transacao]], "aaaa-mm")</f>
        <v>2026-01</v>
      </c>
    </row>
    <row r="1605" spans="1:8">
      <c r="A1605">
        <v>1604</v>
      </c>
      <c r="B1605" s="1">
        <v>46048</v>
      </c>
      <c r="C1605" t="s">
        <v>391</v>
      </c>
      <c r="D1605" t="s">
        <v>365</v>
      </c>
      <c r="E1605">
        <v>291</v>
      </c>
      <c r="F1605">
        <v>8</v>
      </c>
      <c r="G1605">
        <v>2456</v>
      </c>
      <c r="H1605" t="str">
        <f>TEXT(TbDespesas[[#This Row],[data_transacao]], "aaaa-mm")</f>
        <v>2026-01</v>
      </c>
    </row>
    <row r="1606" spans="1:8">
      <c r="A1606">
        <v>1605</v>
      </c>
      <c r="B1606" s="1">
        <v>46048</v>
      </c>
      <c r="C1606" t="s">
        <v>391</v>
      </c>
      <c r="D1606" t="s">
        <v>282</v>
      </c>
      <c r="E1606">
        <v>385</v>
      </c>
      <c r="F1606">
        <v>8</v>
      </c>
      <c r="G1606">
        <v>3375</v>
      </c>
      <c r="H1606" t="str">
        <f>TEXT(TbDespesas[[#This Row],[data_transacao]], "aaaa-mm")</f>
        <v>2026-01</v>
      </c>
    </row>
    <row r="1607" spans="1:8">
      <c r="A1607">
        <v>1606</v>
      </c>
      <c r="B1607" s="1">
        <v>46048</v>
      </c>
      <c r="C1607" t="s">
        <v>391</v>
      </c>
      <c r="D1607" t="s">
        <v>424</v>
      </c>
      <c r="E1607">
        <v>233</v>
      </c>
      <c r="F1607">
        <v>6</v>
      </c>
      <c r="G1607">
        <v>1525</v>
      </c>
      <c r="H1607" t="str">
        <f>TEXT(TbDespesas[[#This Row],[data_transacao]], "aaaa-mm")</f>
        <v>2026-01</v>
      </c>
    </row>
    <row r="1608" spans="1:8">
      <c r="A1608">
        <v>1607</v>
      </c>
      <c r="B1608" s="1">
        <v>46048</v>
      </c>
      <c r="C1608" t="s">
        <v>391</v>
      </c>
      <c r="D1608" t="s">
        <v>102</v>
      </c>
      <c r="E1608">
        <v>79</v>
      </c>
      <c r="F1608">
        <v>28</v>
      </c>
      <c r="G1608">
        <v>2239</v>
      </c>
      <c r="H1608" t="str">
        <f>TEXT(TbDespesas[[#This Row],[data_transacao]], "aaaa-mm")</f>
        <v>2026-01</v>
      </c>
    </row>
    <row r="1609" spans="1:8">
      <c r="A1609">
        <v>1608</v>
      </c>
      <c r="B1609" s="1">
        <v>46183</v>
      </c>
      <c r="C1609" t="s">
        <v>305</v>
      </c>
      <c r="D1609" t="s">
        <v>669</v>
      </c>
      <c r="E1609">
        <v>23</v>
      </c>
      <c r="F1609">
        <v>19</v>
      </c>
      <c r="G1609">
        <v>456</v>
      </c>
      <c r="H1609" t="str">
        <f>TEXT(TbDespesas[[#This Row],[data_transacao]], "aaaa-mm")</f>
        <v>2026-06</v>
      </c>
    </row>
    <row r="1610" spans="1:8">
      <c r="A1610">
        <v>1609</v>
      </c>
      <c r="B1610" s="1">
        <v>46183</v>
      </c>
      <c r="C1610" t="s">
        <v>305</v>
      </c>
      <c r="D1610" t="s">
        <v>294</v>
      </c>
      <c r="E1610">
        <v>149</v>
      </c>
      <c r="F1610">
        <v>23</v>
      </c>
      <c r="G1610">
        <v>3555</v>
      </c>
      <c r="H1610" t="str">
        <f>TEXT(TbDespesas[[#This Row],[data_transacao]], "aaaa-mm")</f>
        <v>2026-06</v>
      </c>
    </row>
    <row r="1611" spans="1:8">
      <c r="A1611">
        <v>1610</v>
      </c>
      <c r="B1611" s="1">
        <v>46183</v>
      </c>
      <c r="C1611" t="s">
        <v>305</v>
      </c>
      <c r="D1611" t="s">
        <v>526</v>
      </c>
      <c r="E1611">
        <v>210</v>
      </c>
      <c r="F1611">
        <v>16</v>
      </c>
      <c r="G1611">
        <v>3428</v>
      </c>
      <c r="H1611" t="str">
        <f>TEXT(TbDespesas[[#This Row],[data_transacao]], "aaaa-mm")</f>
        <v>2026-06</v>
      </c>
    </row>
    <row r="1612" spans="1:8">
      <c r="A1612">
        <v>1611</v>
      </c>
      <c r="B1612" s="1">
        <v>46183</v>
      </c>
      <c r="C1612" t="s">
        <v>305</v>
      </c>
      <c r="D1612" t="s">
        <v>363</v>
      </c>
      <c r="E1612">
        <v>229</v>
      </c>
      <c r="F1612">
        <v>10</v>
      </c>
      <c r="G1612">
        <v>2422</v>
      </c>
      <c r="H1612" t="str">
        <f>TEXT(TbDespesas[[#This Row],[data_transacao]], "aaaa-mm")</f>
        <v>2026-06</v>
      </c>
    </row>
    <row r="1613" spans="1:8">
      <c r="A1613">
        <v>1612</v>
      </c>
      <c r="B1613" s="1">
        <v>46183</v>
      </c>
      <c r="C1613" t="s">
        <v>305</v>
      </c>
      <c r="D1613" t="s">
        <v>480</v>
      </c>
      <c r="E1613">
        <v>15</v>
      </c>
      <c r="F1613">
        <v>224</v>
      </c>
      <c r="G1613">
        <v>3367</v>
      </c>
      <c r="H1613" t="str">
        <f>TEXT(TbDespesas[[#This Row],[data_transacao]], "aaaa-mm")</f>
        <v>2026-06</v>
      </c>
    </row>
    <row r="1614" spans="1:8">
      <c r="A1614">
        <v>1613</v>
      </c>
      <c r="B1614" s="1">
        <v>46183</v>
      </c>
      <c r="C1614" t="s">
        <v>305</v>
      </c>
      <c r="D1614" t="s">
        <v>27</v>
      </c>
      <c r="E1614">
        <v>39</v>
      </c>
      <c r="F1614">
        <v>46</v>
      </c>
      <c r="G1614">
        <v>1802</v>
      </c>
      <c r="H1614" t="str">
        <f>TEXT(TbDespesas[[#This Row],[data_transacao]], "aaaa-mm")</f>
        <v>2026-06</v>
      </c>
    </row>
    <row r="1615" spans="1:8">
      <c r="A1615">
        <v>1614</v>
      </c>
      <c r="B1615" s="1">
        <v>46183</v>
      </c>
      <c r="C1615" t="s">
        <v>305</v>
      </c>
      <c r="D1615" t="s">
        <v>435</v>
      </c>
      <c r="E1615">
        <v>350</v>
      </c>
      <c r="F1615">
        <v>1</v>
      </c>
      <c r="G1615">
        <v>611</v>
      </c>
      <c r="H1615" t="str">
        <f>TEXT(TbDespesas[[#This Row],[data_transacao]], "aaaa-mm")</f>
        <v>2026-06</v>
      </c>
    </row>
    <row r="1616" spans="1:8">
      <c r="A1616">
        <v>1615</v>
      </c>
      <c r="B1616" s="1">
        <v>46183</v>
      </c>
      <c r="C1616" t="s">
        <v>305</v>
      </c>
      <c r="D1616" t="s">
        <v>94</v>
      </c>
      <c r="E1616">
        <v>147</v>
      </c>
      <c r="F1616">
        <v>16</v>
      </c>
      <c r="G1616">
        <v>2440</v>
      </c>
      <c r="H1616" t="str">
        <f>TEXT(TbDespesas[[#This Row],[data_transacao]], "aaaa-mm")</f>
        <v>2026-06</v>
      </c>
    </row>
    <row r="1617" spans="1:8">
      <c r="A1617">
        <v>1616</v>
      </c>
      <c r="B1617" s="1">
        <v>46183</v>
      </c>
      <c r="C1617" t="s">
        <v>305</v>
      </c>
      <c r="D1617" t="s">
        <v>348</v>
      </c>
      <c r="E1617">
        <v>421</v>
      </c>
      <c r="F1617">
        <v>5</v>
      </c>
      <c r="G1617">
        <v>2153</v>
      </c>
      <c r="H1617" t="str">
        <f>TEXT(TbDespesas[[#This Row],[data_transacao]], "aaaa-mm")</f>
        <v>2026-06</v>
      </c>
    </row>
    <row r="1618" spans="1:8">
      <c r="A1618">
        <v>1617</v>
      </c>
      <c r="B1618" s="1">
        <v>46183</v>
      </c>
      <c r="C1618" t="s">
        <v>305</v>
      </c>
      <c r="D1618" t="s">
        <v>677</v>
      </c>
      <c r="E1618">
        <v>205</v>
      </c>
      <c r="F1618">
        <v>18</v>
      </c>
      <c r="G1618">
        <v>3723</v>
      </c>
      <c r="H1618" t="str">
        <f>TEXT(TbDespesas[[#This Row],[data_transacao]], "aaaa-mm")</f>
        <v>2026-06</v>
      </c>
    </row>
    <row r="1619" spans="1:8">
      <c r="A1619">
        <v>1618</v>
      </c>
      <c r="B1619" s="1">
        <v>46144</v>
      </c>
      <c r="C1619" t="s">
        <v>421</v>
      </c>
      <c r="D1619" t="s">
        <v>435</v>
      </c>
      <c r="E1619">
        <v>236</v>
      </c>
      <c r="F1619">
        <v>4</v>
      </c>
      <c r="G1619">
        <v>1113</v>
      </c>
      <c r="H1619" t="str">
        <f>TEXT(TbDespesas[[#This Row],[data_transacao]], "aaaa-mm")</f>
        <v>2026-05</v>
      </c>
    </row>
    <row r="1620" spans="1:8">
      <c r="A1620">
        <v>1619</v>
      </c>
      <c r="B1620" s="1">
        <v>46144</v>
      </c>
      <c r="C1620" t="s">
        <v>421</v>
      </c>
      <c r="D1620" t="s">
        <v>491</v>
      </c>
      <c r="E1620">
        <v>276</v>
      </c>
      <c r="F1620">
        <v>5</v>
      </c>
      <c r="G1620">
        <v>1539</v>
      </c>
      <c r="H1620" t="str">
        <f>TEXT(TbDespesas[[#This Row],[data_transacao]], "aaaa-mm")</f>
        <v>2026-05</v>
      </c>
    </row>
    <row r="1621" spans="1:8">
      <c r="A1621">
        <v>1620</v>
      </c>
      <c r="B1621" s="1">
        <v>46144</v>
      </c>
      <c r="C1621" t="s">
        <v>421</v>
      </c>
      <c r="D1621" t="s">
        <v>439</v>
      </c>
      <c r="E1621">
        <v>365</v>
      </c>
      <c r="F1621">
        <v>6</v>
      </c>
      <c r="G1621">
        <v>2554</v>
      </c>
      <c r="H1621" t="str">
        <f>TEXT(TbDespesas[[#This Row],[data_transacao]], "aaaa-mm")</f>
        <v>2026-05</v>
      </c>
    </row>
    <row r="1622" spans="1:8">
      <c r="A1622">
        <v>1621</v>
      </c>
      <c r="B1622" s="1">
        <v>46144</v>
      </c>
      <c r="C1622" t="s">
        <v>421</v>
      </c>
      <c r="D1622" t="s">
        <v>174</v>
      </c>
      <c r="E1622">
        <v>294</v>
      </c>
      <c r="F1622">
        <v>5</v>
      </c>
      <c r="G1622">
        <v>1536</v>
      </c>
      <c r="H1622" t="str">
        <f>TEXT(TbDespesas[[#This Row],[data_transacao]], "aaaa-mm")</f>
        <v>2026-05</v>
      </c>
    </row>
    <row r="1623" spans="1:8">
      <c r="A1623">
        <v>1622</v>
      </c>
      <c r="B1623" s="1">
        <v>46144</v>
      </c>
      <c r="C1623" t="s">
        <v>421</v>
      </c>
      <c r="D1623" t="s">
        <v>342</v>
      </c>
      <c r="E1623">
        <v>97</v>
      </c>
      <c r="F1623">
        <v>2</v>
      </c>
      <c r="G1623">
        <v>209</v>
      </c>
      <c r="H1623" t="str">
        <f>TEXT(TbDespesas[[#This Row],[data_transacao]], "aaaa-mm")</f>
        <v>2026-05</v>
      </c>
    </row>
    <row r="1624" spans="1:8">
      <c r="A1624">
        <v>1623</v>
      </c>
      <c r="B1624" s="1">
        <v>46144</v>
      </c>
      <c r="C1624" t="s">
        <v>421</v>
      </c>
      <c r="D1624" t="s">
        <v>94</v>
      </c>
      <c r="E1624">
        <v>403</v>
      </c>
      <c r="F1624">
        <v>5</v>
      </c>
      <c r="G1624">
        <v>2325</v>
      </c>
      <c r="H1624" t="str">
        <f>TEXT(TbDespesas[[#This Row],[data_transacao]], "aaaa-mm")</f>
        <v>2026-05</v>
      </c>
    </row>
    <row r="1625" spans="1:8">
      <c r="A1625">
        <v>1624</v>
      </c>
      <c r="B1625" s="1">
        <v>46144</v>
      </c>
      <c r="C1625" t="s">
        <v>421</v>
      </c>
      <c r="D1625" t="s">
        <v>440</v>
      </c>
      <c r="E1625">
        <v>64</v>
      </c>
      <c r="F1625">
        <v>9</v>
      </c>
      <c r="G1625">
        <v>608</v>
      </c>
      <c r="H1625" t="str">
        <f>TEXT(TbDespesas[[#This Row],[data_transacao]], "aaaa-mm")</f>
        <v>2026-05</v>
      </c>
    </row>
    <row r="1626" spans="1:8">
      <c r="A1626">
        <v>1625</v>
      </c>
      <c r="B1626" s="1">
        <v>46144</v>
      </c>
      <c r="C1626" t="s">
        <v>421</v>
      </c>
      <c r="D1626" t="s">
        <v>418</v>
      </c>
      <c r="E1626">
        <v>81</v>
      </c>
      <c r="F1626">
        <v>10</v>
      </c>
      <c r="G1626">
        <v>865</v>
      </c>
      <c r="H1626" t="str">
        <f>TEXT(TbDespesas[[#This Row],[data_transacao]], "aaaa-mm")</f>
        <v>2026-05</v>
      </c>
    </row>
    <row r="1627" spans="1:8">
      <c r="A1627">
        <v>1626</v>
      </c>
      <c r="B1627" s="1">
        <v>46144</v>
      </c>
      <c r="C1627" t="s">
        <v>421</v>
      </c>
      <c r="D1627" t="s">
        <v>685</v>
      </c>
      <c r="E1627">
        <v>35</v>
      </c>
      <c r="F1627">
        <v>41</v>
      </c>
      <c r="G1627">
        <v>1452</v>
      </c>
      <c r="H1627" t="str">
        <f>TEXT(TbDespesas[[#This Row],[data_transacao]], "aaaa-mm")</f>
        <v>2026-05</v>
      </c>
    </row>
    <row r="1628" spans="1:8">
      <c r="A1628">
        <v>1627</v>
      </c>
      <c r="B1628" s="1">
        <v>46144</v>
      </c>
      <c r="C1628" t="s">
        <v>421</v>
      </c>
      <c r="D1628" t="s">
        <v>331</v>
      </c>
      <c r="E1628">
        <v>460</v>
      </c>
      <c r="F1628">
        <v>3</v>
      </c>
      <c r="G1628">
        <v>1454</v>
      </c>
      <c r="H1628" t="str">
        <f>TEXT(TbDespesas[[#This Row],[data_transacao]], "aaaa-mm")</f>
        <v>2026-05</v>
      </c>
    </row>
    <row r="1629" spans="1:8">
      <c r="A1629">
        <v>1628</v>
      </c>
      <c r="B1629" s="1">
        <v>46144</v>
      </c>
      <c r="C1629" t="s">
        <v>421</v>
      </c>
      <c r="D1629" t="s">
        <v>505</v>
      </c>
      <c r="E1629">
        <v>141</v>
      </c>
      <c r="F1629">
        <v>21</v>
      </c>
      <c r="G1629">
        <v>3078</v>
      </c>
      <c r="H1629" t="str">
        <f>TEXT(TbDespesas[[#This Row],[data_transacao]], "aaaa-mm")</f>
        <v>2026-05</v>
      </c>
    </row>
    <row r="1630" spans="1:8">
      <c r="A1630">
        <v>1629</v>
      </c>
      <c r="B1630" s="1">
        <v>46144</v>
      </c>
      <c r="C1630" t="s">
        <v>421</v>
      </c>
      <c r="D1630" t="s">
        <v>349</v>
      </c>
      <c r="E1630">
        <v>462</v>
      </c>
      <c r="F1630">
        <v>1</v>
      </c>
      <c r="G1630">
        <v>715</v>
      </c>
      <c r="H1630" t="str">
        <f>TEXT(TbDespesas[[#This Row],[data_transacao]], "aaaa-mm")</f>
        <v>2026-05</v>
      </c>
    </row>
    <row r="1631" spans="1:8">
      <c r="A1631">
        <v>1630</v>
      </c>
      <c r="B1631" s="1">
        <v>46186</v>
      </c>
      <c r="C1631" t="s">
        <v>521</v>
      </c>
      <c r="D1631" t="s">
        <v>208</v>
      </c>
      <c r="E1631">
        <v>482</v>
      </c>
      <c r="F1631">
        <v>5</v>
      </c>
      <c r="G1631">
        <v>2793</v>
      </c>
      <c r="H1631" t="str">
        <f>TEXT(TbDespesas[[#This Row],[data_transacao]], "aaaa-mm")</f>
        <v>2026-06</v>
      </c>
    </row>
    <row r="1632" spans="1:8">
      <c r="A1632">
        <v>1631</v>
      </c>
      <c r="B1632" s="1">
        <v>46186</v>
      </c>
      <c r="C1632" t="s">
        <v>521</v>
      </c>
      <c r="D1632" t="s">
        <v>61</v>
      </c>
      <c r="E1632">
        <v>28</v>
      </c>
      <c r="F1632">
        <v>42</v>
      </c>
      <c r="G1632">
        <v>1196</v>
      </c>
      <c r="H1632" t="str">
        <f>TEXT(TbDespesas[[#This Row],[data_transacao]], "aaaa-mm")</f>
        <v>2026-06</v>
      </c>
    </row>
    <row r="1633" spans="1:8">
      <c r="A1633">
        <v>1632</v>
      </c>
      <c r="B1633" s="1">
        <v>46028</v>
      </c>
      <c r="C1633" t="s">
        <v>655</v>
      </c>
      <c r="D1633" t="s">
        <v>51</v>
      </c>
      <c r="E1633">
        <v>470</v>
      </c>
      <c r="F1633">
        <v>2</v>
      </c>
      <c r="G1633">
        <v>1324</v>
      </c>
      <c r="H1633" t="str">
        <f>TEXT(TbDespesas[[#This Row],[data_transacao]], "aaaa-mm")</f>
        <v>2026-01</v>
      </c>
    </row>
    <row r="1634" spans="1:8">
      <c r="A1634">
        <v>1633</v>
      </c>
      <c r="B1634" s="1">
        <v>46028</v>
      </c>
      <c r="C1634" t="s">
        <v>655</v>
      </c>
      <c r="D1634" t="s">
        <v>602</v>
      </c>
      <c r="E1634">
        <v>99</v>
      </c>
      <c r="F1634">
        <v>22</v>
      </c>
      <c r="G1634">
        <v>2201</v>
      </c>
      <c r="H1634" t="str">
        <f>TEXT(TbDespesas[[#This Row],[data_transacao]], "aaaa-mm")</f>
        <v>2026-01</v>
      </c>
    </row>
    <row r="1635" spans="1:8">
      <c r="A1635">
        <v>1634</v>
      </c>
      <c r="B1635" s="1">
        <v>46028</v>
      </c>
      <c r="C1635" t="s">
        <v>655</v>
      </c>
      <c r="D1635" t="s">
        <v>686</v>
      </c>
      <c r="E1635">
        <v>150</v>
      </c>
      <c r="F1635">
        <v>10</v>
      </c>
      <c r="G1635">
        <v>1530</v>
      </c>
      <c r="H1635" t="str">
        <f>TEXT(TbDespesas[[#This Row],[data_transacao]], "aaaa-mm")</f>
        <v>2026-01</v>
      </c>
    </row>
    <row r="1636" spans="1:8">
      <c r="A1636">
        <v>1635</v>
      </c>
      <c r="B1636" s="1">
        <v>46028</v>
      </c>
      <c r="C1636" t="s">
        <v>655</v>
      </c>
      <c r="D1636" t="s">
        <v>420</v>
      </c>
      <c r="E1636">
        <v>17</v>
      </c>
      <c r="F1636">
        <v>171</v>
      </c>
      <c r="G1636">
        <v>2910</v>
      </c>
      <c r="H1636" t="str">
        <f>TEXT(TbDespesas[[#This Row],[data_transacao]], "aaaa-mm")</f>
        <v>2026-01</v>
      </c>
    </row>
    <row r="1637" spans="1:8">
      <c r="A1637">
        <v>1636</v>
      </c>
      <c r="B1637" s="1">
        <v>46028</v>
      </c>
      <c r="C1637" t="s">
        <v>655</v>
      </c>
      <c r="D1637" t="s">
        <v>180</v>
      </c>
      <c r="E1637">
        <v>307</v>
      </c>
      <c r="F1637">
        <v>4</v>
      </c>
      <c r="G1637">
        <v>1497</v>
      </c>
      <c r="H1637" t="str">
        <f>TEXT(TbDespesas[[#This Row],[data_transacao]], "aaaa-mm")</f>
        <v>2026-01</v>
      </c>
    </row>
    <row r="1638" spans="1:8">
      <c r="A1638">
        <v>1637</v>
      </c>
      <c r="B1638" s="1">
        <v>46028</v>
      </c>
      <c r="C1638" t="s">
        <v>655</v>
      </c>
      <c r="D1638" t="s">
        <v>550</v>
      </c>
      <c r="E1638">
        <v>440</v>
      </c>
      <c r="F1638">
        <v>3</v>
      </c>
      <c r="G1638">
        <v>1321</v>
      </c>
      <c r="H1638" t="str">
        <f>TEXT(TbDespesas[[#This Row],[data_transacao]], "aaaa-mm")</f>
        <v>2026-01</v>
      </c>
    </row>
    <row r="1639" spans="1:8">
      <c r="A1639">
        <v>1638</v>
      </c>
      <c r="B1639" s="1">
        <v>46028</v>
      </c>
      <c r="C1639" t="s">
        <v>655</v>
      </c>
      <c r="D1639" t="s">
        <v>48</v>
      </c>
      <c r="E1639">
        <v>298</v>
      </c>
      <c r="F1639">
        <v>9</v>
      </c>
      <c r="G1639">
        <v>2775</v>
      </c>
      <c r="H1639" t="str">
        <f>TEXT(TbDespesas[[#This Row],[data_transacao]], "aaaa-mm")</f>
        <v>2026-01</v>
      </c>
    </row>
    <row r="1640" spans="1:8">
      <c r="A1640">
        <v>1639</v>
      </c>
      <c r="B1640" s="1">
        <v>46028</v>
      </c>
      <c r="C1640" t="s">
        <v>655</v>
      </c>
      <c r="D1640" t="s">
        <v>589</v>
      </c>
      <c r="E1640">
        <v>418</v>
      </c>
      <c r="F1640">
        <v>4</v>
      </c>
      <c r="G1640">
        <v>2023</v>
      </c>
      <c r="H1640" t="str">
        <f>TEXT(TbDespesas[[#This Row],[data_transacao]], "aaaa-mm")</f>
        <v>2026-01</v>
      </c>
    </row>
    <row r="1641" spans="1:8">
      <c r="A1641">
        <v>1640</v>
      </c>
      <c r="B1641" s="1">
        <v>46028</v>
      </c>
      <c r="C1641" t="s">
        <v>655</v>
      </c>
      <c r="D1641" t="s">
        <v>24</v>
      </c>
      <c r="E1641">
        <v>37</v>
      </c>
      <c r="F1641">
        <v>31</v>
      </c>
      <c r="G1641">
        <v>1171</v>
      </c>
      <c r="H1641" t="str">
        <f>TEXT(TbDespesas[[#This Row],[data_transacao]], "aaaa-mm")</f>
        <v>2026-01</v>
      </c>
    </row>
    <row r="1642" spans="1:8">
      <c r="A1642">
        <v>1641</v>
      </c>
      <c r="B1642" s="1">
        <v>46028</v>
      </c>
      <c r="C1642" t="s">
        <v>655</v>
      </c>
      <c r="D1642" t="s">
        <v>270</v>
      </c>
      <c r="E1642">
        <v>392</v>
      </c>
      <c r="F1642">
        <v>6</v>
      </c>
      <c r="G1642">
        <v>2375</v>
      </c>
      <c r="H1642" t="str">
        <f>TEXT(TbDespesas[[#This Row],[data_transacao]], "aaaa-mm")</f>
        <v>2026-01</v>
      </c>
    </row>
    <row r="1643" spans="1:8">
      <c r="A1643">
        <v>1642</v>
      </c>
      <c r="B1643" s="1">
        <v>46067</v>
      </c>
      <c r="C1643" t="s">
        <v>687</v>
      </c>
      <c r="D1643" t="s">
        <v>321</v>
      </c>
      <c r="E1643">
        <v>195</v>
      </c>
      <c r="F1643">
        <v>9</v>
      </c>
      <c r="G1643">
        <v>1821</v>
      </c>
      <c r="H1643" t="str">
        <f>TEXT(TbDespesas[[#This Row],[data_transacao]], "aaaa-mm")</f>
        <v>2026-02</v>
      </c>
    </row>
    <row r="1644" spans="1:8">
      <c r="A1644">
        <v>1643</v>
      </c>
      <c r="B1644" s="1">
        <v>46067</v>
      </c>
      <c r="C1644" t="s">
        <v>687</v>
      </c>
      <c r="D1644" t="s">
        <v>62</v>
      </c>
      <c r="E1644">
        <v>354</v>
      </c>
      <c r="F1644">
        <v>0</v>
      </c>
      <c r="G1644">
        <v>99</v>
      </c>
      <c r="H1644" t="str">
        <f>TEXT(TbDespesas[[#This Row],[data_transacao]], "aaaa-mm")</f>
        <v>2026-02</v>
      </c>
    </row>
    <row r="1645" spans="1:8">
      <c r="A1645">
        <v>1644</v>
      </c>
      <c r="B1645" s="1">
        <v>46067</v>
      </c>
      <c r="C1645" t="s">
        <v>687</v>
      </c>
      <c r="D1645" t="s">
        <v>389</v>
      </c>
      <c r="E1645">
        <v>272</v>
      </c>
      <c r="F1645">
        <v>4</v>
      </c>
      <c r="G1645">
        <v>1104</v>
      </c>
      <c r="H1645" t="str">
        <f>TEXT(TbDespesas[[#This Row],[data_transacao]], "aaaa-mm")</f>
        <v>2026-02</v>
      </c>
    </row>
    <row r="1646" spans="1:8">
      <c r="A1646">
        <v>1645</v>
      </c>
      <c r="B1646" s="1">
        <v>46067</v>
      </c>
      <c r="C1646" t="s">
        <v>687</v>
      </c>
      <c r="D1646" t="s">
        <v>661</v>
      </c>
      <c r="E1646">
        <v>442</v>
      </c>
      <c r="F1646">
        <v>2</v>
      </c>
      <c r="G1646">
        <v>1252</v>
      </c>
      <c r="H1646" t="str">
        <f>TEXT(TbDespesas[[#This Row],[data_transacao]], "aaaa-mm")</f>
        <v>2026-02</v>
      </c>
    </row>
    <row r="1647" spans="1:8">
      <c r="A1647">
        <v>1646</v>
      </c>
      <c r="B1647" s="1">
        <v>46067</v>
      </c>
      <c r="C1647" t="s">
        <v>687</v>
      </c>
      <c r="D1647" t="s">
        <v>471</v>
      </c>
      <c r="E1647">
        <v>347</v>
      </c>
      <c r="F1647">
        <v>1</v>
      </c>
      <c r="G1647">
        <v>371</v>
      </c>
      <c r="H1647" t="str">
        <f>TEXT(TbDespesas[[#This Row],[data_transacao]], "aaaa-mm")</f>
        <v>2026-02</v>
      </c>
    </row>
    <row r="1648" spans="1:8">
      <c r="A1648">
        <v>1647</v>
      </c>
      <c r="B1648" s="1">
        <v>46067</v>
      </c>
      <c r="C1648" t="s">
        <v>687</v>
      </c>
      <c r="D1648" t="s">
        <v>468</v>
      </c>
      <c r="E1648">
        <v>37</v>
      </c>
      <c r="F1648">
        <v>58</v>
      </c>
      <c r="G1648">
        <v>2165</v>
      </c>
      <c r="H1648" t="str">
        <f>TEXT(TbDespesas[[#This Row],[data_transacao]], "aaaa-mm")</f>
        <v>2026-02</v>
      </c>
    </row>
    <row r="1649" spans="1:8">
      <c r="A1649">
        <v>1648</v>
      </c>
      <c r="B1649" s="1">
        <v>46067</v>
      </c>
      <c r="C1649" t="s">
        <v>687</v>
      </c>
      <c r="D1649" t="s">
        <v>281</v>
      </c>
      <c r="E1649">
        <v>420</v>
      </c>
      <c r="F1649">
        <v>4</v>
      </c>
      <c r="G1649">
        <v>1989</v>
      </c>
      <c r="H1649" t="str">
        <f>TEXT(TbDespesas[[#This Row],[data_transacao]], "aaaa-mm")</f>
        <v>2026-02</v>
      </c>
    </row>
    <row r="1650" spans="1:8">
      <c r="A1650">
        <v>1649</v>
      </c>
      <c r="B1650" s="1">
        <v>46067</v>
      </c>
      <c r="C1650" t="s">
        <v>687</v>
      </c>
      <c r="D1650" t="s">
        <v>664</v>
      </c>
      <c r="E1650">
        <v>460</v>
      </c>
      <c r="F1650">
        <v>4</v>
      </c>
      <c r="G1650">
        <v>2100</v>
      </c>
      <c r="H1650" t="str">
        <f>TEXT(TbDespesas[[#This Row],[data_transacao]], "aaaa-mm")</f>
        <v>2026-02</v>
      </c>
    </row>
    <row r="1651" spans="1:8">
      <c r="A1651">
        <v>1650</v>
      </c>
      <c r="B1651" s="1">
        <v>46067</v>
      </c>
      <c r="C1651" t="s">
        <v>687</v>
      </c>
      <c r="D1651" t="s">
        <v>173</v>
      </c>
      <c r="E1651">
        <v>378</v>
      </c>
      <c r="F1651">
        <v>2</v>
      </c>
      <c r="G1651">
        <v>798</v>
      </c>
      <c r="H1651" t="str">
        <f>TEXT(TbDespesas[[#This Row],[data_transacao]], "aaaa-mm")</f>
        <v>2026-02</v>
      </c>
    </row>
    <row r="1652" spans="1:8">
      <c r="A1652">
        <v>1651</v>
      </c>
      <c r="B1652" s="1">
        <v>46067</v>
      </c>
      <c r="C1652" t="s">
        <v>687</v>
      </c>
      <c r="D1652" t="s">
        <v>574</v>
      </c>
      <c r="E1652">
        <v>396</v>
      </c>
      <c r="F1652">
        <v>4</v>
      </c>
      <c r="G1652">
        <v>1769</v>
      </c>
      <c r="H1652" t="str">
        <f>TEXT(TbDespesas[[#This Row],[data_transacao]], "aaaa-mm")</f>
        <v>2026-02</v>
      </c>
    </row>
    <row r="1653" spans="1:8">
      <c r="A1653">
        <v>1652</v>
      </c>
      <c r="B1653" s="1">
        <v>46067</v>
      </c>
      <c r="C1653" t="s">
        <v>687</v>
      </c>
      <c r="D1653" t="s">
        <v>688</v>
      </c>
      <c r="E1653">
        <v>487</v>
      </c>
      <c r="F1653">
        <v>2</v>
      </c>
      <c r="G1653">
        <v>1345</v>
      </c>
      <c r="H1653" t="str">
        <f>TEXT(TbDespesas[[#This Row],[data_transacao]], "aaaa-mm")</f>
        <v>2026-02</v>
      </c>
    </row>
    <row r="1654" spans="1:8">
      <c r="A1654">
        <v>1653</v>
      </c>
      <c r="B1654" s="1">
        <v>45951</v>
      </c>
      <c r="C1654" t="s">
        <v>689</v>
      </c>
      <c r="D1654" t="s">
        <v>225</v>
      </c>
      <c r="E1654">
        <v>319</v>
      </c>
      <c r="F1654">
        <v>7</v>
      </c>
      <c r="G1654">
        <v>2484</v>
      </c>
      <c r="H1654" t="str">
        <f>TEXT(TbDespesas[[#This Row],[data_transacao]], "aaaa-mm")</f>
        <v>2025-10</v>
      </c>
    </row>
    <row r="1655" spans="1:8">
      <c r="A1655">
        <v>1654</v>
      </c>
      <c r="B1655" s="1">
        <v>45951</v>
      </c>
      <c r="C1655" t="s">
        <v>689</v>
      </c>
      <c r="D1655" t="s">
        <v>61</v>
      </c>
      <c r="E1655">
        <v>178</v>
      </c>
      <c r="F1655">
        <v>9</v>
      </c>
      <c r="G1655">
        <v>1673</v>
      </c>
      <c r="H1655" t="str">
        <f>TEXT(TbDespesas[[#This Row],[data_transacao]], "aaaa-mm")</f>
        <v>2025-10</v>
      </c>
    </row>
    <row r="1656" spans="1:8">
      <c r="A1656">
        <v>1655</v>
      </c>
      <c r="B1656" s="1">
        <v>45951</v>
      </c>
      <c r="C1656" t="s">
        <v>689</v>
      </c>
      <c r="D1656" t="s">
        <v>240</v>
      </c>
      <c r="E1656">
        <v>324</v>
      </c>
      <c r="F1656">
        <v>10</v>
      </c>
      <c r="G1656">
        <v>3260</v>
      </c>
      <c r="H1656" t="str">
        <f>TEXT(TbDespesas[[#This Row],[data_transacao]], "aaaa-mm")</f>
        <v>2025-10</v>
      </c>
    </row>
    <row r="1657" spans="1:8">
      <c r="A1657">
        <v>1656</v>
      </c>
      <c r="B1657" s="1">
        <v>45951</v>
      </c>
      <c r="C1657" t="s">
        <v>689</v>
      </c>
      <c r="D1657" t="s">
        <v>347</v>
      </c>
      <c r="E1657">
        <v>493</v>
      </c>
      <c r="F1657">
        <v>3</v>
      </c>
      <c r="G1657">
        <v>1906</v>
      </c>
      <c r="H1657" t="str">
        <f>TEXT(TbDespesas[[#This Row],[data_transacao]], "aaaa-mm")</f>
        <v>2025-10</v>
      </c>
    </row>
    <row r="1658" spans="1:8">
      <c r="A1658">
        <v>1657</v>
      </c>
      <c r="B1658" s="1">
        <v>45951</v>
      </c>
      <c r="C1658" t="s">
        <v>689</v>
      </c>
      <c r="D1658" t="s">
        <v>25</v>
      </c>
      <c r="E1658">
        <v>133</v>
      </c>
      <c r="F1658">
        <v>27</v>
      </c>
      <c r="G1658">
        <v>3625</v>
      </c>
      <c r="H1658" t="str">
        <f>TEXT(TbDespesas[[#This Row],[data_transacao]], "aaaa-mm")</f>
        <v>2025-10</v>
      </c>
    </row>
    <row r="1659" spans="1:8">
      <c r="A1659">
        <v>1658</v>
      </c>
      <c r="B1659" s="1">
        <v>45951</v>
      </c>
      <c r="C1659" t="s">
        <v>689</v>
      </c>
      <c r="D1659" t="s">
        <v>243</v>
      </c>
      <c r="E1659">
        <v>65</v>
      </c>
      <c r="F1659">
        <v>28</v>
      </c>
      <c r="G1659">
        <v>1874</v>
      </c>
      <c r="H1659" t="str">
        <f>TEXT(TbDespesas[[#This Row],[data_transacao]], "aaaa-mm")</f>
        <v>2025-10</v>
      </c>
    </row>
    <row r="1660" spans="1:8">
      <c r="A1660">
        <v>1659</v>
      </c>
      <c r="B1660" s="1">
        <v>45951</v>
      </c>
      <c r="C1660" t="s">
        <v>689</v>
      </c>
      <c r="D1660" t="s">
        <v>128</v>
      </c>
      <c r="E1660">
        <v>196</v>
      </c>
      <c r="F1660">
        <v>8</v>
      </c>
      <c r="G1660">
        <v>1596</v>
      </c>
      <c r="H1660" t="str">
        <f>TEXT(TbDespesas[[#This Row],[data_transacao]], "aaaa-mm")</f>
        <v>2025-10</v>
      </c>
    </row>
    <row r="1661" spans="1:8">
      <c r="A1661">
        <v>1660</v>
      </c>
      <c r="B1661" s="1">
        <v>45951</v>
      </c>
      <c r="C1661" t="s">
        <v>689</v>
      </c>
      <c r="D1661" t="s">
        <v>666</v>
      </c>
      <c r="E1661">
        <v>154</v>
      </c>
      <c r="F1661">
        <v>9</v>
      </c>
      <c r="G1661">
        <v>1469</v>
      </c>
      <c r="H1661" t="str">
        <f>TEXT(TbDespesas[[#This Row],[data_transacao]], "aaaa-mm")</f>
        <v>2025-10</v>
      </c>
    </row>
    <row r="1662" spans="1:8">
      <c r="A1662">
        <v>1661</v>
      </c>
      <c r="B1662" s="1">
        <v>45951</v>
      </c>
      <c r="C1662" t="s">
        <v>689</v>
      </c>
      <c r="D1662" t="s">
        <v>117</v>
      </c>
      <c r="E1662">
        <v>227</v>
      </c>
      <c r="F1662">
        <v>3</v>
      </c>
      <c r="G1662">
        <v>715</v>
      </c>
      <c r="H1662" t="str">
        <f>TEXT(TbDespesas[[#This Row],[data_transacao]], "aaaa-mm")</f>
        <v>2025-10</v>
      </c>
    </row>
    <row r="1663" spans="1:8">
      <c r="A1663">
        <v>1662</v>
      </c>
      <c r="B1663" s="1">
        <v>45951</v>
      </c>
      <c r="C1663" t="s">
        <v>689</v>
      </c>
      <c r="D1663" t="s">
        <v>260</v>
      </c>
      <c r="E1663">
        <v>335</v>
      </c>
      <c r="F1663">
        <v>0</v>
      </c>
      <c r="G1663">
        <v>178</v>
      </c>
      <c r="H1663" t="str">
        <f>TEXT(TbDespesas[[#This Row],[data_transacao]], "aaaa-mm")</f>
        <v>2025-10</v>
      </c>
    </row>
    <row r="1664" spans="1:8">
      <c r="A1664">
        <v>1663</v>
      </c>
      <c r="B1664" s="1">
        <v>45989</v>
      </c>
      <c r="C1664" t="s">
        <v>657</v>
      </c>
      <c r="D1664" t="s">
        <v>490</v>
      </c>
      <c r="E1664">
        <v>436</v>
      </c>
      <c r="F1664">
        <v>2</v>
      </c>
      <c r="G1664">
        <v>970</v>
      </c>
      <c r="H1664" t="str">
        <f>TEXT(TbDespesas[[#This Row],[data_transacao]], "aaaa-mm")</f>
        <v>2025-11</v>
      </c>
    </row>
    <row r="1665" spans="1:8">
      <c r="A1665">
        <v>1664</v>
      </c>
      <c r="B1665" s="1">
        <v>45986</v>
      </c>
      <c r="C1665" t="s">
        <v>690</v>
      </c>
      <c r="D1665" t="s">
        <v>545</v>
      </c>
      <c r="E1665">
        <v>54</v>
      </c>
      <c r="F1665">
        <v>17</v>
      </c>
      <c r="G1665">
        <v>932</v>
      </c>
      <c r="H1665" t="str">
        <f>TEXT(TbDespesas[[#This Row],[data_transacao]], "aaaa-mm")</f>
        <v>2025-11</v>
      </c>
    </row>
    <row r="1666" spans="1:8">
      <c r="A1666">
        <v>1665</v>
      </c>
      <c r="B1666" s="1">
        <v>45986</v>
      </c>
      <c r="C1666" t="s">
        <v>690</v>
      </c>
      <c r="D1666" t="s">
        <v>669</v>
      </c>
      <c r="E1666">
        <v>266</v>
      </c>
      <c r="F1666">
        <v>13</v>
      </c>
      <c r="G1666">
        <v>3526</v>
      </c>
      <c r="H1666" t="str">
        <f>TEXT(TbDespesas[[#This Row],[data_transacao]], "aaaa-mm")</f>
        <v>2025-11</v>
      </c>
    </row>
    <row r="1667" spans="1:8">
      <c r="A1667">
        <v>1666</v>
      </c>
      <c r="B1667" s="1">
        <v>45986</v>
      </c>
      <c r="C1667" t="s">
        <v>690</v>
      </c>
      <c r="D1667" t="s">
        <v>574</v>
      </c>
      <c r="E1667">
        <v>21</v>
      </c>
      <c r="F1667">
        <v>36</v>
      </c>
      <c r="G1667">
        <v>764</v>
      </c>
      <c r="H1667" t="str">
        <f>TEXT(TbDespesas[[#This Row],[data_transacao]], "aaaa-mm")</f>
        <v>2025-11</v>
      </c>
    </row>
    <row r="1668" spans="1:8">
      <c r="A1668">
        <v>1667</v>
      </c>
      <c r="B1668" s="1">
        <v>45986</v>
      </c>
      <c r="C1668" t="s">
        <v>690</v>
      </c>
      <c r="D1668" t="s">
        <v>228</v>
      </c>
      <c r="E1668">
        <v>73</v>
      </c>
      <c r="F1668">
        <v>50</v>
      </c>
      <c r="G1668">
        <v>3658</v>
      </c>
      <c r="H1668" t="str">
        <f>TEXT(TbDespesas[[#This Row],[data_transacao]], "aaaa-mm")</f>
        <v>2025-11</v>
      </c>
    </row>
    <row r="1669" spans="1:8">
      <c r="A1669">
        <v>1668</v>
      </c>
      <c r="B1669" s="1">
        <v>45986</v>
      </c>
      <c r="C1669" t="s">
        <v>690</v>
      </c>
      <c r="D1669" t="s">
        <v>167</v>
      </c>
      <c r="E1669">
        <v>246</v>
      </c>
      <c r="F1669">
        <v>12</v>
      </c>
      <c r="G1669">
        <v>3041</v>
      </c>
      <c r="H1669" t="str">
        <f>TEXT(TbDespesas[[#This Row],[data_transacao]], "aaaa-mm")</f>
        <v>2025-11</v>
      </c>
    </row>
    <row r="1670" spans="1:8">
      <c r="A1670">
        <v>1669</v>
      </c>
      <c r="B1670" s="1">
        <v>46213</v>
      </c>
      <c r="C1670" t="s">
        <v>210</v>
      </c>
      <c r="D1670" t="s">
        <v>600</v>
      </c>
      <c r="E1670">
        <v>380</v>
      </c>
      <c r="F1670">
        <v>3</v>
      </c>
      <c r="G1670">
        <v>1221</v>
      </c>
      <c r="H1670" t="str">
        <f>TEXT(TbDespesas[[#This Row],[data_transacao]], "aaaa-mm")</f>
        <v>2026-07</v>
      </c>
    </row>
    <row r="1671" spans="1:8">
      <c r="A1671">
        <v>1670</v>
      </c>
      <c r="B1671" s="1">
        <v>46213</v>
      </c>
      <c r="C1671" t="s">
        <v>210</v>
      </c>
      <c r="D1671" t="s">
        <v>467</v>
      </c>
      <c r="E1671">
        <v>479</v>
      </c>
      <c r="F1671">
        <v>0</v>
      </c>
      <c r="G1671">
        <v>384</v>
      </c>
      <c r="H1671" t="str">
        <f>TEXT(TbDespesas[[#This Row],[data_transacao]], "aaaa-mm")</f>
        <v>2026-07</v>
      </c>
    </row>
    <row r="1672" spans="1:8">
      <c r="A1672">
        <v>1671</v>
      </c>
      <c r="B1672" s="1">
        <v>46213</v>
      </c>
      <c r="C1672" t="s">
        <v>210</v>
      </c>
      <c r="D1672" t="s">
        <v>105</v>
      </c>
      <c r="E1672">
        <v>248</v>
      </c>
      <c r="F1672">
        <v>10</v>
      </c>
      <c r="G1672">
        <v>2531</v>
      </c>
      <c r="H1672" t="str">
        <f>TEXT(TbDespesas[[#This Row],[data_transacao]], "aaaa-mm")</f>
        <v>2026-07</v>
      </c>
    </row>
    <row r="1673" spans="1:8">
      <c r="A1673">
        <v>1672</v>
      </c>
      <c r="B1673" s="1">
        <v>46213</v>
      </c>
      <c r="C1673" t="s">
        <v>210</v>
      </c>
      <c r="D1673" t="s">
        <v>413</v>
      </c>
      <c r="E1673">
        <v>475</v>
      </c>
      <c r="F1673">
        <v>4</v>
      </c>
      <c r="G1673">
        <v>2310</v>
      </c>
      <c r="H1673" t="str">
        <f>TEXT(TbDespesas[[#This Row],[data_transacao]], "aaaa-mm")</f>
        <v>2026-07</v>
      </c>
    </row>
    <row r="1674" spans="1:8">
      <c r="A1674">
        <v>1673</v>
      </c>
      <c r="B1674" s="1">
        <v>46213</v>
      </c>
      <c r="C1674" t="s">
        <v>210</v>
      </c>
      <c r="D1674" t="s">
        <v>35</v>
      </c>
      <c r="E1674">
        <v>243</v>
      </c>
      <c r="F1674">
        <v>1</v>
      </c>
      <c r="G1674">
        <v>370</v>
      </c>
      <c r="H1674" t="str">
        <f>TEXT(TbDespesas[[#This Row],[data_transacao]], "aaaa-mm")</f>
        <v>2026-07</v>
      </c>
    </row>
    <row r="1675" spans="1:8">
      <c r="A1675">
        <v>1674</v>
      </c>
      <c r="B1675" s="1">
        <v>46213</v>
      </c>
      <c r="C1675" t="s">
        <v>210</v>
      </c>
      <c r="D1675" t="s">
        <v>132</v>
      </c>
      <c r="E1675">
        <v>40</v>
      </c>
      <c r="F1675">
        <v>66</v>
      </c>
      <c r="G1675">
        <v>2652</v>
      </c>
      <c r="H1675" t="str">
        <f>TEXT(TbDespesas[[#This Row],[data_transacao]], "aaaa-mm")</f>
        <v>2026-07</v>
      </c>
    </row>
    <row r="1676" spans="1:8">
      <c r="A1676">
        <v>1675</v>
      </c>
      <c r="B1676" s="1">
        <v>46213</v>
      </c>
      <c r="C1676" t="s">
        <v>210</v>
      </c>
      <c r="D1676" t="s">
        <v>235</v>
      </c>
      <c r="E1676">
        <v>378</v>
      </c>
      <c r="F1676">
        <v>9</v>
      </c>
      <c r="G1676">
        <v>3557</v>
      </c>
      <c r="H1676" t="str">
        <f>TEXT(TbDespesas[[#This Row],[data_transacao]], "aaaa-mm")</f>
        <v>2026-07</v>
      </c>
    </row>
    <row r="1677" spans="1:8">
      <c r="A1677">
        <v>1676</v>
      </c>
      <c r="B1677" s="1">
        <v>46213</v>
      </c>
      <c r="C1677" t="s">
        <v>210</v>
      </c>
      <c r="D1677" t="s">
        <v>677</v>
      </c>
      <c r="E1677">
        <v>314</v>
      </c>
      <c r="F1677">
        <v>10</v>
      </c>
      <c r="G1677">
        <v>3316</v>
      </c>
      <c r="H1677" t="str">
        <f>TEXT(TbDespesas[[#This Row],[data_transacao]], "aaaa-mm")</f>
        <v>2026-07</v>
      </c>
    </row>
    <row r="1678" spans="1:8">
      <c r="A1678">
        <v>1677</v>
      </c>
      <c r="B1678" s="1">
        <v>46213</v>
      </c>
      <c r="C1678" t="s">
        <v>210</v>
      </c>
      <c r="D1678" t="s">
        <v>648</v>
      </c>
      <c r="E1678">
        <v>411</v>
      </c>
      <c r="F1678">
        <v>5</v>
      </c>
      <c r="G1678">
        <v>2278</v>
      </c>
      <c r="H1678" t="str">
        <f>TEXT(TbDespesas[[#This Row],[data_transacao]], "aaaa-mm")</f>
        <v>2026-07</v>
      </c>
    </row>
    <row r="1679" spans="1:8">
      <c r="A1679">
        <v>1678</v>
      </c>
      <c r="B1679" s="1">
        <v>46213</v>
      </c>
      <c r="C1679" t="s">
        <v>210</v>
      </c>
      <c r="D1679" t="s">
        <v>582</v>
      </c>
      <c r="E1679">
        <v>78</v>
      </c>
      <c r="F1679">
        <v>16</v>
      </c>
      <c r="G1679">
        <v>1313</v>
      </c>
      <c r="H1679" t="str">
        <f>TEXT(TbDespesas[[#This Row],[data_transacao]], "aaaa-mm")</f>
        <v>2026-07</v>
      </c>
    </row>
    <row r="1680" spans="1:8">
      <c r="A1680">
        <v>1679</v>
      </c>
      <c r="B1680" s="1">
        <v>46213</v>
      </c>
      <c r="C1680" t="s">
        <v>210</v>
      </c>
      <c r="D1680" t="s">
        <v>376</v>
      </c>
      <c r="E1680">
        <v>466</v>
      </c>
      <c r="F1680">
        <v>4</v>
      </c>
      <c r="G1680">
        <v>2019</v>
      </c>
      <c r="H1680" t="str">
        <f>TEXT(TbDespesas[[#This Row],[data_transacao]], "aaaa-mm")</f>
        <v>2026-07</v>
      </c>
    </row>
    <row r="1681" spans="1:8">
      <c r="A1681">
        <v>1680</v>
      </c>
      <c r="B1681" s="1">
        <v>46213</v>
      </c>
      <c r="C1681" t="s">
        <v>210</v>
      </c>
      <c r="D1681" t="s">
        <v>317</v>
      </c>
      <c r="E1681">
        <v>256</v>
      </c>
      <c r="F1681">
        <v>2</v>
      </c>
      <c r="G1681">
        <v>529</v>
      </c>
      <c r="H1681" t="str">
        <f>TEXT(TbDespesas[[#This Row],[data_transacao]], "aaaa-mm")</f>
        <v>2026-07</v>
      </c>
    </row>
    <row r="1682" spans="1:8">
      <c r="A1682">
        <v>1681</v>
      </c>
      <c r="B1682" s="1">
        <v>45952</v>
      </c>
      <c r="C1682" t="s">
        <v>384</v>
      </c>
      <c r="D1682" t="s">
        <v>481</v>
      </c>
      <c r="E1682">
        <v>196</v>
      </c>
      <c r="F1682">
        <v>9</v>
      </c>
      <c r="G1682">
        <v>1874</v>
      </c>
      <c r="H1682" t="str">
        <f>TEXT(TbDespesas[[#This Row],[data_transacao]], "aaaa-mm")</f>
        <v>2025-10</v>
      </c>
    </row>
    <row r="1683" spans="1:8">
      <c r="A1683">
        <v>1682</v>
      </c>
      <c r="B1683" s="1">
        <v>46123</v>
      </c>
      <c r="C1683" t="s">
        <v>560</v>
      </c>
      <c r="D1683" t="s">
        <v>211</v>
      </c>
      <c r="E1683">
        <v>269</v>
      </c>
      <c r="F1683">
        <v>8</v>
      </c>
      <c r="G1683">
        <v>2276</v>
      </c>
      <c r="H1683" t="str">
        <f>TEXT(TbDespesas[[#This Row],[data_transacao]], "aaaa-mm")</f>
        <v>2026-04</v>
      </c>
    </row>
    <row r="1684" spans="1:8">
      <c r="A1684">
        <v>1683</v>
      </c>
      <c r="B1684" s="1">
        <v>46123</v>
      </c>
      <c r="C1684" t="s">
        <v>560</v>
      </c>
      <c r="D1684" t="s">
        <v>167</v>
      </c>
      <c r="E1684">
        <v>208</v>
      </c>
      <c r="F1684">
        <v>12</v>
      </c>
      <c r="G1684">
        <v>2661</v>
      </c>
      <c r="H1684" t="str">
        <f>TEXT(TbDespesas[[#This Row],[data_transacao]], "aaaa-mm")</f>
        <v>2026-04</v>
      </c>
    </row>
    <row r="1685" spans="1:8">
      <c r="A1685">
        <v>1684</v>
      </c>
      <c r="B1685" s="1">
        <v>46123</v>
      </c>
      <c r="C1685" t="s">
        <v>560</v>
      </c>
      <c r="D1685" t="s">
        <v>550</v>
      </c>
      <c r="E1685">
        <v>223</v>
      </c>
      <c r="F1685">
        <v>7</v>
      </c>
      <c r="G1685">
        <v>1662</v>
      </c>
      <c r="H1685" t="str">
        <f>TEXT(TbDespesas[[#This Row],[data_transacao]], "aaaa-mm")</f>
        <v>2026-04</v>
      </c>
    </row>
    <row r="1686" spans="1:8">
      <c r="A1686">
        <v>1685</v>
      </c>
      <c r="B1686" s="1">
        <v>46123</v>
      </c>
      <c r="C1686" t="s">
        <v>560</v>
      </c>
      <c r="D1686" t="s">
        <v>466</v>
      </c>
      <c r="E1686">
        <v>303</v>
      </c>
      <c r="F1686">
        <v>6</v>
      </c>
      <c r="G1686">
        <v>1825</v>
      </c>
      <c r="H1686" t="str">
        <f>TEXT(TbDespesas[[#This Row],[data_transacao]], "aaaa-mm")</f>
        <v>2026-04</v>
      </c>
    </row>
    <row r="1687" spans="1:8">
      <c r="A1687">
        <v>1686</v>
      </c>
      <c r="B1687" s="1">
        <v>46123</v>
      </c>
      <c r="C1687" t="s">
        <v>560</v>
      </c>
      <c r="D1687" t="s">
        <v>435</v>
      </c>
      <c r="E1687">
        <v>227</v>
      </c>
      <c r="F1687">
        <v>9</v>
      </c>
      <c r="G1687">
        <v>2121</v>
      </c>
      <c r="H1687" t="str">
        <f>TEXT(TbDespesas[[#This Row],[data_transacao]], "aaaa-mm")</f>
        <v>2026-04</v>
      </c>
    </row>
    <row r="1688" spans="1:8">
      <c r="A1688">
        <v>1687</v>
      </c>
      <c r="B1688" s="1">
        <v>46123</v>
      </c>
      <c r="C1688" t="s">
        <v>560</v>
      </c>
      <c r="D1688" t="s">
        <v>157</v>
      </c>
      <c r="E1688">
        <v>383</v>
      </c>
      <c r="F1688">
        <v>7</v>
      </c>
      <c r="G1688">
        <v>2850</v>
      </c>
      <c r="H1688" t="str">
        <f>TEXT(TbDespesas[[#This Row],[data_transacao]], "aaaa-mm")</f>
        <v>2026-04</v>
      </c>
    </row>
    <row r="1689" spans="1:8">
      <c r="A1689">
        <v>1688</v>
      </c>
      <c r="B1689" s="1">
        <v>46123</v>
      </c>
      <c r="C1689" t="s">
        <v>560</v>
      </c>
      <c r="D1689" t="s">
        <v>468</v>
      </c>
      <c r="E1689">
        <v>458</v>
      </c>
      <c r="F1689">
        <v>3</v>
      </c>
      <c r="G1689">
        <v>1421</v>
      </c>
      <c r="H1689" t="str">
        <f>TEXT(TbDespesas[[#This Row],[data_transacao]], "aaaa-mm")</f>
        <v>2026-04</v>
      </c>
    </row>
    <row r="1690" spans="1:8">
      <c r="A1690">
        <v>1689</v>
      </c>
      <c r="B1690" s="1">
        <v>46123</v>
      </c>
      <c r="C1690" t="s">
        <v>560</v>
      </c>
      <c r="D1690" t="s">
        <v>592</v>
      </c>
      <c r="E1690">
        <v>419</v>
      </c>
      <c r="F1690">
        <v>9</v>
      </c>
      <c r="G1690">
        <v>3781</v>
      </c>
      <c r="H1690" t="str">
        <f>TEXT(TbDespesas[[#This Row],[data_transacao]], "aaaa-mm")</f>
        <v>2026-04</v>
      </c>
    </row>
    <row r="1691" spans="1:8">
      <c r="A1691">
        <v>1690</v>
      </c>
      <c r="B1691" s="1">
        <v>46123</v>
      </c>
      <c r="C1691" t="s">
        <v>560</v>
      </c>
      <c r="D1691" t="s">
        <v>298</v>
      </c>
      <c r="E1691">
        <v>287</v>
      </c>
      <c r="F1691">
        <v>10</v>
      </c>
      <c r="G1691">
        <v>2887</v>
      </c>
      <c r="H1691" t="str">
        <f>TEXT(TbDespesas[[#This Row],[data_transacao]], "aaaa-mm")</f>
        <v>2026-04</v>
      </c>
    </row>
    <row r="1692" spans="1:8">
      <c r="A1692">
        <v>1691</v>
      </c>
      <c r="B1692" s="1">
        <v>46219</v>
      </c>
      <c r="C1692" t="s">
        <v>560</v>
      </c>
      <c r="D1692" t="s">
        <v>331</v>
      </c>
      <c r="E1692">
        <v>13</v>
      </c>
      <c r="F1692">
        <v>20</v>
      </c>
      <c r="G1692">
        <v>265</v>
      </c>
      <c r="H1692" t="str">
        <f>TEXT(TbDespesas[[#This Row],[data_transacao]], "aaaa-mm")</f>
        <v>2026-07</v>
      </c>
    </row>
    <row r="1693" spans="1:8">
      <c r="A1693">
        <v>1692</v>
      </c>
      <c r="B1693" s="1">
        <v>46219</v>
      </c>
      <c r="C1693" t="s">
        <v>560</v>
      </c>
      <c r="D1693" t="s">
        <v>159</v>
      </c>
      <c r="E1693">
        <v>304</v>
      </c>
      <c r="F1693">
        <v>6</v>
      </c>
      <c r="G1693">
        <v>1896</v>
      </c>
      <c r="H1693" t="str">
        <f>TEXT(TbDespesas[[#This Row],[data_transacao]], "aaaa-mm")</f>
        <v>2026-07</v>
      </c>
    </row>
    <row r="1694" spans="1:8">
      <c r="A1694">
        <v>1693</v>
      </c>
      <c r="B1694" s="1">
        <v>46219</v>
      </c>
      <c r="C1694" t="s">
        <v>560</v>
      </c>
      <c r="D1694" t="s">
        <v>364</v>
      </c>
      <c r="E1694">
        <v>279</v>
      </c>
      <c r="F1694">
        <v>2</v>
      </c>
      <c r="G1694">
        <v>836</v>
      </c>
      <c r="H1694" t="str">
        <f>TEXT(TbDespesas[[#This Row],[data_transacao]], "aaaa-mm")</f>
        <v>2026-07</v>
      </c>
    </row>
    <row r="1695" spans="1:8">
      <c r="A1695">
        <v>1694</v>
      </c>
      <c r="B1695" s="1">
        <v>46219</v>
      </c>
      <c r="C1695" t="s">
        <v>560</v>
      </c>
      <c r="D1695" t="s">
        <v>156</v>
      </c>
      <c r="E1695">
        <v>450</v>
      </c>
      <c r="F1695">
        <v>3</v>
      </c>
      <c r="G1695">
        <v>1389</v>
      </c>
      <c r="H1695" t="str">
        <f>TEXT(TbDespesas[[#This Row],[data_transacao]], "aaaa-mm")</f>
        <v>2026-07</v>
      </c>
    </row>
    <row r="1696" spans="1:8">
      <c r="A1696">
        <v>1695</v>
      </c>
      <c r="B1696" s="1">
        <v>46219</v>
      </c>
      <c r="C1696" t="s">
        <v>560</v>
      </c>
      <c r="D1696" t="s">
        <v>211</v>
      </c>
      <c r="E1696">
        <v>323</v>
      </c>
      <c r="F1696">
        <v>6</v>
      </c>
      <c r="G1696">
        <v>2099</v>
      </c>
      <c r="H1696" t="str">
        <f>TEXT(TbDespesas[[#This Row],[data_transacao]], "aaaa-mm")</f>
        <v>2026-07</v>
      </c>
    </row>
    <row r="1697" spans="1:8">
      <c r="A1697">
        <v>1696</v>
      </c>
      <c r="B1697" s="1">
        <v>46219</v>
      </c>
      <c r="C1697" t="s">
        <v>560</v>
      </c>
      <c r="D1697" t="s">
        <v>461</v>
      </c>
      <c r="E1697">
        <v>371</v>
      </c>
      <c r="F1697">
        <v>0</v>
      </c>
      <c r="G1697">
        <v>106</v>
      </c>
      <c r="H1697" t="str">
        <f>TEXT(TbDespesas[[#This Row],[data_transacao]], "aaaa-mm")</f>
        <v>2026-07</v>
      </c>
    </row>
    <row r="1698" spans="1:8">
      <c r="A1698">
        <v>1697</v>
      </c>
      <c r="B1698" s="1">
        <v>46219</v>
      </c>
      <c r="C1698" t="s">
        <v>560</v>
      </c>
      <c r="D1698" t="s">
        <v>460</v>
      </c>
      <c r="E1698">
        <v>35</v>
      </c>
      <c r="F1698">
        <v>90</v>
      </c>
      <c r="G1698">
        <v>3174</v>
      </c>
      <c r="H1698" t="str">
        <f>TEXT(TbDespesas[[#This Row],[data_transacao]], "aaaa-mm")</f>
        <v>2026-07</v>
      </c>
    </row>
    <row r="1699" spans="1:8">
      <c r="A1699">
        <v>1698</v>
      </c>
      <c r="B1699" s="1">
        <v>46219</v>
      </c>
      <c r="C1699" t="s">
        <v>560</v>
      </c>
      <c r="D1699" t="s">
        <v>180</v>
      </c>
      <c r="E1699">
        <v>182</v>
      </c>
      <c r="F1699">
        <v>6</v>
      </c>
      <c r="G1699">
        <v>1137</v>
      </c>
      <c r="H1699" t="str">
        <f>TEXT(TbDespesas[[#This Row],[data_transacao]], "aaaa-mm")</f>
        <v>2026-07</v>
      </c>
    </row>
    <row r="1700" spans="1:8">
      <c r="A1700">
        <v>1699</v>
      </c>
      <c r="B1700" s="1">
        <v>46262</v>
      </c>
      <c r="C1700" t="s">
        <v>691</v>
      </c>
      <c r="D1700" t="s">
        <v>63</v>
      </c>
      <c r="E1700">
        <v>163</v>
      </c>
      <c r="F1700">
        <v>7</v>
      </c>
      <c r="G1700">
        <v>1243</v>
      </c>
      <c r="H1700" t="str">
        <f>TEXT(TbDespesas[[#This Row],[data_transacao]], "aaaa-mm")</f>
        <v>2026-08</v>
      </c>
    </row>
    <row r="1701" spans="1:8">
      <c r="A1701">
        <v>1700</v>
      </c>
      <c r="B1701" s="1">
        <v>46072</v>
      </c>
      <c r="C1701" t="s">
        <v>223</v>
      </c>
      <c r="D1701" t="s">
        <v>198</v>
      </c>
      <c r="E1701">
        <v>195</v>
      </c>
      <c r="F1701">
        <v>2</v>
      </c>
      <c r="G1701">
        <v>451</v>
      </c>
      <c r="H1701" t="str">
        <f>TEXT(TbDespesas[[#This Row],[data_transacao]], "aaaa-mm")</f>
        <v>2026-02</v>
      </c>
    </row>
    <row r="1702" spans="1:8">
      <c r="A1702">
        <v>1701</v>
      </c>
      <c r="B1702" s="1">
        <v>46072</v>
      </c>
      <c r="C1702" t="s">
        <v>223</v>
      </c>
      <c r="D1702" t="s">
        <v>59</v>
      </c>
      <c r="E1702">
        <v>163</v>
      </c>
      <c r="F1702">
        <v>13</v>
      </c>
      <c r="G1702">
        <v>2139</v>
      </c>
      <c r="H1702" t="str">
        <f>TEXT(TbDespesas[[#This Row],[data_transacao]], "aaaa-mm")</f>
        <v>2026-02</v>
      </c>
    </row>
    <row r="1703" spans="1:8">
      <c r="A1703">
        <v>1702</v>
      </c>
      <c r="B1703" s="1">
        <v>46072</v>
      </c>
      <c r="C1703" t="s">
        <v>223</v>
      </c>
      <c r="D1703" t="s">
        <v>432</v>
      </c>
      <c r="E1703">
        <v>147</v>
      </c>
      <c r="F1703">
        <v>12</v>
      </c>
      <c r="G1703">
        <v>1824</v>
      </c>
      <c r="H1703" t="str">
        <f>TEXT(TbDespesas[[#This Row],[data_transacao]], "aaaa-mm")</f>
        <v>2026-02</v>
      </c>
    </row>
    <row r="1704" spans="1:8">
      <c r="A1704">
        <v>1703</v>
      </c>
      <c r="B1704" s="1">
        <v>46072</v>
      </c>
      <c r="C1704" t="s">
        <v>223</v>
      </c>
      <c r="D1704" t="s">
        <v>269</v>
      </c>
      <c r="E1704">
        <v>221</v>
      </c>
      <c r="F1704">
        <v>10</v>
      </c>
      <c r="G1704">
        <v>2338</v>
      </c>
      <c r="H1704" t="str">
        <f>TEXT(TbDespesas[[#This Row],[data_transacao]], "aaaa-mm")</f>
        <v>2026-02</v>
      </c>
    </row>
    <row r="1705" spans="1:8">
      <c r="A1705">
        <v>1704</v>
      </c>
      <c r="B1705" s="1">
        <v>46072</v>
      </c>
      <c r="C1705" t="s">
        <v>223</v>
      </c>
      <c r="D1705" t="s">
        <v>101</v>
      </c>
      <c r="E1705">
        <v>100</v>
      </c>
      <c r="F1705">
        <v>20</v>
      </c>
      <c r="G1705">
        <v>2032</v>
      </c>
      <c r="H1705" t="str">
        <f>TEXT(TbDespesas[[#This Row],[data_transacao]], "aaaa-mm")</f>
        <v>2026-02</v>
      </c>
    </row>
    <row r="1706" spans="1:8">
      <c r="A1706">
        <v>1705</v>
      </c>
      <c r="B1706" s="1">
        <v>46072</v>
      </c>
      <c r="C1706" t="s">
        <v>223</v>
      </c>
      <c r="D1706" t="s">
        <v>465</v>
      </c>
      <c r="E1706">
        <v>162</v>
      </c>
      <c r="F1706">
        <v>13</v>
      </c>
      <c r="G1706">
        <v>2207</v>
      </c>
      <c r="H1706" t="str">
        <f>TEXT(TbDespesas[[#This Row],[data_transacao]], "aaaa-mm")</f>
        <v>2026-02</v>
      </c>
    </row>
    <row r="1707" spans="1:8">
      <c r="A1707">
        <v>1706</v>
      </c>
      <c r="B1707" s="1">
        <v>46072</v>
      </c>
      <c r="C1707" t="s">
        <v>223</v>
      </c>
      <c r="D1707" t="s">
        <v>189</v>
      </c>
      <c r="E1707">
        <v>168</v>
      </c>
      <c r="F1707">
        <v>23</v>
      </c>
      <c r="G1707">
        <v>3990</v>
      </c>
      <c r="H1707" t="str">
        <f>TEXT(TbDespesas[[#This Row],[data_transacao]], "aaaa-mm")</f>
        <v>2026-02</v>
      </c>
    </row>
    <row r="1708" spans="1:8">
      <c r="A1708">
        <v>1707</v>
      </c>
      <c r="B1708" s="1">
        <v>46072</v>
      </c>
      <c r="C1708" t="s">
        <v>223</v>
      </c>
      <c r="D1708" t="s">
        <v>587</v>
      </c>
      <c r="E1708">
        <v>287</v>
      </c>
      <c r="F1708">
        <v>7</v>
      </c>
      <c r="G1708">
        <v>2167</v>
      </c>
      <c r="H1708" t="str">
        <f>TEXT(TbDespesas[[#This Row],[data_transacao]], "aaaa-mm")</f>
        <v>2026-02</v>
      </c>
    </row>
    <row r="1709" spans="1:8">
      <c r="A1709">
        <v>1708</v>
      </c>
      <c r="B1709" s="1">
        <v>46072</v>
      </c>
      <c r="C1709" t="s">
        <v>223</v>
      </c>
      <c r="D1709" t="s">
        <v>654</v>
      </c>
      <c r="E1709">
        <v>164</v>
      </c>
      <c r="F1709">
        <v>12</v>
      </c>
      <c r="G1709">
        <v>2083</v>
      </c>
      <c r="H1709" t="str">
        <f>TEXT(TbDespesas[[#This Row],[data_transacao]], "aaaa-mm")</f>
        <v>2026-02</v>
      </c>
    </row>
    <row r="1710" spans="1:8">
      <c r="A1710">
        <v>1709</v>
      </c>
      <c r="B1710" s="1">
        <v>46195</v>
      </c>
      <c r="C1710" t="s">
        <v>69</v>
      </c>
      <c r="D1710" t="s">
        <v>257</v>
      </c>
      <c r="E1710">
        <v>307</v>
      </c>
      <c r="F1710">
        <v>3</v>
      </c>
      <c r="G1710">
        <v>1122</v>
      </c>
      <c r="H1710" t="str">
        <f>TEXT(TbDespesas[[#This Row],[data_transacao]], "aaaa-mm")</f>
        <v>2026-06</v>
      </c>
    </row>
    <row r="1711" spans="1:8">
      <c r="A1711">
        <v>1710</v>
      </c>
      <c r="B1711" s="1">
        <v>46195</v>
      </c>
      <c r="C1711" t="s">
        <v>69</v>
      </c>
      <c r="D1711" t="s">
        <v>347</v>
      </c>
      <c r="E1711">
        <v>264</v>
      </c>
      <c r="F1711">
        <v>3</v>
      </c>
      <c r="G1711">
        <v>1027</v>
      </c>
      <c r="H1711" t="str">
        <f>TEXT(TbDespesas[[#This Row],[data_transacao]], "aaaa-mm")</f>
        <v>2026-06</v>
      </c>
    </row>
    <row r="1712" spans="1:8">
      <c r="A1712">
        <v>1711</v>
      </c>
      <c r="B1712" s="1">
        <v>46195</v>
      </c>
      <c r="C1712" t="s">
        <v>69</v>
      </c>
      <c r="D1712" t="s">
        <v>367</v>
      </c>
      <c r="E1712">
        <v>451</v>
      </c>
      <c r="F1712">
        <v>4</v>
      </c>
      <c r="G1712">
        <v>2023</v>
      </c>
      <c r="H1712" t="str">
        <f>TEXT(TbDespesas[[#This Row],[data_transacao]], "aaaa-mm")</f>
        <v>2026-06</v>
      </c>
    </row>
    <row r="1713" spans="1:8">
      <c r="A1713">
        <v>1712</v>
      </c>
      <c r="B1713" s="1">
        <v>46064</v>
      </c>
      <c r="C1713" t="s">
        <v>73</v>
      </c>
      <c r="D1713" t="s">
        <v>528</v>
      </c>
      <c r="E1713">
        <v>91</v>
      </c>
      <c r="F1713">
        <v>13</v>
      </c>
      <c r="G1713">
        <v>1257</v>
      </c>
      <c r="H1713" t="str">
        <f>TEXT(TbDespesas[[#This Row],[data_transacao]], "aaaa-mm")</f>
        <v>2026-02</v>
      </c>
    </row>
    <row r="1714" spans="1:8">
      <c r="A1714">
        <v>1713</v>
      </c>
      <c r="B1714" s="1">
        <v>46062</v>
      </c>
      <c r="C1714" t="s">
        <v>486</v>
      </c>
      <c r="D1714" t="s">
        <v>577</v>
      </c>
      <c r="E1714">
        <v>222</v>
      </c>
      <c r="F1714">
        <v>10</v>
      </c>
      <c r="G1714">
        <v>2330</v>
      </c>
      <c r="H1714" t="str">
        <f>TEXT(TbDespesas[[#This Row],[data_transacao]], "aaaa-mm")</f>
        <v>2026-02</v>
      </c>
    </row>
    <row r="1715" spans="1:8">
      <c r="A1715">
        <v>1714</v>
      </c>
      <c r="B1715" s="1">
        <v>46062</v>
      </c>
      <c r="C1715" t="s">
        <v>486</v>
      </c>
      <c r="D1715" t="s">
        <v>551</v>
      </c>
      <c r="E1715">
        <v>343</v>
      </c>
      <c r="F1715">
        <v>6</v>
      </c>
      <c r="G1715">
        <v>2188</v>
      </c>
      <c r="H1715" t="str">
        <f>TEXT(TbDespesas[[#This Row],[data_transacao]], "aaaa-mm")</f>
        <v>2026-02</v>
      </c>
    </row>
    <row r="1716" spans="1:8">
      <c r="A1716">
        <v>1715</v>
      </c>
      <c r="B1716" s="1">
        <v>46062</v>
      </c>
      <c r="C1716" t="s">
        <v>486</v>
      </c>
      <c r="D1716" t="s">
        <v>229</v>
      </c>
      <c r="E1716">
        <v>211</v>
      </c>
      <c r="F1716">
        <v>8</v>
      </c>
      <c r="G1716">
        <v>1814</v>
      </c>
      <c r="H1716" t="str">
        <f>TEXT(TbDespesas[[#This Row],[data_transacao]], "aaaa-mm")</f>
        <v>2026-02</v>
      </c>
    </row>
    <row r="1717" spans="1:8">
      <c r="A1717">
        <v>1716</v>
      </c>
      <c r="B1717" s="1">
        <v>46062</v>
      </c>
      <c r="C1717" t="s">
        <v>486</v>
      </c>
      <c r="D1717" t="s">
        <v>343</v>
      </c>
      <c r="E1717">
        <v>23</v>
      </c>
      <c r="F1717">
        <v>90</v>
      </c>
      <c r="G1717">
        <v>2080</v>
      </c>
      <c r="H1717" t="str">
        <f>TEXT(TbDespesas[[#This Row],[data_transacao]], "aaaa-mm")</f>
        <v>2026-02</v>
      </c>
    </row>
    <row r="1718" spans="1:8">
      <c r="A1718">
        <v>1717</v>
      </c>
      <c r="B1718" s="1">
        <v>46062</v>
      </c>
      <c r="C1718" t="s">
        <v>486</v>
      </c>
      <c r="D1718" t="s">
        <v>613</v>
      </c>
      <c r="E1718">
        <v>409</v>
      </c>
      <c r="F1718">
        <v>2</v>
      </c>
      <c r="G1718">
        <v>963</v>
      </c>
      <c r="H1718" t="str">
        <f>TEXT(TbDespesas[[#This Row],[data_transacao]], "aaaa-mm")</f>
        <v>2026-02</v>
      </c>
    </row>
    <row r="1719" spans="1:8">
      <c r="A1719">
        <v>1718</v>
      </c>
      <c r="B1719" s="1">
        <v>46062</v>
      </c>
      <c r="C1719" t="s">
        <v>486</v>
      </c>
      <c r="D1719" t="s">
        <v>257</v>
      </c>
      <c r="E1719">
        <v>357</v>
      </c>
      <c r="F1719">
        <v>4</v>
      </c>
      <c r="G1719">
        <v>1561</v>
      </c>
      <c r="H1719" t="str">
        <f>TEXT(TbDespesas[[#This Row],[data_transacao]], "aaaa-mm")</f>
        <v>2026-02</v>
      </c>
    </row>
    <row r="1720" spans="1:8">
      <c r="A1720">
        <v>1719</v>
      </c>
      <c r="B1720" s="1">
        <v>46243</v>
      </c>
      <c r="C1720" t="s">
        <v>118</v>
      </c>
      <c r="D1720" t="s">
        <v>546</v>
      </c>
      <c r="E1720">
        <v>230</v>
      </c>
      <c r="F1720">
        <v>5</v>
      </c>
      <c r="G1720">
        <v>1315</v>
      </c>
      <c r="H1720" t="str">
        <f>TEXT(TbDespesas[[#This Row],[data_transacao]], "aaaa-mm")</f>
        <v>2026-08</v>
      </c>
    </row>
    <row r="1721" spans="1:8">
      <c r="A1721">
        <v>1720</v>
      </c>
      <c r="B1721" s="1">
        <v>46243</v>
      </c>
      <c r="C1721" t="s">
        <v>118</v>
      </c>
      <c r="D1721" t="s">
        <v>105</v>
      </c>
      <c r="E1721">
        <v>169</v>
      </c>
      <c r="F1721">
        <v>15</v>
      </c>
      <c r="G1721">
        <v>2698</v>
      </c>
      <c r="H1721" t="str">
        <f>TEXT(TbDespesas[[#This Row],[data_transacao]], "aaaa-mm")</f>
        <v>2026-08</v>
      </c>
    </row>
    <row r="1722" spans="1:8">
      <c r="A1722">
        <v>1721</v>
      </c>
      <c r="B1722" s="1">
        <v>46243</v>
      </c>
      <c r="C1722" t="s">
        <v>118</v>
      </c>
      <c r="D1722" t="s">
        <v>423</v>
      </c>
      <c r="E1722">
        <v>371</v>
      </c>
      <c r="F1722">
        <v>5</v>
      </c>
      <c r="G1722">
        <v>2206</v>
      </c>
      <c r="H1722" t="str">
        <f>TEXT(TbDespesas[[#This Row],[data_transacao]], "aaaa-mm")</f>
        <v>2026-08</v>
      </c>
    </row>
    <row r="1723" spans="1:8">
      <c r="A1723">
        <v>1722</v>
      </c>
      <c r="B1723" s="1">
        <v>46260</v>
      </c>
      <c r="C1723" t="s">
        <v>536</v>
      </c>
      <c r="D1723" t="s">
        <v>242</v>
      </c>
      <c r="E1723">
        <v>47</v>
      </c>
      <c r="F1723">
        <v>67</v>
      </c>
      <c r="G1723">
        <v>3156</v>
      </c>
      <c r="H1723" t="str">
        <f>TEXT(TbDespesas[[#This Row],[data_transacao]], "aaaa-mm")</f>
        <v>2026-08</v>
      </c>
    </row>
    <row r="1724" spans="1:8">
      <c r="A1724">
        <v>1723</v>
      </c>
      <c r="B1724" s="1">
        <v>46260</v>
      </c>
      <c r="C1724" t="s">
        <v>536</v>
      </c>
      <c r="D1724" t="s">
        <v>692</v>
      </c>
      <c r="E1724">
        <v>121</v>
      </c>
      <c r="F1724">
        <v>19</v>
      </c>
      <c r="G1724">
        <v>2372</v>
      </c>
      <c r="H1724" t="str">
        <f>TEXT(TbDespesas[[#This Row],[data_transacao]], "aaaa-mm")</f>
        <v>2026-08</v>
      </c>
    </row>
    <row r="1725" spans="1:8">
      <c r="A1725">
        <v>1724</v>
      </c>
      <c r="B1725" s="1">
        <v>46260</v>
      </c>
      <c r="C1725" t="s">
        <v>536</v>
      </c>
      <c r="D1725" t="s">
        <v>220</v>
      </c>
      <c r="E1725">
        <v>38</v>
      </c>
      <c r="F1725">
        <v>68</v>
      </c>
      <c r="G1725">
        <v>2615</v>
      </c>
      <c r="H1725" t="str">
        <f>TEXT(TbDespesas[[#This Row],[data_transacao]], "aaaa-mm")</f>
        <v>2026-08</v>
      </c>
    </row>
    <row r="1726" spans="1:8">
      <c r="A1726">
        <v>1725</v>
      </c>
      <c r="B1726" s="1">
        <v>46260</v>
      </c>
      <c r="C1726" t="s">
        <v>536</v>
      </c>
      <c r="D1726" t="s">
        <v>474</v>
      </c>
      <c r="E1726">
        <v>282</v>
      </c>
      <c r="F1726">
        <v>10</v>
      </c>
      <c r="G1726">
        <v>2909</v>
      </c>
      <c r="H1726" t="str">
        <f>TEXT(TbDespesas[[#This Row],[data_transacao]], "aaaa-mm")</f>
        <v>2026-08</v>
      </c>
    </row>
    <row r="1727" spans="1:8">
      <c r="A1727">
        <v>1726</v>
      </c>
      <c r="B1727" s="1">
        <v>46260</v>
      </c>
      <c r="C1727" t="s">
        <v>536</v>
      </c>
      <c r="D1727" t="s">
        <v>250</v>
      </c>
      <c r="E1727">
        <v>389</v>
      </c>
      <c r="F1727">
        <v>3</v>
      </c>
      <c r="G1727">
        <v>1547</v>
      </c>
      <c r="H1727" t="str">
        <f>TEXT(TbDespesas[[#This Row],[data_transacao]], "aaaa-mm")</f>
        <v>2026-08</v>
      </c>
    </row>
    <row r="1728" spans="1:8">
      <c r="A1728">
        <v>1727</v>
      </c>
      <c r="B1728" s="1">
        <v>46260</v>
      </c>
      <c r="C1728" t="s">
        <v>536</v>
      </c>
      <c r="D1728" t="s">
        <v>426</v>
      </c>
      <c r="E1728">
        <v>96</v>
      </c>
      <c r="F1728">
        <v>8</v>
      </c>
      <c r="G1728">
        <v>841</v>
      </c>
      <c r="H1728" t="str">
        <f>TEXT(TbDespesas[[#This Row],[data_transacao]], "aaaa-mm")</f>
        <v>2026-08</v>
      </c>
    </row>
    <row r="1729" spans="1:8">
      <c r="A1729">
        <v>1728</v>
      </c>
      <c r="B1729" s="1">
        <v>46260</v>
      </c>
      <c r="C1729" t="s">
        <v>536</v>
      </c>
      <c r="D1729" t="s">
        <v>519</v>
      </c>
      <c r="E1729">
        <v>408</v>
      </c>
      <c r="F1729">
        <v>3</v>
      </c>
      <c r="G1729">
        <v>1356</v>
      </c>
      <c r="H1729" t="str">
        <f>TEXT(TbDespesas[[#This Row],[data_transacao]], "aaaa-mm")</f>
        <v>2026-08</v>
      </c>
    </row>
    <row r="1730" spans="1:8">
      <c r="A1730">
        <v>1729</v>
      </c>
      <c r="B1730" s="1">
        <v>46260</v>
      </c>
      <c r="C1730" t="s">
        <v>536</v>
      </c>
      <c r="D1730" t="s">
        <v>333</v>
      </c>
      <c r="E1730">
        <v>204</v>
      </c>
      <c r="F1730">
        <v>5</v>
      </c>
      <c r="G1730">
        <v>1219</v>
      </c>
      <c r="H1730" t="str">
        <f>TEXT(TbDespesas[[#This Row],[data_transacao]], "aaaa-mm")</f>
        <v>2026-08</v>
      </c>
    </row>
    <row r="1731" spans="1:8">
      <c r="A1731">
        <v>1730</v>
      </c>
      <c r="B1731" s="1">
        <v>46260</v>
      </c>
      <c r="C1731" t="s">
        <v>536</v>
      </c>
      <c r="D1731" t="s">
        <v>292</v>
      </c>
      <c r="E1731">
        <v>399</v>
      </c>
      <c r="F1731">
        <v>1</v>
      </c>
      <c r="G1731">
        <v>677</v>
      </c>
      <c r="H1731" t="str">
        <f>TEXT(TbDespesas[[#This Row],[data_transacao]], "aaaa-mm")</f>
        <v>2026-08</v>
      </c>
    </row>
    <row r="1732" spans="1:8">
      <c r="A1732">
        <v>1731</v>
      </c>
      <c r="B1732" s="1">
        <v>46260</v>
      </c>
      <c r="C1732" t="s">
        <v>536</v>
      </c>
      <c r="D1732" t="s">
        <v>427</v>
      </c>
      <c r="E1732">
        <v>334</v>
      </c>
      <c r="F1732">
        <v>4</v>
      </c>
      <c r="G1732">
        <v>1648</v>
      </c>
      <c r="H1732" t="str">
        <f>TEXT(TbDespesas[[#This Row],[data_transacao]], "aaaa-mm")</f>
        <v>2026-08</v>
      </c>
    </row>
    <row r="1733" spans="1:8">
      <c r="A1733">
        <v>1732</v>
      </c>
      <c r="B1733" s="1">
        <v>46260</v>
      </c>
      <c r="C1733" t="s">
        <v>536</v>
      </c>
      <c r="D1733" t="s">
        <v>98</v>
      </c>
      <c r="E1733">
        <v>98</v>
      </c>
      <c r="F1733">
        <v>27</v>
      </c>
      <c r="G1733">
        <v>2672</v>
      </c>
      <c r="H1733" t="str">
        <f>TEXT(TbDespesas[[#This Row],[data_transacao]], "aaaa-mm")</f>
        <v>2026-08</v>
      </c>
    </row>
    <row r="1734" spans="1:8">
      <c r="A1734">
        <v>1733</v>
      </c>
      <c r="B1734" s="1">
        <v>45992</v>
      </c>
      <c r="C1734" t="s">
        <v>681</v>
      </c>
      <c r="D1734" t="s">
        <v>323</v>
      </c>
      <c r="E1734">
        <v>406</v>
      </c>
      <c r="F1734">
        <v>5</v>
      </c>
      <c r="G1734">
        <v>2420</v>
      </c>
      <c r="H1734" t="str">
        <f>TEXT(TbDespesas[[#This Row],[data_transacao]], "aaaa-mm")</f>
        <v>2025-12</v>
      </c>
    </row>
    <row r="1735" spans="1:8">
      <c r="A1735">
        <v>1734</v>
      </c>
      <c r="B1735" s="1">
        <v>45992</v>
      </c>
      <c r="C1735" t="s">
        <v>681</v>
      </c>
      <c r="D1735" t="s">
        <v>26</v>
      </c>
      <c r="E1735">
        <v>384</v>
      </c>
      <c r="F1735">
        <v>2</v>
      </c>
      <c r="G1735">
        <v>993</v>
      </c>
      <c r="H1735" t="str">
        <f>TEXT(TbDespesas[[#This Row],[data_transacao]], "aaaa-mm")</f>
        <v>2025-12</v>
      </c>
    </row>
    <row r="1736" spans="1:8">
      <c r="A1736">
        <v>1735</v>
      </c>
      <c r="B1736" s="1">
        <v>45992</v>
      </c>
      <c r="C1736" t="s">
        <v>681</v>
      </c>
      <c r="D1736" t="s">
        <v>343</v>
      </c>
      <c r="E1736">
        <v>115</v>
      </c>
      <c r="F1736">
        <v>24</v>
      </c>
      <c r="G1736">
        <v>2823</v>
      </c>
      <c r="H1736" t="str">
        <f>TEXT(TbDespesas[[#This Row],[data_transacao]], "aaaa-mm")</f>
        <v>2025-12</v>
      </c>
    </row>
    <row r="1737" spans="1:8">
      <c r="A1737">
        <v>1736</v>
      </c>
      <c r="B1737" s="1">
        <v>45992</v>
      </c>
      <c r="C1737" t="s">
        <v>681</v>
      </c>
      <c r="D1737" t="s">
        <v>161</v>
      </c>
      <c r="E1737">
        <v>262</v>
      </c>
      <c r="F1737">
        <v>9</v>
      </c>
      <c r="G1737">
        <v>2396</v>
      </c>
      <c r="H1737" t="str">
        <f>TEXT(TbDespesas[[#This Row],[data_transacao]], "aaaa-mm")</f>
        <v>2025-12</v>
      </c>
    </row>
    <row r="1738" spans="1:8">
      <c r="A1738">
        <v>1737</v>
      </c>
      <c r="B1738" s="1">
        <v>45992</v>
      </c>
      <c r="C1738" t="s">
        <v>681</v>
      </c>
      <c r="D1738" t="s">
        <v>463</v>
      </c>
      <c r="E1738">
        <v>247</v>
      </c>
      <c r="F1738">
        <v>10</v>
      </c>
      <c r="G1738">
        <v>2612</v>
      </c>
      <c r="H1738" t="str">
        <f>TEXT(TbDespesas[[#This Row],[data_transacao]], "aaaa-mm")</f>
        <v>2025-12</v>
      </c>
    </row>
    <row r="1739" spans="1:8">
      <c r="A1739">
        <v>1738</v>
      </c>
      <c r="B1739" s="1">
        <v>45992</v>
      </c>
      <c r="C1739" t="s">
        <v>681</v>
      </c>
      <c r="D1739" t="s">
        <v>284</v>
      </c>
      <c r="E1739">
        <v>473</v>
      </c>
      <c r="F1739">
        <v>5</v>
      </c>
      <c r="G1739">
        <v>2762</v>
      </c>
      <c r="H1739" t="str">
        <f>TEXT(TbDespesas[[#This Row],[data_transacao]], "aaaa-mm")</f>
        <v>2025-12</v>
      </c>
    </row>
    <row r="1740" spans="1:8">
      <c r="A1740">
        <v>1739</v>
      </c>
      <c r="B1740" s="1">
        <v>45992</v>
      </c>
      <c r="C1740" t="s">
        <v>681</v>
      </c>
      <c r="D1740" t="s">
        <v>543</v>
      </c>
      <c r="E1740">
        <v>480</v>
      </c>
      <c r="F1740">
        <v>2</v>
      </c>
      <c r="G1740">
        <v>1222</v>
      </c>
      <c r="H1740" t="str">
        <f>TEXT(TbDespesas[[#This Row],[data_transacao]], "aaaa-mm")</f>
        <v>2025-12</v>
      </c>
    </row>
    <row r="1741" spans="1:8">
      <c r="A1741">
        <v>1740</v>
      </c>
      <c r="B1741" s="1">
        <v>45992</v>
      </c>
      <c r="C1741" t="s">
        <v>681</v>
      </c>
      <c r="D1741" t="s">
        <v>641</v>
      </c>
      <c r="E1741">
        <v>427</v>
      </c>
      <c r="F1741">
        <v>3</v>
      </c>
      <c r="G1741">
        <v>1400</v>
      </c>
      <c r="H1741" t="str">
        <f>TEXT(TbDespesas[[#This Row],[data_transacao]], "aaaa-mm")</f>
        <v>2025-12</v>
      </c>
    </row>
    <row r="1742" spans="1:8">
      <c r="A1742">
        <v>1741</v>
      </c>
      <c r="B1742" s="1">
        <v>45992</v>
      </c>
      <c r="C1742" t="s">
        <v>681</v>
      </c>
      <c r="D1742" t="s">
        <v>440</v>
      </c>
      <c r="E1742">
        <v>447</v>
      </c>
      <c r="F1742">
        <v>3</v>
      </c>
      <c r="G1742">
        <v>1781</v>
      </c>
      <c r="H1742" t="str">
        <f>TEXT(TbDespesas[[#This Row],[data_transacao]], "aaaa-mm")</f>
        <v>2025-12</v>
      </c>
    </row>
    <row r="1743" spans="1:8">
      <c r="A1743">
        <v>1742</v>
      </c>
      <c r="B1743" s="1">
        <v>45992</v>
      </c>
      <c r="C1743" t="s">
        <v>681</v>
      </c>
      <c r="D1743" t="s">
        <v>669</v>
      </c>
      <c r="E1743">
        <v>119</v>
      </c>
      <c r="F1743">
        <v>10</v>
      </c>
      <c r="G1743">
        <v>1193</v>
      </c>
      <c r="H1743" t="str">
        <f>TEXT(TbDespesas[[#This Row],[data_transacao]], "aaaa-mm")</f>
        <v>2025-12</v>
      </c>
    </row>
    <row r="1744" spans="1:8">
      <c r="A1744">
        <v>1743</v>
      </c>
      <c r="B1744" s="1">
        <v>45937</v>
      </c>
      <c r="C1744" t="s">
        <v>657</v>
      </c>
      <c r="D1744" t="s">
        <v>283</v>
      </c>
      <c r="E1744">
        <v>208</v>
      </c>
      <c r="F1744">
        <v>19</v>
      </c>
      <c r="G1744">
        <v>4009</v>
      </c>
      <c r="H1744" t="str">
        <f>TEXT(TbDespesas[[#This Row],[data_transacao]], "aaaa-mm")</f>
        <v>2025-10</v>
      </c>
    </row>
    <row r="1745" spans="1:8">
      <c r="A1745">
        <v>1744</v>
      </c>
      <c r="B1745" s="1">
        <v>45937</v>
      </c>
      <c r="C1745" t="s">
        <v>657</v>
      </c>
      <c r="D1745" t="s">
        <v>202</v>
      </c>
      <c r="E1745">
        <v>61</v>
      </c>
      <c r="F1745">
        <v>39</v>
      </c>
      <c r="G1745">
        <v>2404</v>
      </c>
      <c r="H1745" t="str">
        <f>TEXT(TbDespesas[[#This Row],[data_transacao]], "aaaa-mm")</f>
        <v>2025-10</v>
      </c>
    </row>
    <row r="1746" spans="1:8">
      <c r="A1746">
        <v>1745</v>
      </c>
      <c r="B1746" s="1">
        <v>45937</v>
      </c>
      <c r="C1746" t="s">
        <v>657</v>
      </c>
      <c r="D1746" t="s">
        <v>558</v>
      </c>
      <c r="E1746">
        <v>24</v>
      </c>
      <c r="F1746">
        <v>88</v>
      </c>
      <c r="G1746">
        <v>2124</v>
      </c>
      <c r="H1746" t="str">
        <f>TEXT(TbDespesas[[#This Row],[data_transacao]], "aaaa-mm")</f>
        <v>2025-10</v>
      </c>
    </row>
    <row r="1747" spans="1:8">
      <c r="A1747">
        <v>1746</v>
      </c>
      <c r="B1747" s="1">
        <v>45937</v>
      </c>
      <c r="C1747" t="s">
        <v>657</v>
      </c>
      <c r="D1747" t="s">
        <v>231</v>
      </c>
      <c r="E1747">
        <v>271</v>
      </c>
      <c r="F1747">
        <v>5</v>
      </c>
      <c r="G1747">
        <v>1479</v>
      </c>
      <c r="H1747" t="str">
        <f>TEXT(TbDespesas[[#This Row],[data_transacao]], "aaaa-mm")</f>
        <v>2025-10</v>
      </c>
    </row>
    <row r="1748" spans="1:8">
      <c r="A1748">
        <v>1747</v>
      </c>
      <c r="B1748" s="1">
        <v>45937</v>
      </c>
      <c r="C1748" t="s">
        <v>657</v>
      </c>
      <c r="D1748" t="s">
        <v>612</v>
      </c>
      <c r="E1748">
        <v>385</v>
      </c>
      <c r="F1748">
        <v>4</v>
      </c>
      <c r="G1748">
        <v>1849</v>
      </c>
      <c r="H1748" t="str">
        <f>TEXT(TbDespesas[[#This Row],[data_transacao]], "aaaa-mm")</f>
        <v>2025-10</v>
      </c>
    </row>
    <row r="1749" spans="1:8">
      <c r="A1749">
        <v>1748</v>
      </c>
      <c r="B1749" s="1">
        <v>46186</v>
      </c>
      <c r="C1749" t="s">
        <v>344</v>
      </c>
      <c r="D1749" t="s">
        <v>693</v>
      </c>
      <c r="E1749">
        <v>406</v>
      </c>
      <c r="F1749">
        <v>8</v>
      </c>
      <c r="G1749">
        <v>3265</v>
      </c>
      <c r="H1749" t="str">
        <f>TEXT(TbDespesas[[#This Row],[data_transacao]], "aaaa-mm")</f>
        <v>2026-06</v>
      </c>
    </row>
    <row r="1750" spans="1:8">
      <c r="A1750">
        <v>1749</v>
      </c>
      <c r="B1750" s="1">
        <v>46186</v>
      </c>
      <c r="C1750" t="s">
        <v>344</v>
      </c>
      <c r="D1750" t="s">
        <v>229</v>
      </c>
      <c r="E1750">
        <v>242</v>
      </c>
      <c r="F1750">
        <v>8</v>
      </c>
      <c r="G1750">
        <v>2112</v>
      </c>
      <c r="H1750" t="str">
        <f>TEXT(TbDespesas[[#This Row],[data_transacao]], "aaaa-mm")</f>
        <v>2026-06</v>
      </c>
    </row>
    <row r="1751" spans="1:8">
      <c r="A1751">
        <v>1750</v>
      </c>
      <c r="B1751" s="1">
        <v>46020</v>
      </c>
      <c r="C1751" t="s">
        <v>421</v>
      </c>
      <c r="D1751" t="s">
        <v>685</v>
      </c>
      <c r="E1751">
        <v>406</v>
      </c>
      <c r="F1751">
        <v>7</v>
      </c>
      <c r="G1751">
        <v>2969</v>
      </c>
      <c r="H1751" t="str">
        <f>TEXT(TbDespesas[[#This Row],[data_transacao]], "aaaa-mm")</f>
        <v>2025-12</v>
      </c>
    </row>
    <row r="1752" spans="1:8">
      <c r="A1752">
        <v>1751</v>
      </c>
      <c r="B1752" s="1">
        <v>46020</v>
      </c>
      <c r="C1752" t="s">
        <v>421</v>
      </c>
      <c r="D1752" t="s">
        <v>134</v>
      </c>
      <c r="E1752">
        <v>354</v>
      </c>
      <c r="F1752">
        <v>6</v>
      </c>
      <c r="G1752">
        <v>2204</v>
      </c>
      <c r="H1752" t="str">
        <f>TEXT(TbDespesas[[#This Row],[data_transacao]], "aaaa-mm")</f>
        <v>2025-12</v>
      </c>
    </row>
    <row r="1753" spans="1:8">
      <c r="A1753">
        <v>1752</v>
      </c>
      <c r="B1753" s="1">
        <v>46020</v>
      </c>
      <c r="C1753" t="s">
        <v>421</v>
      </c>
      <c r="D1753" t="s">
        <v>596</v>
      </c>
      <c r="E1753">
        <v>408</v>
      </c>
      <c r="F1753">
        <v>6</v>
      </c>
      <c r="G1753">
        <v>2678</v>
      </c>
      <c r="H1753" t="str">
        <f>TEXT(TbDespesas[[#This Row],[data_transacao]], "aaaa-mm")</f>
        <v>2025-12</v>
      </c>
    </row>
    <row r="1754" spans="1:8">
      <c r="A1754">
        <v>1753</v>
      </c>
      <c r="B1754" s="1">
        <v>46020</v>
      </c>
      <c r="C1754" t="s">
        <v>421</v>
      </c>
      <c r="D1754" t="s">
        <v>203</v>
      </c>
      <c r="E1754">
        <v>321</v>
      </c>
      <c r="F1754">
        <v>8</v>
      </c>
      <c r="G1754">
        <v>2746</v>
      </c>
      <c r="H1754" t="str">
        <f>TEXT(TbDespesas[[#This Row],[data_transacao]], "aaaa-mm")</f>
        <v>2025-12</v>
      </c>
    </row>
    <row r="1755" spans="1:8">
      <c r="A1755">
        <v>1754</v>
      </c>
      <c r="B1755" s="1">
        <v>46024</v>
      </c>
      <c r="C1755" t="s">
        <v>303</v>
      </c>
      <c r="D1755" t="s">
        <v>74</v>
      </c>
      <c r="E1755">
        <v>488</v>
      </c>
      <c r="F1755">
        <v>3</v>
      </c>
      <c r="G1755">
        <v>1526</v>
      </c>
      <c r="H1755" t="str">
        <f>TEXT(TbDespesas[[#This Row],[data_transacao]], "aaaa-mm")</f>
        <v>2026-01</v>
      </c>
    </row>
    <row r="1756" spans="1:8">
      <c r="A1756">
        <v>1755</v>
      </c>
      <c r="B1756" s="1">
        <v>46024</v>
      </c>
      <c r="C1756" t="s">
        <v>303</v>
      </c>
      <c r="D1756" t="s">
        <v>694</v>
      </c>
      <c r="E1756">
        <v>130</v>
      </c>
      <c r="F1756">
        <v>14</v>
      </c>
      <c r="G1756">
        <v>1854</v>
      </c>
      <c r="H1756" t="str">
        <f>TEXT(TbDespesas[[#This Row],[data_transacao]], "aaaa-mm")</f>
        <v>2026-01</v>
      </c>
    </row>
    <row r="1757" spans="1:8">
      <c r="A1757">
        <v>1756</v>
      </c>
      <c r="B1757" s="1">
        <v>46024</v>
      </c>
      <c r="C1757" t="s">
        <v>303</v>
      </c>
      <c r="D1757" t="s">
        <v>631</v>
      </c>
      <c r="E1757">
        <v>183</v>
      </c>
      <c r="F1757">
        <v>16</v>
      </c>
      <c r="G1757">
        <v>3003</v>
      </c>
      <c r="H1757" t="str">
        <f>TEXT(TbDespesas[[#This Row],[data_transacao]], "aaaa-mm")</f>
        <v>2026-01</v>
      </c>
    </row>
    <row r="1758" spans="1:8">
      <c r="A1758">
        <v>1757</v>
      </c>
      <c r="B1758" s="1">
        <v>46024</v>
      </c>
      <c r="C1758" t="s">
        <v>303</v>
      </c>
      <c r="D1758" t="s">
        <v>436</v>
      </c>
      <c r="E1758">
        <v>397</v>
      </c>
      <c r="F1758">
        <v>4</v>
      </c>
      <c r="G1758">
        <v>1852</v>
      </c>
      <c r="H1758" t="str">
        <f>TEXT(TbDespesas[[#This Row],[data_transacao]], "aaaa-mm")</f>
        <v>2026-01</v>
      </c>
    </row>
    <row r="1759" spans="1:8">
      <c r="A1759">
        <v>1758</v>
      </c>
      <c r="B1759" s="1">
        <v>46024</v>
      </c>
      <c r="C1759" t="s">
        <v>303</v>
      </c>
      <c r="D1759" t="s">
        <v>216</v>
      </c>
      <c r="E1759">
        <v>489</v>
      </c>
      <c r="F1759">
        <v>5</v>
      </c>
      <c r="G1759">
        <v>2810</v>
      </c>
      <c r="H1759" t="str">
        <f>TEXT(TbDespesas[[#This Row],[data_transacao]], "aaaa-mm")</f>
        <v>2026-01</v>
      </c>
    </row>
    <row r="1760" spans="1:8">
      <c r="A1760">
        <v>1759</v>
      </c>
      <c r="B1760" s="1">
        <v>46024</v>
      </c>
      <c r="C1760" t="s">
        <v>303</v>
      </c>
      <c r="D1760" t="s">
        <v>152</v>
      </c>
      <c r="E1760">
        <v>160</v>
      </c>
      <c r="F1760">
        <v>12</v>
      </c>
      <c r="G1760">
        <v>1956</v>
      </c>
      <c r="H1760" t="str">
        <f>TEXT(TbDespesas[[#This Row],[data_transacao]], "aaaa-mm")</f>
        <v>2026-01</v>
      </c>
    </row>
    <row r="1761" spans="1:8">
      <c r="A1761">
        <v>1760</v>
      </c>
      <c r="B1761" s="1">
        <v>46264</v>
      </c>
      <c r="C1761" t="s">
        <v>645</v>
      </c>
      <c r="D1761" t="s">
        <v>301</v>
      </c>
      <c r="E1761">
        <v>262</v>
      </c>
      <c r="F1761">
        <v>2</v>
      </c>
      <c r="G1761">
        <v>594</v>
      </c>
      <c r="H1761" t="str">
        <f>TEXT(TbDespesas[[#This Row],[data_transacao]], "aaaa-mm")</f>
        <v>2026-08</v>
      </c>
    </row>
    <row r="1762" spans="1:8">
      <c r="A1762">
        <v>1761</v>
      </c>
      <c r="B1762" s="1">
        <v>46264</v>
      </c>
      <c r="C1762" t="s">
        <v>645</v>
      </c>
      <c r="D1762" t="s">
        <v>545</v>
      </c>
      <c r="E1762">
        <v>500</v>
      </c>
      <c r="F1762">
        <v>4</v>
      </c>
      <c r="G1762">
        <v>2153</v>
      </c>
      <c r="H1762" t="str">
        <f>TEXT(TbDespesas[[#This Row],[data_transacao]], "aaaa-mm")</f>
        <v>2026-08</v>
      </c>
    </row>
    <row r="1763" spans="1:8">
      <c r="A1763">
        <v>1762</v>
      </c>
      <c r="B1763" s="1">
        <v>46264</v>
      </c>
      <c r="C1763" t="s">
        <v>645</v>
      </c>
      <c r="D1763" t="s">
        <v>630</v>
      </c>
      <c r="E1763">
        <v>13</v>
      </c>
      <c r="F1763">
        <v>47</v>
      </c>
      <c r="G1763">
        <v>615</v>
      </c>
      <c r="H1763" t="str">
        <f>TEXT(TbDespesas[[#This Row],[data_transacao]], "aaaa-mm")</f>
        <v>2026-08</v>
      </c>
    </row>
    <row r="1764" spans="1:8">
      <c r="A1764">
        <v>1763</v>
      </c>
      <c r="B1764" s="1">
        <v>46264</v>
      </c>
      <c r="C1764" t="s">
        <v>645</v>
      </c>
      <c r="D1764" t="s">
        <v>609</v>
      </c>
      <c r="E1764">
        <v>272</v>
      </c>
      <c r="F1764">
        <v>10</v>
      </c>
      <c r="G1764">
        <v>2788</v>
      </c>
      <c r="H1764" t="str">
        <f>TEXT(TbDespesas[[#This Row],[data_transacao]], "aaaa-mm")</f>
        <v>2026-08</v>
      </c>
    </row>
    <row r="1765" spans="1:8">
      <c r="A1765">
        <v>1764</v>
      </c>
      <c r="B1765" s="1">
        <v>46264</v>
      </c>
      <c r="C1765" t="s">
        <v>645</v>
      </c>
      <c r="D1765" t="s">
        <v>105</v>
      </c>
      <c r="E1765">
        <v>41</v>
      </c>
      <c r="F1765">
        <v>50</v>
      </c>
      <c r="G1765">
        <v>2087</v>
      </c>
      <c r="H1765" t="str">
        <f>TEXT(TbDespesas[[#This Row],[data_transacao]], "aaaa-mm")</f>
        <v>2026-08</v>
      </c>
    </row>
    <row r="1766" spans="1:8">
      <c r="A1766">
        <v>1765</v>
      </c>
      <c r="B1766" s="1">
        <v>46018</v>
      </c>
      <c r="C1766" t="s">
        <v>521</v>
      </c>
      <c r="D1766" t="s">
        <v>496</v>
      </c>
      <c r="E1766">
        <v>314</v>
      </c>
      <c r="F1766">
        <v>9</v>
      </c>
      <c r="G1766">
        <v>2953</v>
      </c>
      <c r="H1766" t="str">
        <f>TEXT(TbDespesas[[#This Row],[data_transacao]], "aaaa-mm")</f>
        <v>2025-12</v>
      </c>
    </row>
    <row r="1767" spans="1:8">
      <c r="A1767">
        <v>1766</v>
      </c>
      <c r="B1767" s="1">
        <v>46018</v>
      </c>
      <c r="C1767" t="s">
        <v>521</v>
      </c>
      <c r="D1767" t="s">
        <v>121</v>
      </c>
      <c r="E1767">
        <v>365</v>
      </c>
      <c r="F1767">
        <v>4</v>
      </c>
      <c r="G1767">
        <v>1703</v>
      </c>
      <c r="H1767" t="str">
        <f>TEXT(TbDespesas[[#This Row],[data_transacao]], "aaaa-mm")</f>
        <v>2025-12</v>
      </c>
    </row>
    <row r="1768" spans="1:8">
      <c r="A1768">
        <v>1767</v>
      </c>
      <c r="B1768" s="1">
        <v>46018</v>
      </c>
      <c r="C1768" t="s">
        <v>521</v>
      </c>
      <c r="D1768" t="s">
        <v>331</v>
      </c>
      <c r="E1768">
        <v>16</v>
      </c>
      <c r="F1768">
        <v>72</v>
      </c>
      <c r="G1768">
        <v>1156</v>
      </c>
      <c r="H1768" t="str">
        <f>TEXT(TbDespesas[[#This Row],[data_transacao]], "aaaa-mm")</f>
        <v>2025-12</v>
      </c>
    </row>
    <row r="1769" spans="1:8">
      <c r="A1769">
        <v>1768</v>
      </c>
      <c r="B1769" s="1">
        <v>46018</v>
      </c>
      <c r="C1769" t="s">
        <v>521</v>
      </c>
      <c r="D1769" t="s">
        <v>417</v>
      </c>
      <c r="E1769">
        <v>331</v>
      </c>
      <c r="F1769">
        <v>7</v>
      </c>
      <c r="G1769">
        <v>2431</v>
      </c>
      <c r="H1769" t="str">
        <f>TEXT(TbDespesas[[#This Row],[data_transacao]], "aaaa-mm")</f>
        <v>2025-12</v>
      </c>
    </row>
    <row r="1770" spans="1:8">
      <c r="A1770">
        <v>1769</v>
      </c>
      <c r="B1770" s="1">
        <v>46018</v>
      </c>
      <c r="C1770" t="s">
        <v>521</v>
      </c>
      <c r="D1770" t="s">
        <v>418</v>
      </c>
      <c r="E1770">
        <v>183</v>
      </c>
      <c r="F1770">
        <v>21</v>
      </c>
      <c r="G1770">
        <v>3906</v>
      </c>
      <c r="H1770" t="str">
        <f>TEXT(TbDespesas[[#This Row],[data_transacao]], "aaaa-mm")</f>
        <v>2025-12</v>
      </c>
    </row>
    <row r="1771" spans="1:8">
      <c r="A1771">
        <v>1770</v>
      </c>
      <c r="B1771" s="1">
        <v>46018</v>
      </c>
      <c r="C1771" t="s">
        <v>521</v>
      </c>
      <c r="D1771" t="s">
        <v>695</v>
      </c>
      <c r="E1771">
        <v>255</v>
      </c>
      <c r="F1771">
        <v>8</v>
      </c>
      <c r="G1771">
        <v>2045</v>
      </c>
      <c r="H1771" t="str">
        <f>TEXT(TbDespesas[[#This Row],[data_transacao]], "aaaa-mm")</f>
        <v>2025-12</v>
      </c>
    </row>
    <row r="1772" spans="1:8">
      <c r="A1772">
        <v>1771</v>
      </c>
      <c r="B1772" s="1">
        <v>46018</v>
      </c>
      <c r="C1772" t="s">
        <v>521</v>
      </c>
      <c r="D1772" t="s">
        <v>385</v>
      </c>
      <c r="E1772">
        <v>468</v>
      </c>
      <c r="F1772">
        <v>4</v>
      </c>
      <c r="G1772">
        <v>2231</v>
      </c>
      <c r="H1772" t="str">
        <f>TEXT(TbDespesas[[#This Row],[data_transacao]], "aaaa-mm")</f>
        <v>2025-12</v>
      </c>
    </row>
    <row r="1773" spans="1:8">
      <c r="A1773">
        <v>1772</v>
      </c>
      <c r="B1773" s="1">
        <v>46018</v>
      </c>
      <c r="C1773" t="s">
        <v>521</v>
      </c>
      <c r="D1773" t="s">
        <v>81</v>
      </c>
      <c r="E1773">
        <v>286</v>
      </c>
      <c r="F1773">
        <v>8</v>
      </c>
      <c r="G1773">
        <v>2545</v>
      </c>
      <c r="H1773" t="str">
        <f>TEXT(TbDespesas[[#This Row],[data_transacao]], "aaaa-mm")</f>
        <v>2025-12</v>
      </c>
    </row>
    <row r="1774" spans="1:8">
      <c r="A1774">
        <v>1773</v>
      </c>
      <c r="B1774" s="1">
        <v>46018</v>
      </c>
      <c r="C1774" t="s">
        <v>521</v>
      </c>
      <c r="D1774" t="s">
        <v>696</v>
      </c>
      <c r="E1774">
        <v>246</v>
      </c>
      <c r="F1774">
        <v>3</v>
      </c>
      <c r="G1774">
        <v>847</v>
      </c>
      <c r="H1774" t="str">
        <f>TEXT(TbDespesas[[#This Row],[data_transacao]], "aaaa-mm")</f>
        <v>2025-12</v>
      </c>
    </row>
    <row r="1775" spans="1:8">
      <c r="A1775">
        <v>1774</v>
      </c>
      <c r="B1775" s="1">
        <v>46018</v>
      </c>
      <c r="C1775" t="s">
        <v>521</v>
      </c>
      <c r="D1775" t="s">
        <v>328</v>
      </c>
      <c r="E1775">
        <v>240</v>
      </c>
      <c r="F1775">
        <v>13</v>
      </c>
      <c r="G1775">
        <v>3243</v>
      </c>
      <c r="H1775" t="str">
        <f>TEXT(TbDespesas[[#This Row],[data_transacao]], "aaaa-mm")</f>
        <v>2025-12</v>
      </c>
    </row>
    <row r="1776" spans="1:8">
      <c r="A1776">
        <v>1775</v>
      </c>
      <c r="B1776" s="1">
        <v>46018</v>
      </c>
      <c r="C1776" t="s">
        <v>521</v>
      </c>
      <c r="D1776" t="s">
        <v>688</v>
      </c>
      <c r="E1776">
        <v>85</v>
      </c>
      <c r="F1776">
        <v>16</v>
      </c>
      <c r="G1776">
        <v>1426</v>
      </c>
      <c r="H1776" t="str">
        <f>TEXT(TbDespesas[[#This Row],[data_transacao]], "aaaa-mm")</f>
        <v>2025-12</v>
      </c>
    </row>
    <row r="1777" spans="1:8">
      <c r="A1777">
        <v>1776</v>
      </c>
      <c r="B1777" s="1">
        <v>46018</v>
      </c>
      <c r="C1777" t="s">
        <v>521</v>
      </c>
      <c r="D1777" t="s">
        <v>551</v>
      </c>
      <c r="E1777">
        <v>175</v>
      </c>
      <c r="F1777">
        <v>14</v>
      </c>
      <c r="G1777">
        <v>2581</v>
      </c>
      <c r="H1777" t="str">
        <f>TEXT(TbDespesas[[#This Row],[data_transacao]], "aaaa-mm")</f>
        <v>2025-12</v>
      </c>
    </row>
    <row r="1778" spans="1:8">
      <c r="A1778">
        <v>1777</v>
      </c>
      <c r="B1778" s="1">
        <v>46056</v>
      </c>
      <c r="C1778" t="s">
        <v>65</v>
      </c>
      <c r="D1778" t="s">
        <v>196</v>
      </c>
      <c r="E1778">
        <v>231</v>
      </c>
      <c r="F1778">
        <v>14</v>
      </c>
      <c r="G1778">
        <v>3402</v>
      </c>
      <c r="H1778" t="str">
        <f>TEXT(TbDespesas[[#This Row],[data_transacao]], "aaaa-mm")</f>
        <v>2026-02</v>
      </c>
    </row>
    <row r="1779" spans="1:8">
      <c r="A1779">
        <v>1778</v>
      </c>
      <c r="B1779" s="1">
        <v>46069</v>
      </c>
      <c r="C1779" t="s">
        <v>408</v>
      </c>
      <c r="D1779" t="s">
        <v>622</v>
      </c>
      <c r="E1779">
        <v>346</v>
      </c>
      <c r="F1779">
        <v>8</v>
      </c>
      <c r="G1779">
        <v>3073</v>
      </c>
      <c r="H1779" t="str">
        <f>TEXT(TbDespesas[[#This Row],[data_transacao]], "aaaa-mm")</f>
        <v>2026-02</v>
      </c>
    </row>
    <row r="1780" spans="1:8">
      <c r="A1780">
        <v>1779</v>
      </c>
      <c r="B1780" s="1">
        <v>46069</v>
      </c>
      <c r="C1780" t="s">
        <v>408</v>
      </c>
      <c r="D1780" t="s">
        <v>33</v>
      </c>
      <c r="E1780">
        <v>279</v>
      </c>
      <c r="F1780">
        <v>5</v>
      </c>
      <c r="G1780">
        <v>1398</v>
      </c>
      <c r="H1780" t="str">
        <f>TEXT(TbDespesas[[#This Row],[data_transacao]], "aaaa-mm")</f>
        <v>2026-02</v>
      </c>
    </row>
    <row r="1781" spans="1:8">
      <c r="A1781">
        <v>1780</v>
      </c>
      <c r="B1781" s="1">
        <v>46069</v>
      </c>
      <c r="C1781" t="s">
        <v>408</v>
      </c>
      <c r="D1781" t="s">
        <v>407</v>
      </c>
      <c r="E1781">
        <v>219</v>
      </c>
      <c r="F1781">
        <v>12</v>
      </c>
      <c r="G1781">
        <v>2683</v>
      </c>
      <c r="H1781" t="str">
        <f>TEXT(TbDespesas[[#This Row],[data_transacao]], "aaaa-mm")</f>
        <v>2026-02</v>
      </c>
    </row>
    <row r="1782" spans="1:8">
      <c r="A1782">
        <v>1781</v>
      </c>
      <c r="B1782" s="1">
        <v>46069</v>
      </c>
      <c r="C1782" t="s">
        <v>408</v>
      </c>
      <c r="D1782" t="s">
        <v>317</v>
      </c>
      <c r="E1782">
        <v>391</v>
      </c>
      <c r="F1782">
        <v>7</v>
      </c>
      <c r="G1782">
        <v>3028</v>
      </c>
      <c r="H1782" t="str">
        <f>TEXT(TbDespesas[[#This Row],[data_transacao]], "aaaa-mm")</f>
        <v>2026-02</v>
      </c>
    </row>
    <row r="1783" spans="1:8">
      <c r="A1783">
        <v>1782</v>
      </c>
      <c r="B1783" s="1">
        <v>46069</v>
      </c>
      <c r="C1783" t="s">
        <v>408</v>
      </c>
      <c r="D1783" t="s">
        <v>637</v>
      </c>
      <c r="E1783">
        <v>473</v>
      </c>
      <c r="F1783">
        <v>4</v>
      </c>
      <c r="G1783">
        <v>2023</v>
      </c>
      <c r="H1783" t="str">
        <f>TEXT(TbDespesas[[#This Row],[data_transacao]], "aaaa-mm")</f>
        <v>2026-02</v>
      </c>
    </row>
    <row r="1784" spans="1:8">
      <c r="A1784">
        <v>1783</v>
      </c>
      <c r="B1784" s="1">
        <v>46069</v>
      </c>
      <c r="C1784" t="s">
        <v>408</v>
      </c>
      <c r="D1784" t="s">
        <v>134</v>
      </c>
      <c r="E1784">
        <v>75</v>
      </c>
      <c r="F1784">
        <v>17</v>
      </c>
      <c r="G1784">
        <v>1338</v>
      </c>
      <c r="H1784" t="str">
        <f>TEXT(TbDespesas[[#This Row],[data_transacao]], "aaaa-mm")</f>
        <v>2026-02</v>
      </c>
    </row>
    <row r="1785" spans="1:8">
      <c r="A1785">
        <v>1784</v>
      </c>
      <c r="B1785" s="1">
        <v>46069</v>
      </c>
      <c r="C1785" t="s">
        <v>408</v>
      </c>
      <c r="D1785" t="s">
        <v>679</v>
      </c>
      <c r="E1785">
        <v>69</v>
      </c>
      <c r="F1785">
        <v>22</v>
      </c>
      <c r="G1785">
        <v>1532</v>
      </c>
      <c r="H1785" t="str">
        <f>TEXT(TbDespesas[[#This Row],[data_transacao]], "aaaa-mm")</f>
        <v>2026-02</v>
      </c>
    </row>
    <row r="1786" spans="1:8">
      <c r="A1786">
        <v>1785</v>
      </c>
      <c r="B1786" s="1">
        <v>46069</v>
      </c>
      <c r="C1786" t="s">
        <v>408</v>
      </c>
      <c r="D1786" t="s">
        <v>306</v>
      </c>
      <c r="E1786">
        <v>379</v>
      </c>
      <c r="F1786">
        <v>4</v>
      </c>
      <c r="G1786">
        <v>1706</v>
      </c>
      <c r="H1786" t="str">
        <f>TEXT(TbDespesas[[#This Row],[data_transacao]], "aaaa-mm")</f>
        <v>2026-02</v>
      </c>
    </row>
    <row r="1787" spans="1:8">
      <c r="A1787">
        <v>1786</v>
      </c>
      <c r="B1787" s="1">
        <v>46069</v>
      </c>
      <c r="C1787" t="s">
        <v>408</v>
      </c>
      <c r="D1787" t="s">
        <v>440</v>
      </c>
      <c r="E1787">
        <v>400</v>
      </c>
      <c r="F1787">
        <v>0</v>
      </c>
      <c r="G1787">
        <v>314</v>
      </c>
      <c r="H1787" t="str">
        <f>TEXT(TbDespesas[[#This Row],[data_transacao]], "aaaa-mm")</f>
        <v>2026-02</v>
      </c>
    </row>
    <row r="1788" spans="1:8">
      <c r="A1788">
        <v>1787</v>
      </c>
      <c r="B1788" s="1">
        <v>46069</v>
      </c>
      <c r="C1788" t="s">
        <v>408</v>
      </c>
      <c r="D1788" t="s">
        <v>304</v>
      </c>
      <c r="E1788">
        <v>365</v>
      </c>
      <c r="F1788">
        <v>1</v>
      </c>
      <c r="G1788">
        <v>615</v>
      </c>
      <c r="H1788" t="str">
        <f>TEXT(TbDespesas[[#This Row],[data_transacao]], "aaaa-mm")</f>
        <v>2026-02</v>
      </c>
    </row>
    <row r="1789" spans="1:8">
      <c r="A1789">
        <v>1788</v>
      </c>
      <c r="B1789" s="1">
        <v>46186</v>
      </c>
      <c r="C1789" t="s">
        <v>681</v>
      </c>
      <c r="D1789" t="s">
        <v>614</v>
      </c>
      <c r="E1789">
        <v>157</v>
      </c>
      <c r="F1789">
        <v>17</v>
      </c>
      <c r="G1789">
        <v>2720</v>
      </c>
      <c r="H1789" t="str">
        <f>TEXT(TbDespesas[[#This Row],[data_transacao]], "aaaa-mm")</f>
        <v>2026-06</v>
      </c>
    </row>
    <row r="1790" spans="1:8">
      <c r="A1790">
        <v>1789</v>
      </c>
      <c r="B1790" s="1">
        <v>46186</v>
      </c>
      <c r="C1790" t="s">
        <v>681</v>
      </c>
      <c r="D1790" t="s">
        <v>135</v>
      </c>
      <c r="E1790">
        <v>136</v>
      </c>
      <c r="F1790">
        <v>13</v>
      </c>
      <c r="G1790">
        <v>1830</v>
      </c>
      <c r="H1790" t="str">
        <f>TEXT(TbDespesas[[#This Row],[data_transacao]], "aaaa-mm")</f>
        <v>2026-06</v>
      </c>
    </row>
    <row r="1791" spans="1:8">
      <c r="A1791">
        <v>1790</v>
      </c>
      <c r="B1791" s="1">
        <v>46105</v>
      </c>
      <c r="C1791" t="s">
        <v>223</v>
      </c>
      <c r="D1791" t="s">
        <v>697</v>
      </c>
      <c r="E1791">
        <v>158</v>
      </c>
      <c r="F1791">
        <v>18</v>
      </c>
      <c r="G1791">
        <v>2943</v>
      </c>
      <c r="H1791" t="str">
        <f>TEXT(TbDespesas[[#This Row],[data_transacao]], "aaaa-mm")</f>
        <v>2026-03</v>
      </c>
    </row>
    <row r="1792" spans="1:8">
      <c r="A1792">
        <v>1791</v>
      </c>
      <c r="B1792" s="1">
        <v>46105</v>
      </c>
      <c r="C1792" t="s">
        <v>223</v>
      </c>
      <c r="D1792" t="s">
        <v>573</v>
      </c>
      <c r="E1792">
        <v>446</v>
      </c>
      <c r="F1792">
        <v>4</v>
      </c>
      <c r="G1792">
        <v>2084</v>
      </c>
      <c r="H1792" t="str">
        <f>TEXT(TbDespesas[[#This Row],[data_transacao]], "aaaa-mm")</f>
        <v>2026-03</v>
      </c>
    </row>
    <row r="1793" spans="1:8">
      <c r="A1793">
        <v>1792</v>
      </c>
      <c r="B1793" s="1">
        <v>46113</v>
      </c>
      <c r="C1793" t="s">
        <v>647</v>
      </c>
      <c r="D1793" t="s">
        <v>435</v>
      </c>
      <c r="E1793">
        <v>376</v>
      </c>
      <c r="F1793">
        <v>8</v>
      </c>
      <c r="G1793">
        <v>3158</v>
      </c>
      <c r="H1793" t="str">
        <f>TEXT(TbDespesas[[#This Row],[data_transacao]], "aaaa-mm")</f>
        <v>2026-04</v>
      </c>
    </row>
    <row r="1794" spans="1:8">
      <c r="A1794">
        <v>1793</v>
      </c>
      <c r="B1794" s="1">
        <v>46113</v>
      </c>
      <c r="C1794" t="s">
        <v>647</v>
      </c>
      <c r="D1794" t="s">
        <v>351</v>
      </c>
      <c r="E1794">
        <v>154</v>
      </c>
      <c r="F1794">
        <v>6</v>
      </c>
      <c r="G1794">
        <v>1068</v>
      </c>
      <c r="H1794" t="str">
        <f>TEXT(TbDespesas[[#This Row],[data_transacao]], "aaaa-mm")</f>
        <v>2026-04</v>
      </c>
    </row>
    <row r="1795" spans="1:8">
      <c r="A1795">
        <v>1794</v>
      </c>
      <c r="B1795" s="1">
        <v>46113</v>
      </c>
      <c r="C1795" t="s">
        <v>647</v>
      </c>
      <c r="D1795" t="s">
        <v>676</v>
      </c>
      <c r="E1795">
        <v>175</v>
      </c>
      <c r="F1795">
        <v>9</v>
      </c>
      <c r="G1795">
        <v>1575</v>
      </c>
      <c r="H1795" t="str">
        <f>TEXT(TbDespesas[[#This Row],[data_transacao]], "aaaa-mm")</f>
        <v>2026-04</v>
      </c>
    </row>
    <row r="1796" spans="1:8">
      <c r="A1796">
        <v>1795</v>
      </c>
      <c r="B1796" s="1">
        <v>46113</v>
      </c>
      <c r="C1796" t="s">
        <v>647</v>
      </c>
      <c r="D1796" t="s">
        <v>461</v>
      </c>
      <c r="E1796">
        <v>123</v>
      </c>
      <c r="F1796">
        <v>15</v>
      </c>
      <c r="G1796">
        <v>1893</v>
      </c>
      <c r="H1796" t="str">
        <f>TEXT(TbDespesas[[#This Row],[data_transacao]], "aaaa-mm")</f>
        <v>2026-04</v>
      </c>
    </row>
    <row r="1797" spans="1:8">
      <c r="A1797">
        <v>1796</v>
      </c>
      <c r="B1797" s="1">
        <v>46113</v>
      </c>
      <c r="C1797" t="s">
        <v>647</v>
      </c>
      <c r="D1797" t="s">
        <v>77</v>
      </c>
      <c r="E1797">
        <v>475</v>
      </c>
      <c r="F1797">
        <v>6</v>
      </c>
      <c r="G1797">
        <v>2957</v>
      </c>
      <c r="H1797" t="str">
        <f>TEXT(TbDespesas[[#This Row],[data_transacao]], "aaaa-mm")</f>
        <v>2026-04</v>
      </c>
    </row>
    <row r="1798" spans="1:8">
      <c r="A1798">
        <v>1797</v>
      </c>
      <c r="B1798" s="1">
        <v>46194</v>
      </c>
      <c r="C1798" t="s">
        <v>372</v>
      </c>
      <c r="D1798" t="s">
        <v>335</v>
      </c>
      <c r="E1798">
        <v>271</v>
      </c>
      <c r="F1798">
        <v>13</v>
      </c>
      <c r="G1798">
        <v>3648</v>
      </c>
      <c r="H1798" t="str">
        <f>TEXT(TbDespesas[[#This Row],[data_transacao]], "aaaa-mm")</f>
        <v>2026-06</v>
      </c>
    </row>
    <row r="1799" spans="1:8">
      <c r="A1799">
        <v>1798</v>
      </c>
      <c r="B1799" s="1">
        <v>46194</v>
      </c>
      <c r="C1799" t="s">
        <v>372</v>
      </c>
      <c r="D1799" t="s">
        <v>556</v>
      </c>
      <c r="E1799">
        <v>373</v>
      </c>
      <c r="F1799">
        <v>6</v>
      </c>
      <c r="G1799">
        <v>2531</v>
      </c>
      <c r="H1799" t="str">
        <f>TEXT(TbDespesas[[#This Row],[data_transacao]], "aaaa-mm")</f>
        <v>2026-06</v>
      </c>
    </row>
    <row r="1800" spans="1:8">
      <c r="A1800">
        <v>1799</v>
      </c>
      <c r="B1800" s="1">
        <v>46194</v>
      </c>
      <c r="C1800" t="s">
        <v>372</v>
      </c>
      <c r="D1800" t="s">
        <v>128</v>
      </c>
      <c r="E1800">
        <v>49</v>
      </c>
      <c r="F1800">
        <v>13</v>
      </c>
      <c r="G1800">
        <v>643</v>
      </c>
      <c r="H1800" t="str">
        <f>TEXT(TbDespesas[[#This Row],[data_transacao]], "aaaa-mm")</f>
        <v>2026-06</v>
      </c>
    </row>
    <row r="1801" spans="1:8">
      <c r="A1801">
        <v>1800</v>
      </c>
      <c r="B1801" s="1">
        <v>46194</v>
      </c>
      <c r="C1801" t="s">
        <v>372</v>
      </c>
      <c r="D1801" t="s">
        <v>254</v>
      </c>
      <c r="E1801">
        <v>162</v>
      </c>
      <c r="F1801">
        <v>21</v>
      </c>
      <c r="G1801">
        <v>3557</v>
      </c>
      <c r="H1801" t="str">
        <f>TEXT(TbDespesas[[#This Row],[data_transacao]], "aaaa-mm")</f>
        <v>2026-06</v>
      </c>
    </row>
    <row r="1802" spans="1:8">
      <c r="A1802">
        <v>1801</v>
      </c>
      <c r="B1802" s="1">
        <v>46194</v>
      </c>
      <c r="C1802" t="s">
        <v>372</v>
      </c>
      <c r="D1802" t="s">
        <v>47</v>
      </c>
      <c r="E1802">
        <v>190</v>
      </c>
      <c r="F1802">
        <v>12</v>
      </c>
      <c r="G1802">
        <v>2282</v>
      </c>
      <c r="H1802" t="str">
        <f>TEXT(TbDespesas[[#This Row],[data_transacao]], "aaaa-mm")</f>
        <v>2026-06</v>
      </c>
    </row>
    <row r="1803" spans="1:8">
      <c r="A1803">
        <v>1802</v>
      </c>
      <c r="B1803" s="1">
        <v>46194</v>
      </c>
      <c r="C1803" t="s">
        <v>372</v>
      </c>
      <c r="D1803" t="s">
        <v>236</v>
      </c>
      <c r="E1803">
        <v>395</v>
      </c>
      <c r="F1803">
        <v>6</v>
      </c>
      <c r="G1803">
        <v>2702</v>
      </c>
      <c r="H1803" t="str">
        <f>TEXT(TbDespesas[[#This Row],[data_transacao]], "aaaa-mm")</f>
        <v>2026-06</v>
      </c>
    </row>
    <row r="1804" spans="1:8">
      <c r="A1804">
        <v>1803</v>
      </c>
      <c r="B1804" s="1">
        <v>46194</v>
      </c>
      <c r="C1804" t="s">
        <v>372</v>
      </c>
      <c r="D1804" t="s">
        <v>124</v>
      </c>
      <c r="E1804">
        <v>143</v>
      </c>
      <c r="F1804">
        <v>22</v>
      </c>
      <c r="G1804">
        <v>3235</v>
      </c>
      <c r="H1804" t="str">
        <f>TEXT(TbDespesas[[#This Row],[data_transacao]], "aaaa-mm")</f>
        <v>2026-06</v>
      </c>
    </row>
    <row r="1805" spans="1:8">
      <c r="A1805">
        <v>1804</v>
      </c>
      <c r="B1805" s="1">
        <v>46025</v>
      </c>
      <c r="C1805" t="s">
        <v>30</v>
      </c>
      <c r="D1805" t="s">
        <v>334</v>
      </c>
      <c r="E1805">
        <v>292</v>
      </c>
      <c r="F1805">
        <v>1</v>
      </c>
      <c r="G1805">
        <v>572</v>
      </c>
      <c r="H1805" t="str">
        <f>TEXT(TbDespesas[[#This Row],[data_transacao]], "aaaa-mm")</f>
        <v>2026-01</v>
      </c>
    </row>
    <row r="1806" spans="1:8">
      <c r="A1806">
        <v>1805</v>
      </c>
      <c r="B1806" s="1">
        <v>46025</v>
      </c>
      <c r="C1806" t="s">
        <v>30</v>
      </c>
      <c r="D1806" t="s">
        <v>256</v>
      </c>
      <c r="E1806">
        <v>295</v>
      </c>
      <c r="F1806">
        <v>14</v>
      </c>
      <c r="G1806">
        <v>4307</v>
      </c>
      <c r="H1806" t="str">
        <f>TEXT(TbDespesas[[#This Row],[data_transacao]], "aaaa-mm")</f>
        <v>2026-01</v>
      </c>
    </row>
    <row r="1807" spans="1:8">
      <c r="A1807">
        <v>1806</v>
      </c>
      <c r="B1807" s="1">
        <v>46025</v>
      </c>
      <c r="C1807" t="s">
        <v>30</v>
      </c>
      <c r="D1807" t="s">
        <v>186</v>
      </c>
      <c r="E1807">
        <v>474</v>
      </c>
      <c r="F1807">
        <v>4</v>
      </c>
      <c r="G1807">
        <v>2096</v>
      </c>
      <c r="H1807" t="str">
        <f>TEXT(TbDespesas[[#This Row],[data_transacao]], "aaaa-mm")</f>
        <v>2026-01</v>
      </c>
    </row>
    <row r="1808" spans="1:8">
      <c r="A1808">
        <v>1807</v>
      </c>
      <c r="B1808" s="1">
        <v>46025</v>
      </c>
      <c r="C1808" t="s">
        <v>30</v>
      </c>
      <c r="D1808" t="s">
        <v>239</v>
      </c>
      <c r="E1808">
        <v>141</v>
      </c>
      <c r="F1808">
        <v>27</v>
      </c>
      <c r="G1808">
        <v>3907</v>
      </c>
      <c r="H1808" t="str">
        <f>TEXT(TbDespesas[[#This Row],[data_transacao]], "aaaa-mm")</f>
        <v>2026-01</v>
      </c>
    </row>
    <row r="1809" spans="1:8">
      <c r="A1809">
        <v>1808</v>
      </c>
      <c r="B1809" s="1">
        <v>46025</v>
      </c>
      <c r="C1809" t="s">
        <v>30</v>
      </c>
      <c r="D1809" t="s">
        <v>122</v>
      </c>
      <c r="E1809">
        <v>18</v>
      </c>
      <c r="F1809">
        <v>139</v>
      </c>
      <c r="G1809">
        <v>2507</v>
      </c>
      <c r="H1809" t="str">
        <f>TEXT(TbDespesas[[#This Row],[data_transacao]], "aaaa-mm")</f>
        <v>2026-01</v>
      </c>
    </row>
    <row r="1810" spans="1:8">
      <c r="A1810">
        <v>1809</v>
      </c>
      <c r="B1810" s="1">
        <v>46025</v>
      </c>
      <c r="C1810" t="s">
        <v>30</v>
      </c>
      <c r="D1810" t="s">
        <v>280</v>
      </c>
      <c r="E1810">
        <v>500</v>
      </c>
      <c r="F1810">
        <v>4</v>
      </c>
      <c r="G1810">
        <v>2255</v>
      </c>
      <c r="H1810" t="str">
        <f>TEXT(TbDespesas[[#This Row],[data_transacao]], "aaaa-mm")</f>
        <v>2026-01</v>
      </c>
    </row>
    <row r="1811" spans="1:8">
      <c r="A1811">
        <v>1810</v>
      </c>
      <c r="B1811" s="1">
        <v>46039</v>
      </c>
      <c r="C1811" t="s">
        <v>479</v>
      </c>
      <c r="D1811" t="s">
        <v>492</v>
      </c>
      <c r="E1811">
        <v>147</v>
      </c>
      <c r="F1811">
        <v>23</v>
      </c>
      <c r="G1811">
        <v>3433</v>
      </c>
      <c r="H1811" t="str">
        <f>TEXT(TbDespesas[[#This Row],[data_transacao]], "aaaa-mm")</f>
        <v>2026-01</v>
      </c>
    </row>
    <row r="1812" spans="1:8">
      <c r="A1812">
        <v>1811</v>
      </c>
      <c r="B1812" s="1">
        <v>46039</v>
      </c>
      <c r="C1812" t="s">
        <v>479</v>
      </c>
      <c r="D1812" t="s">
        <v>178</v>
      </c>
      <c r="E1812">
        <v>237</v>
      </c>
      <c r="F1812">
        <v>8</v>
      </c>
      <c r="G1812">
        <v>1976</v>
      </c>
      <c r="H1812" t="str">
        <f>TEXT(TbDespesas[[#This Row],[data_transacao]], "aaaa-mm")</f>
        <v>2026-01</v>
      </c>
    </row>
    <row r="1813" spans="1:8">
      <c r="A1813">
        <v>1812</v>
      </c>
      <c r="B1813" s="1">
        <v>46039</v>
      </c>
      <c r="C1813" t="s">
        <v>479</v>
      </c>
      <c r="D1813" t="s">
        <v>184</v>
      </c>
      <c r="E1813">
        <v>192</v>
      </c>
      <c r="F1813">
        <v>10</v>
      </c>
      <c r="G1813">
        <v>2054</v>
      </c>
      <c r="H1813" t="str">
        <f>TEXT(TbDespesas[[#This Row],[data_transacao]], "aaaa-mm")</f>
        <v>2026-01</v>
      </c>
    </row>
    <row r="1814" spans="1:8">
      <c r="A1814">
        <v>1813</v>
      </c>
      <c r="B1814" s="1">
        <v>46039</v>
      </c>
      <c r="C1814" t="s">
        <v>479</v>
      </c>
      <c r="D1814" t="s">
        <v>42</v>
      </c>
      <c r="E1814">
        <v>90</v>
      </c>
      <c r="F1814">
        <v>17</v>
      </c>
      <c r="G1814">
        <v>1598</v>
      </c>
      <c r="H1814" t="str">
        <f>TEXT(TbDespesas[[#This Row],[data_transacao]], "aaaa-mm")</f>
        <v>2026-01</v>
      </c>
    </row>
    <row r="1815" spans="1:8">
      <c r="A1815">
        <v>1814</v>
      </c>
      <c r="B1815" s="1">
        <v>46039</v>
      </c>
      <c r="C1815" t="s">
        <v>479</v>
      </c>
      <c r="D1815" t="s">
        <v>102</v>
      </c>
      <c r="E1815">
        <v>449</v>
      </c>
      <c r="F1815">
        <v>6</v>
      </c>
      <c r="G1815">
        <v>3041</v>
      </c>
      <c r="H1815" t="str">
        <f>TEXT(TbDespesas[[#This Row],[data_transacao]], "aaaa-mm")</f>
        <v>2026-01</v>
      </c>
    </row>
    <row r="1816" spans="1:8">
      <c r="A1816">
        <v>1815</v>
      </c>
      <c r="B1816" s="1">
        <v>46039</v>
      </c>
      <c r="C1816" t="s">
        <v>479</v>
      </c>
      <c r="D1816" t="s">
        <v>577</v>
      </c>
      <c r="E1816">
        <v>66</v>
      </c>
      <c r="F1816">
        <v>41</v>
      </c>
      <c r="G1816">
        <v>2750</v>
      </c>
      <c r="H1816" t="str">
        <f>TEXT(TbDespesas[[#This Row],[data_transacao]], "aaaa-mm")</f>
        <v>2026-01</v>
      </c>
    </row>
    <row r="1817" spans="1:8">
      <c r="A1817">
        <v>1816</v>
      </c>
      <c r="B1817" s="1">
        <v>46039</v>
      </c>
      <c r="C1817" t="s">
        <v>479</v>
      </c>
      <c r="D1817" t="s">
        <v>535</v>
      </c>
      <c r="E1817">
        <v>282</v>
      </c>
      <c r="F1817">
        <v>10</v>
      </c>
      <c r="G1817">
        <v>2848</v>
      </c>
      <c r="H1817" t="str">
        <f>TEXT(TbDespesas[[#This Row],[data_transacao]], "aaaa-mm")</f>
        <v>2026-01</v>
      </c>
    </row>
    <row r="1818" spans="1:8">
      <c r="A1818">
        <v>1817</v>
      </c>
      <c r="B1818" s="1">
        <v>46039</v>
      </c>
      <c r="C1818" t="s">
        <v>479</v>
      </c>
      <c r="D1818" t="s">
        <v>579</v>
      </c>
      <c r="E1818">
        <v>461</v>
      </c>
      <c r="F1818">
        <v>2</v>
      </c>
      <c r="G1818">
        <v>1045</v>
      </c>
      <c r="H1818" t="str">
        <f>TEXT(TbDespesas[[#This Row],[data_transacao]], "aaaa-mm")</f>
        <v>2026-01</v>
      </c>
    </row>
    <row r="1819" spans="1:8">
      <c r="A1819">
        <v>1818</v>
      </c>
      <c r="B1819" s="1">
        <v>46039</v>
      </c>
      <c r="C1819" t="s">
        <v>479</v>
      </c>
      <c r="D1819" t="s">
        <v>91</v>
      </c>
      <c r="E1819">
        <v>288</v>
      </c>
      <c r="F1819">
        <v>11</v>
      </c>
      <c r="G1819">
        <v>3357</v>
      </c>
      <c r="H1819" t="str">
        <f>TEXT(TbDespesas[[#This Row],[data_transacao]], "aaaa-mm")</f>
        <v>2026-01</v>
      </c>
    </row>
    <row r="1820" spans="1:8">
      <c r="A1820">
        <v>1819</v>
      </c>
      <c r="B1820" s="1">
        <v>46039</v>
      </c>
      <c r="C1820" t="s">
        <v>479</v>
      </c>
      <c r="D1820" t="s">
        <v>373</v>
      </c>
      <c r="E1820">
        <v>227</v>
      </c>
      <c r="F1820">
        <v>11</v>
      </c>
      <c r="G1820">
        <v>2675</v>
      </c>
      <c r="H1820" t="str">
        <f>TEXT(TbDespesas[[#This Row],[data_transacao]], "aaaa-mm")</f>
        <v>2026-01</v>
      </c>
    </row>
    <row r="1821" spans="1:8">
      <c r="A1821">
        <v>1820</v>
      </c>
      <c r="B1821" s="1">
        <v>46134</v>
      </c>
      <c r="C1821" t="s">
        <v>372</v>
      </c>
      <c r="D1821" t="s">
        <v>100</v>
      </c>
      <c r="E1821">
        <v>465</v>
      </c>
      <c r="F1821">
        <v>2</v>
      </c>
      <c r="G1821">
        <v>1119</v>
      </c>
      <c r="H1821" t="str">
        <f>TEXT(TbDespesas[[#This Row],[data_transacao]], "aaaa-mm")</f>
        <v>2026-04</v>
      </c>
    </row>
    <row r="1822" spans="1:8">
      <c r="A1822">
        <v>1821</v>
      </c>
      <c r="B1822" s="1">
        <v>46134</v>
      </c>
      <c r="C1822" t="s">
        <v>372</v>
      </c>
      <c r="D1822" t="s">
        <v>230</v>
      </c>
      <c r="E1822">
        <v>212</v>
      </c>
      <c r="F1822">
        <v>12</v>
      </c>
      <c r="G1822">
        <v>2603</v>
      </c>
      <c r="H1822" t="str">
        <f>TEXT(TbDespesas[[#This Row],[data_transacao]], "aaaa-mm")</f>
        <v>2026-04</v>
      </c>
    </row>
    <row r="1823" spans="1:8">
      <c r="A1823">
        <v>1822</v>
      </c>
      <c r="B1823" s="1">
        <v>46098</v>
      </c>
      <c r="C1823" t="s">
        <v>645</v>
      </c>
      <c r="D1823" t="s">
        <v>20</v>
      </c>
      <c r="E1823">
        <v>324</v>
      </c>
      <c r="F1823">
        <v>0</v>
      </c>
      <c r="G1823">
        <v>138</v>
      </c>
      <c r="H1823" t="str">
        <f>TEXT(TbDespesas[[#This Row],[data_transacao]], "aaaa-mm")</f>
        <v>2026-03</v>
      </c>
    </row>
    <row r="1824" spans="1:8">
      <c r="A1824">
        <v>1823</v>
      </c>
      <c r="B1824" s="1">
        <v>46098</v>
      </c>
      <c r="C1824" t="s">
        <v>645</v>
      </c>
      <c r="D1824" t="s">
        <v>642</v>
      </c>
      <c r="E1824">
        <v>35</v>
      </c>
      <c r="F1824">
        <v>63</v>
      </c>
      <c r="G1824">
        <v>2222</v>
      </c>
      <c r="H1824" t="str">
        <f>TEXT(TbDespesas[[#This Row],[data_transacao]], "aaaa-mm")</f>
        <v>2026-03</v>
      </c>
    </row>
    <row r="1825" spans="1:8">
      <c r="A1825">
        <v>1824</v>
      </c>
      <c r="B1825" s="1">
        <v>46098</v>
      </c>
      <c r="C1825" t="s">
        <v>645</v>
      </c>
      <c r="D1825" t="s">
        <v>353</v>
      </c>
      <c r="E1825">
        <v>236</v>
      </c>
      <c r="F1825">
        <v>9</v>
      </c>
      <c r="G1825">
        <v>2178</v>
      </c>
      <c r="H1825" t="str">
        <f>TEXT(TbDespesas[[#This Row],[data_transacao]], "aaaa-mm")</f>
        <v>2026-03</v>
      </c>
    </row>
    <row r="1826" spans="1:8">
      <c r="A1826">
        <v>1825</v>
      </c>
      <c r="B1826" s="1">
        <v>46098</v>
      </c>
      <c r="C1826" t="s">
        <v>645</v>
      </c>
      <c r="D1826" t="s">
        <v>698</v>
      </c>
      <c r="E1826">
        <v>264</v>
      </c>
      <c r="F1826">
        <v>2</v>
      </c>
      <c r="G1826">
        <v>789</v>
      </c>
      <c r="H1826" t="str">
        <f>TEXT(TbDespesas[[#This Row],[data_transacao]], "aaaa-mm")</f>
        <v>2026-03</v>
      </c>
    </row>
    <row r="1827" spans="1:8">
      <c r="A1827">
        <v>1826</v>
      </c>
      <c r="B1827" s="1">
        <v>46098</v>
      </c>
      <c r="C1827" t="s">
        <v>645</v>
      </c>
      <c r="D1827" t="s">
        <v>680</v>
      </c>
      <c r="E1827">
        <v>468</v>
      </c>
      <c r="F1827">
        <v>4</v>
      </c>
      <c r="G1827">
        <v>2116</v>
      </c>
      <c r="H1827" t="str">
        <f>TEXT(TbDespesas[[#This Row],[data_transacao]], "aaaa-mm")</f>
        <v>2026-03</v>
      </c>
    </row>
    <row r="1828" spans="1:8">
      <c r="A1828">
        <v>1827</v>
      </c>
      <c r="B1828" s="1">
        <v>46098</v>
      </c>
      <c r="C1828" t="s">
        <v>645</v>
      </c>
      <c r="D1828" t="s">
        <v>422</v>
      </c>
      <c r="E1828">
        <v>80</v>
      </c>
      <c r="F1828">
        <v>12</v>
      </c>
      <c r="G1828">
        <v>1001</v>
      </c>
      <c r="H1828" t="str">
        <f>TEXT(TbDespesas[[#This Row],[data_transacao]], "aaaa-mm")</f>
        <v>2026-03</v>
      </c>
    </row>
    <row r="1829" spans="1:8">
      <c r="A1829">
        <v>1828</v>
      </c>
      <c r="B1829" s="1">
        <v>46098</v>
      </c>
      <c r="C1829" t="s">
        <v>645</v>
      </c>
      <c r="D1829" t="s">
        <v>40</v>
      </c>
      <c r="E1829">
        <v>344</v>
      </c>
      <c r="F1829">
        <v>1</v>
      </c>
      <c r="G1829">
        <v>416</v>
      </c>
      <c r="H1829" t="str">
        <f>TEXT(TbDespesas[[#This Row],[data_transacao]], "aaaa-mm")</f>
        <v>2026-03</v>
      </c>
    </row>
    <row r="1830" spans="1:8">
      <c r="A1830">
        <v>1829</v>
      </c>
      <c r="B1830" s="1">
        <v>45936</v>
      </c>
      <c r="C1830" t="s">
        <v>185</v>
      </c>
      <c r="D1830" t="s">
        <v>465</v>
      </c>
      <c r="E1830">
        <v>244</v>
      </c>
      <c r="F1830">
        <v>0</v>
      </c>
      <c r="G1830">
        <v>3</v>
      </c>
      <c r="H1830" t="str">
        <f>TEXT(TbDespesas[[#This Row],[data_transacao]], "aaaa-mm")</f>
        <v>2025-10</v>
      </c>
    </row>
    <row r="1831" spans="1:8">
      <c r="A1831">
        <v>1830</v>
      </c>
      <c r="B1831" s="1">
        <v>45936</v>
      </c>
      <c r="C1831" t="s">
        <v>185</v>
      </c>
      <c r="D1831" t="s">
        <v>534</v>
      </c>
      <c r="E1831">
        <v>103</v>
      </c>
      <c r="F1831">
        <v>2</v>
      </c>
      <c r="G1831">
        <v>288</v>
      </c>
      <c r="H1831" t="str">
        <f>TEXT(TbDespesas[[#This Row],[data_transacao]], "aaaa-mm")</f>
        <v>2025-10</v>
      </c>
    </row>
    <row r="1832" spans="1:8">
      <c r="A1832">
        <v>1831</v>
      </c>
      <c r="B1832" s="1">
        <v>45936</v>
      </c>
      <c r="C1832" t="s">
        <v>185</v>
      </c>
      <c r="D1832" t="s">
        <v>621</v>
      </c>
      <c r="E1832">
        <v>123</v>
      </c>
      <c r="F1832">
        <v>23</v>
      </c>
      <c r="G1832">
        <v>2857</v>
      </c>
      <c r="H1832" t="str">
        <f>TEXT(TbDespesas[[#This Row],[data_transacao]], "aaaa-mm")</f>
        <v>2025-10</v>
      </c>
    </row>
    <row r="1833" spans="1:8">
      <c r="A1833">
        <v>1832</v>
      </c>
      <c r="B1833" s="1">
        <v>45936</v>
      </c>
      <c r="C1833" t="s">
        <v>185</v>
      </c>
      <c r="D1833" t="s">
        <v>484</v>
      </c>
      <c r="E1833">
        <v>356</v>
      </c>
      <c r="F1833">
        <v>5</v>
      </c>
      <c r="G1833">
        <v>1879</v>
      </c>
      <c r="H1833" t="str">
        <f>TEXT(TbDespesas[[#This Row],[data_transacao]], "aaaa-mm")</f>
        <v>2025-10</v>
      </c>
    </row>
    <row r="1834" spans="1:8">
      <c r="A1834">
        <v>1833</v>
      </c>
      <c r="B1834" s="1">
        <v>45936</v>
      </c>
      <c r="C1834" t="s">
        <v>185</v>
      </c>
      <c r="D1834" t="s">
        <v>520</v>
      </c>
      <c r="E1834">
        <v>481</v>
      </c>
      <c r="F1834">
        <v>4</v>
      </c>
      <c r="G1834">
        <v>2211</v>
      </c>
      <c r="H1834" t="str">
        <f>TEXT(TbDespesas[[#This Row],[data_transacao]], "aaaa-mm")</f>
        <v>2025-10</v>
      </c>
    </row>
    <row r="1835" spans="1:8">
      <c r="A1835">
        <v>1834</v>
      </c>
      <c r="B1835" s="1">
        <v>46152</v>
      </c>
      <c r="C1835" t="s">
        <v>575</v>
      </c>
      <c r="D1835" t="s">
        <v>195</v>
      </c>
      <c r="E1835">
        <v>213</v>
      </c>
      <c r="F1835">
        <v>14</v>
      </c>
      <c r="G1835">
        <v>2982</v>
      </c>
      <c r="H1835" t="str">
        <f>TEXT(TbDespesas[[#This Row],[data_transacao]], "aaaa-mm")</f>
        <v>2026-05</v>
      </c>
    </row>
    <row r="1836" spans="1:8">
      <c r="A1836">
        <v>1835</v>
      </c>
      <c r="B1836" s="1">
        <v>46152</v>
      </c>
      <c r="C1836" t="s">
        <v>575</v>
      </c>
      <c r="D1836" t="s">
        <v>191</v>
      </c>
      <c r="E1836">
        <v>356</v>
      </c>
      <c r="F1836">
        <v>3</v>
      </c>
      <c r="G1836">
        <v>1275</v>
      </c>
      <c r="H1836" t="str">
        <f>TEXT(TbDespesas[[#This Row],[data_transacao]], "aaaa-mm")</f>
        <v>2026-05</v>
      </c>
    </row>
    <row r="1837" spans="1:8">
      <c r="A1837">
        <v>1836</v>
      </c>
      <c r="B1837" s="1">
        <v>46152</v>
      </c>
      <c r="C1837" t="s">
        <v>575</v>
      </c>
      <c r="D1837" t="s">
        <v>665</v>
      </c>
      <c r="E1837">
        <v>295</v>
      </c>
      <c r="F1837">
        <v>13</v>
      </c>
      <c r="G1837">
        <v>3962</v>
      </c>
      <c r="H1837" t="str">
        <f>TEXT(TbDespesas[[#This Row],[data_transacao]], "aaaa-mm")</f>
        <v>2026-05</v>
      </c>
    </row>
    <row r="1838" spans="1:8">
      <c r="A1838">
        <v>1837</v>
      </c>
      <c r="B1838" s="1">
        <v>46152</v>
      </c>
      <c r="C1838" t="s">
        <v>575</v>
      </c>
      <c r="D1838" t="s">
        <v>699</v>
      </c>
      <c r="E1838">
        <v>29</v>
      </c>
      <c r="F1838">
        <v>83</v>
      </c>
      <c r="G1838">
        <v>2407</v>
      </c>
      <c r="H1838" t="str">
        <f>TEXT(TbDespesas[[#This Row],[data_transacao]], "aaaa-mm")</f>
        <v>2026-05</v>
      </c>
    </row>
    <row r="1839" spans="1:8">
      <c r="A1839">
        <v>1838</v>
      </c>
      <c r="B1839" s="1">
        <v>46152</v>
      </c>
      <c r="C1839" t="s">
        <v>575</v>
      </c>
      <c r="D1839" t="s">
        <v>622</v>
      </c>
      <c r="E1839">
        <v>466</v>
      </c>
      <c r="F1839">
        <v>4</v>
      </c>
      <c r="G1839">
        <v>2091</v>
      </c>
      <c r="H1839" t="str">
        <f>TEXT(TbDespesas[[#This Row],[data_transacao]], "aaaa-mm")</f>
        <v>2026-05</v>
      </c>
    </row>
    <row r="1840" spans="1:8">
      <c r="A1840">
        <v>1839</v>
      </c>
      <c r="B1840" s="1">
        <v>46152</v>
      </c>
      <c r="C1840" t="s">
        <v>575</v>
      </c>
      <c r="D1840" t="s">
        <v>157</v>
      </c>
      <c r="E1840">
        <v>224</v>
      </c>
      <c r="F1840">
        <v>2</v>
      </c>
      <c r="G1840">
        <v>646</v>
      </c>
      <c r="H1840" t="str">
        <f>TEXT(TbDespesas[[#This Row],[data_transacao]], "aaaa-mm")</f>
        <v>2026-05</v>
      </c>
    </row>
    <row r="1841" spans="1:8">
      <c r="A1841">
        <v>1840</v>
      </c>
      <c r="B1841" s="1">
        <v>46152</v>
      </c>
      <c r="C1841" t="s">
        <v>575</v>
      </c>
      <c r="D1841" t="s">
        <v>700</v>
      </c>
      <c r="E1841">
        <v>127</v>
      </c>
      <c r="F1841">
        <v>10</v>
      </c>
      <c r="G1841">
        <v>1355</v>
      </c>
      <c r="H1841" t="str">
        <f>TEXT(TbDespesas[[#This Row],[data_transacao]], "aaaa-mm")</f>
        <v>2026-05</v>
      </c>
    </row>
    <row r="1842" spans="1:8">
      <c r="A1842">
        <v>1841</v>
      </c>
      <c r="B1842" s="1">
        <v>46183</v>
      </c>
      <c r="C1842" t="s">
        <v>86</v>
      </c>
      <c r="D1842" t="s">
        <v>451</v>
      </c>
      <c r="E1842">
        <v>258</v>
      </c>
      <c r="F1842">
        <v>8</v>
      </c>
      <c r="G1842">
        <v>2154</v>
      </c>
      <c r="H1842" t="str">
        <f>TEXT(TbDespesas[[#This Row],[data_transacao]], "aaaa-mm")</f>
        <v>2026-06</v>
      </c>
    </row>
    <row r="1843" spans="1:8">
      <c r="A1843">
        <v>1842</v>
      </c>
      <c r="B1843" s="1">
        <v>46183</v>
      </c>
      <c r="C1843" t="s">
        <v>86</v>
      </c>
      <c r="D1843" t="s">
        <v>102</v>
      </c>
      <c r="E1843">
        <v>274</v>
      </c>
      <c r="F1843">
        <v>7</v>
      </c>
      <c r="G1843">
        <v>2039</v>
      </c>
      <c r="H1843" t="str">
        <f>TEXT(TbDespesas[[#This Row],[data_transacao]], "aaaa-mm")</f>
        <v>2026-06</v>
      </c>
    </row>
    <row r="1844" spans="1:8">
      <c r="A1844">
        <v>1843</v>
      </c>
      <c r="B1844" s="1">
        <v>46183</v>
      </c>
      <c r="C1844" t="s">
        <v>86</v>
      </c>
      <c r="D1844" t="s">
        <v>113</v>
      </c>
      <c r="E1844">
        <v>185</v>
      </c>
      <c r="F1844">
        <v>8</v>
      </c>
      <c r="G1844">
        <v>1661</v>
      </c>
      <c r="H1844" t="str">
        <f>TEXT(TbDespesas[[#This Row],[data_transacao]], "aaaa-mm")</f>
        <v>2026-06</v>
      </c>
    </row>
    <row r="1845" spans="1:8">
      <c r="A1845">
        <v>1844</v>
      </c>
      <c r="B1845" s="1">
        <v>46183</v>
      </c>
      <c r="C1845" t="s">
        <v>86</v>
      </c>
      <c r="D1845" t="s">
        <v>577</v>
      </c>
      <c r="E1845">
        <v>478</v>
      </c>
      <c r="F1845">
        <v>1</v>
      </c>
      <c r="G1845">
        <v>563</v>
      </c>
      <c r="H1845" t="str">
        <f>TEXT(TbDespesas[[#This Row],[data_transacao]], "aaaa-mm")</f>
        <v>2026-06</v>
      </c>
    </row>
    <row r="1846" spans="1:8">
      <c r="A1846">
        <v>1845</v>
      </c>
      <c r="B1846" s="1">
        <v>46183</v>
      </c>
      <c r="C1846" t="s">
        <v>86</v>
      </c>
      <c r="D1846" t="s">
        <v>355</v>
      </c>
      <c r="E1846">
        <v>437</v>
      </c>
      <c r="F1846">
        <v>2</v>
      </c>
      <c r="G1846">
        <v>983</v>
      </c>
      <c r="H1846" t="str">
        <f>TEXT(TbDespesas[[#This Row],[data_transacao]], "aaaa-mm")</f>
        <v>2026-06</v>
      </c>
    </row>
    <row r="1847" spans="1:8">
      <c r="A1847">
        <v>1846</v>
      </c>
      <c r="B1847" s="1">
        <v>46183</v>
      </c>
      <c r="C1847" t="s">
        <v>86</v>
      </c>
      <c r="D1847" t="s">
        <v>698</v>
      </c>
      <c r="E1847">
        <v>324</v>
      </c>
      <c r="F1847">
        <v>11</v>
      </c>
      <c r="G1847">
        <v>3737</v>
      </c>
      <c r="H1847" t="str">
        <f>TEXT(TbDespesas[[#This Row],[data_transacao]], "aaaa-mm")</f>
        <v>2026-06</v>
      </c>
    </row>
    <row r="1848" spans="1:8">
      <c r="A1848">
        <v>1847</v>
      </c>
      <c r="B1848" s="1">
        <v>46183</v>
      </c>
      <c r="C1848" t="s">
        <v>86</v>
      </c>
      <c r="D1848" t="s">
        <v>273</v>
      </c>
      <c r="E1848">
        <v>62</v>
      </c>
      <c r="F1848">
        <v>12</v>
      </c>
      <c r="G1848">
        <v>753</v>
      </c>
      <c r="H1848" t="str">
        <f>TEXT(TbDespesas[[#This Row],[data_transacao]], "aaaa-mm")</f>
        <v>2026-06</v>
      </c>
    </row>
    <row r="1849" spans="1:8">
      <c r="A1849">
        <v>1848</v>
      </c>
      <c r="B1849" s="1">
        <v>46183</v>
      </c>
      <c r="C1849" t="s">
        <v>86</v>
      </c>
      <c r="D1849" t="s">
        <v>557</v>
      </c>
      <c r="E1849">
        <v>136</v>
      </c>
      <c r="F1849">
        <v>25</v>
      </c>
      <c r="G1849">
        <v>3434</v>
      </c>
      <c r="H1849" t="str">
        <f>TEXT(TbDespesas[[#This Row],[data_transacao]], "aaaa-mm")</f>
        <v>2026-06</v>
      </c>
    </row>
    <row r="1850" spans="1:8">
      <c r="A1850">
        <v>1849</v>
      </c>
      <c r="B1850" s="1">
        <v>46183</v>
      </c>
      <c r="C1850" t="s">
        <v>86</v>
      </c>
      <c r="D1850" t="s">
        <v>529</v>
      </c>
      <c r="E1850">
        <v>378</v>
      </c>
      <c r="F1850">
        <v>6</v>
      </c>
      <c r="G1850">
        <v>2367</v>
      </c>
      <c r="H1850" t="str">
        <f>TEXT(TbDespesas[[#This Row],[data_transacao]], "aaaa-mm")</f>
        <v>2026-06</v>
      </c>
    </row>
    <row r="1851" spans="1:8">
      <c r="A1851">
        <v>1850</v>
      </c>
      <c r="B1851" s="1">
        <v>46183</v>
      </c>
      <c r="C1851" t="s">
        <v>86</v>
      </c>
      <c r="D1851" t="s">
        <v>456</v>
      </c>
      <c r="E1851">
        <v>33</v>
      </c>
      <c r="F1851">
        <v>54</v>
      </c>
      <c r="G1851">
        <v>1786</v>
      </c>
      <c r="H1851" t="str">
        <f>TEXT(TbDespesas[[#This Row],[data_transacao]], "aaaa-mm")</f>
        <v>2026-06</v>
      </c>
    </row>
    <row r="1852" spans="1:8">
      <c r="A1852">
        <v>1851</v>
      </c>
      <c r="B1852" s="1">
        <v>46183</v>
      </c>
      <c r="C1852" t="s">
        <v>86</v>
      </c>
      <c r="D1852" t="s">
        <v>620</v>
      </c>
      <c r="E1852">
        <v>391</v>
      </c>
      <c r="F1852">
        <v>4</v>
      </c>
      <c r="G1852">
        <v>1806</v>
      </c>
      <c r="H1852" t="str">
        <f>TEXT(TbDespesas[[#This Row],[data_transacao]], "aaaa-mm")</f>
        <v>2026-06</v>
      </c>
    </row>
    <row r="1853" spans="1:8">
      <c r="A1853">
        <v>1852</v>
      </c>
      <c r="B1853" s="1">
        <v>46183</v>
      </c>
      <c r="C1853" t="s">
        <v>86</v>
      </c>
      <c r="D1853" t="s">
        <v>67</v>
      </c>
      <c r="E1853">
        <v>225</v>
      </c>
      <c r="F1853">
        <v>16</v>
      </c>
      <c r="G1853">
        <v>3758</v>
      </c>
      <c r="H1853" t="str">
        <f>TEXT(TbDespesas[[#This Row],[data_transacao]], "aaaa-mm")</f>
        <v>2026-06</v>
      </c>
    </row>
    <row r="1854" spans="1:8">
      <c r="A1854">
        <v>1853</v>
      </c>
      <c r="B1854" s="1">
        <v>46128</v>
      </c>
      <c r="C1854" t="s">
        <v>266</v>
      </c>
      <c r="D1854" t="s">
        <v>197</v>
      </c>
      <c r="E1854">
        <v>368</v>
      </c>
      <c r="F1854">
        <v>4</v>
      </c>
      <c r="G1854">
        <v>1568</v>
      </c>
      <c r="H1854" t="str">
        <f>TEXT(TbDespesas[[#This Row],[data_transacao]], "aaaa-mm")</f>
        <v>2026-04</v>
      </c>
    </row>
    <row r="1855" spans="1:8">
      <c r="A1855">
        <v>1854</v>
      </c>
      <c r="B1855" s="1">
        <v>46128</v>
      </c>
      <c r="C1855" t="s">
        <v>266</v>
      </c>
      <c r="D1855" t="s">
        <v>54</v>
      </c>
      <c r="E1855">
        <v>285</v>
      </c>
      <c r="F1855">
        <v>5</v>
      </c>
      <c r="G1855">
        <v>1494</v>
      </c>
      <c r="H1855" t="str">
        <f>TEXT(TbDespesas[[#This Row],[data_transacao]], "aaaa-mm")</f>
        <v>2026-04</v>
      </c>
    </row>
    <row r="1856" spans="1:8">
      <c r="A1856">
        <v>1855</v>
      </c>
      <c r="B1856" s="1">
        <v>46128</v>
      </c>
      <c r="C1856" t="s">
        <v>266</v>
      </c>
      <c r="D1856" t="s">
        <v>119</v>
      </c>
      <c r="E1856">
        <v>492</v>
      </c>
      <c r="F1856">
        <v>2</v>
      </c>
      <c r="G1856">
        <v>1398</v>
      </c>
      <c r="H1856" t="str">
        <f>TEXT(TbDespesas[[#This Row],[data_transacao]], "aaaa-mm")</f>
        <v>2026-04</v>
      </c>
    </row>
    <row r="1857" spans="1:8">
      <c r="A1857">
        <v>1856</v>
      </c>
      <c r="B1857" s="1">
        <v>46128</v>
      </c>
      <c r="C1857" t="s">
        <v>266</v>
      </c>
      <c r="D1857" t="s">
        <v>697</v>
      </c>
      <c r="E1857">
        <v>269</v>
      </c>
      <c r="F1857">
        <v>4</v>
      </c>
      <c r="G1857">
        <v>1127</v>
      </c>
      <c r="H1857" t="str">
        <f>TEXT(TbDespesas[[#This Row],[data_transacao]], "aaaa-mm")</f>
        <v>2026-04</v>
      </c>
    </row>
    <row r="1858" spans="1:8">
      <c r="A1858">
        <v>1857</v>
      </c>
      <c r="B1858" s="1">
        <v>46128</v>
      </c>
      <c r="C1858" t="s">
        <v>266</v>
      </c>
      <c r="D1858" t="s">
        <v>326</v>
      </c>
      <c r="E1858">
        <v>267</v>
      </c>
      <c r="F1858">
        <v>2</v>
      </c>
      <c r="G1858">
        <v>718</v>
      </c>
      <c r="H1858" t="str">
        <f>TEXT(TbDespesas[[#This Row],[data_transacao]], "aaaa-mm")</f>
        <v>2026-04</v>
      </c>
    </row>
    <row r="1859" spans="1:8">
      <c r="A1859">
        <v>1858</v>
      </c>
      <c r="B1859" s="1">
        <v>46128</v>
      </c>
      <c r="C1859" t="s">
        <v>266</v>
      </c>
      <c r="D1859" t="s">
        <v>160</v>
      </c>
      <c r="E1859">
        <v>446</v>
      </c>
      <c r="F1859">
        <v>1</v>
      </c>
      <c r="G1859">
        <v>806</v>
      </c>
      <c r="H1859" t="str">
        <f>TEXT(TbDespesas[[#This Row],[data_transacao]], "aaaa-mm")</f>
        <v>2026-04</v>
      </c>
    </row>
    <row r="1860" spans="1:8">
      <c r="A1860">
        <v>1859</v>
      </c>
      <c r="B1860" s="1">
        <v>46128</v>
      </c>
      <c r="C1860" t="s">
        <v>266</v>
      </c>
      <c r="D1860" t="s">
        <v>359</v>
      </c>
      <c r="E1860">
        <v>429</v>
      </c>
      <c r="F1860">
        <v>4</v>
      </c>
      <c r="G1860">
        <v>1935</v>
      </c>
      <c r="H1860" t="str">
        <f>TEXT(TbDespesas[[#This Row],[data_transacao]], "aaaa-mm")</f>
        <v>2026-04</v>
      </c>
    </row>
    <row r="1861" spans="1:8">
      <c r="A1861">
        <v>1860</v>
      </c>
      <c r="B1861" s="1">
        <v>46128</v>
      </c>
      <c r="C1861" t="s">
        <v>266</v>
      </c>
      <c r="D1861" t="s">
        <v>302</v>
      </c>
      <c r="E1861">
        <v>259</v>
      </c>
      <c r="F1861">
        <v>6</v>
      </c>
      <c r="G1861">
        <v>1666</v>
      </c>
      <c r="H1861" t="str">
        <f>TEXT(TbDespesas[[#This Row],[data_transacao]], "aaaa-mm")</f>
        <v>2026-04</v>
      </c>
    </row>
    <row r="1862" spans="1:8">
      <c r="A1862">
        <v>1861</v>
      </c>
      <c r="B1862" s="1">
        <v>46128</v>
      </c>
      <c r="C1862" t="s">
        <v>266</v>
      </c>
      <c r="D1862" t="s">
        <v>296</v>
      </c>
      <c r="E1862">
        <v>64</v>
      </c>
      <c r="F1862">
        <v>11</v>
      </c>
      <c r="G1862">
        <v>726</v>
      </c>
      <c r="H1862" t="str">
        <f>TEXT(TbDespesas[[#This Row],[data_transacao]], "aaaa-mm")</f>
        <v>2026-04</v>
      </c>
    </row>
    <row r="1863" spans="1:8">
      <c r="A1863">
        <v>1862</v>
      </c>
      <c r="B1863" s="1">
        <v>46128</v>
      </c>
      <c r="C1863" t="s">
        <v>266</v>
      </c>
      <c r="D1863" t="s">
        <v>33</v>
      </c>
      <c r="E1863">
        <v>496</v>
      </c>
      <c r="F1863">
        <v>1</v>
      </c>
      <c r="G1863">
        <v>745</v>
      </c>
      <c r="H1863" t="str">
        <f>TEXT(TbDespesas[[#This Row],[data_transacao]], "aaaa-mm")</f>
        <v>2026-04</v>
      </c>
    </row>
    <row r="1864" spans="1:8">
      <c r="A1864">
        <v>1863</v>
      </c>
      <c r="B1864" s="1">
        <v>46128</v>
      </c>
      <c r="C1864" t="s">
        <v>266</v>
      </c>
      <c r="D1864" t="s">
        <v>238</v>
      </c>
      <c r="E1864">
        <v>440</v>
      </c>
      <c r="F1864">
        <v>6</v>
      </c>
      <c r="G1864">
        <v>2643</v>
      </c>
      <c r="H1864" t="str">
        <f>TEXT(TbDespesas[[#This Row],[data_transacao]], "aaaa-mm")</f>
        <v>2026-04</v>
      </c>
    </row>
    <row r="1865" spans="1:8">
      <c r="A1865">
        <v>1864</v>
      </c>
      <c r="B1865" s="1">
        <v>46128</v>
      </c>
      <c r="C1865" t="s">
        <v>266</v>
      </c>
      <c r="D1865" t="s">
        <v>398</v>
      </c>
      <c r="E1865">
        <v>395</v>
      </c>
      <c r="F1865">
        <v>6</v>
      </c>
      <c r="G1865">
        <v>2666</v>
      </c>
      <c r="H1865" t="str">
        <f>TEXT(TbDespesas[[#This Row],[data_transacao]], "aaaa-mm")</f>
        <v>2026-04</v>
      </c>
    </row>
    <row r="1866" spans="1:8">
      <c r="A1866">
        <v>1865</v>
      </c>
      <c r="B1866" s="1">
        <v>45974</v>
      </c>
      <c r="C1866" t="s">
        <v>430</v>
      </c>
      <c r="D1866" t="s">
        <v>527</v>
      </c>
      <c r="E1866">
        <v>116</v>
      </c>
      <c r="F1866">
        <v>21</v>
      </c>
      <c r="G1866">
        <v>2533</v>
      </c>
      <c r="H1866" t="str">
        <f>TEXT(TbDespesas[[#This Row],[data_transacao]], "aaaa-mm")</f>
        <v>2025-11</v>
      </c>
    </row>
    <row r="1867" spans="1:8">
      <c r="A1867">
        <v>1866</v>
      </c>
      <c r="B1867" s="1">
        <v>45974</v>
      </c>
      <c r="C1867" t="s">
        <v>430</v>
      </c>
      <c r="D1867" t="s">
        <v>39</v>
      </c>
      <c r="E1867">
        <v>412</v>
      </c>
      <c r="F1867">
        <v>4</v>
      </c>
      <c r="G1867">
        <v>1832</v>
      </c>
      <c r="H1867" t="str">
        <f>TEXT(TbDespesas[[#This Row],[data_transacao]], "aaaa-mm")</f>
        <v>2025-11</v>
      </c>
    </row>
    <row r="1868" spans="1:8">
      <c r="A1868">
        <v>1867</v>
      </c>
      <c r="B1868" s="1">
        <v>45974</v>
      </c>
      <c r="C1868" t="s">
        <v>430</v>
      </c>
      <c r="D1868" t="s">
        <v>213</v>
      </c>
      <c r="E1868">
        <v>268</v>
      </c>
      <c r="F1868">
        <v>0</v>
      </c>
      <c r="G1868">
        <v>82</v>
      </c>
      <c r="H1868" t="str">
        <f>TEXT(TbDespesas[[#This Row],[data_transacao]], "aaaa-mm")</f>
        <v>2025-11</v>
      </c>
    </row>
    <row r="1869" spans="1:8">
      <c r="A1869">
        <v>1868</v>
      </c>
      <c r="B1869" s="1">
        <v>46269</v>
      </c>
      <c r="C1869" t="s">
        <v>674</v>
      </c>
      <c r="D1869" t="s">
        <v>513</v>
      </c>
      <c r="E1869">
        <v>97</v>
      </c>
      <c r="F1869">
        <v>49</v>
      </c>
      <c r="G1869">
        <v>4766</v>
      </c>
      <c r="H1869" t="str">
        <f>TEXT(TbDespesas[[#This Row],[data_transacao]], "aaaa-mm")</f>
        <v>2026-09</v>
      </c>
    </row>
    <row r="1870" spans="1:8">
      <c r="A1870">
        <v>1869</v>
      </c>
      <c r="B1870" s="1">
        <v>46269</v>
      </c>
      <c r="C1870" t="s">
        <v>674</v>
      </c>
      <c r="D1870" t="s">
        <v>184</v>
      </c>
      <c r="E1870">
        <v>327</v>
      </c>
      <c r="F1870">
        <v>6</v>
      </c>
      <c r="G1870">
        <v>2023</v>
      </c>
      <c r="H1870" t="str">
        <f>TEXT(TbDespesas[[#This Row],[data_transacao]], "aaaa-mm")</f>
        <v>2026-09</v>
      </c>
    </row>
    <row r="1871" spans="1:8">
      <c r="A1871">
        <v>1870</v>
      </c>
      <c r="B1871" s="1">
        <v>46269</v>
      </c>
      <c r="C1871" t="s">
        <v>674</v>
      </c>
      <c r="D1871" t="s">
        <v>37</v>
      </c>
      <c r="E1871">
        <v>183</v>
      </c>
      <c r="F1871">
        <v>23</v>
      </c>
      <c r="G1871">
        <v>4336</v>
      </c>
      <c r="H1871" t="str">
        <f>TEXT(TbDespesas[[#This Row],[data_transacao]], "aaaa-mm")</f>
        <v>2026-09</v>
      </c>
    </row>
    <row r="1872" spans="1:8">
      <c r="A1872">
        <v>1871</v>
      </c>
      <c r="B1872" s="1">
        <v>46269</v>
      </c>
      <c r="C1872" t="s">
        <v>674</v>
      </c>
      <c r="D1872" t="s">
        <v>492</v>
      </c>
      <c r="E1872">
        <v>21</v>
      </c>
      <c r="F1872">
        <v>58</v>
      </c>
      <c r="G1872">
        <v>1234</v>
      </c>
      <c r="H1872" t="str">
        <f>TEXT(TbDespesas[[#This Row],[data_transacao]], "aaaa-mm")</f>
        <v>2026-09</v>
      </c>
    </row>
    <row r="1873" spans="1:8">
      <c r="A1873">
        <v>1872</v>
      </c>
      <c r="B1873" s="1">
        <v>46269</v>
      </c>
      <c r="C1873" t="s">
        <v>674</v>
      </c>
      <c r="D1873" t="s">
        <v>96</v>
      </c>
      <c r="E1873">
        <v>156</v>
      </c>
      <c r="F1873">
        <v>18</v>
      </c>
      <c r="G1873">
        <v>2847</v>
      </c>
      <c r="H1873" t="str">
        <f>TEXT(TbDespesas[[#This Row],[data_transacao]], "aaaa-mm")</f>
        <v>2026-09</v>
      </c>
    </row>
    <row r="1874" spans="1:8">
      <c r="A1874">
        <v>1873</v>
      </c>
      <c r="B1874" s="1">
        <v>46269</v>
      </c>
      <c r="C1874" t="s">
        <v>674</v>
      </c>
      <c r="D1874" t="s">
        <v>469</v>
      </c>
      <c r="E1874">
        <v>412</v>
      </c>
      <c r="F1874">
        <v>4</v>
      </c>
      <c r="G1874">
        <v>1926</v>
      </c>
      <c r="H1874" t="str">
        <f>TEXT(TbDespesas[[#This Row],[data_transacao]], "aaaa-mm")</f>
        <v>2026-09</v>
      </c>
    </row>
    <row r="1875" spans="1:8">
      <c r="A1875">
        <v>1874</v>
      </c>
      <c r="B1875" s="1">
        <v>46269</v>
      </c>
      <c r="C1875" t="s">
        <v>674</v>
      </c>
      <c r="D1875" t="s">
        <v>661</v>
      </c>
      <c r="E1875">
        <v>403</v>
      </c>
      <c r="F1875">
        <v>10</v>
      </c>
      <c r="G1875">
        <v>4196</v>
      </c>
      <c r="H1875" t="str">
        <f>TEXT(TbDespesas[[#This Row],[data_transacao]], "aaaa-mm")</f>
        <v>2026-09</v>
      </c>
    </row>
    <row r="1876" spans="1:8">
      <c r="A1876">
        <v>1875</v>
      </c>
      <c r="B1876" s="1">
        <v>46063</v>
      </c>
      <c r="C1876" t="s">
        <v>623</v>
      </c>
      <c r="D1876" t="s">
        <v>395</v>
      </c>
      <c r="E1876">
        <v>67</v>
      </c>
      <c r="F1876">
        <v>41</v>
      </c>
      <c r="G1876">
        <v>2813</v>
      </c>
      <c r="H1876" t="str">
        <f>TEXT(TbDespesas[[#This Row],[data_transacao]], "aaaa-mm")</f>
        <v>2026-02</v>
      </c>
    </row>
    <row r="1877" spans="1:8">
      <c r="A1877">
        <v>1876</v>
      </c>
      <c r="B1877" s="1">
        <v>46063</v>
      </c>
      <c r="C1877" t="s">
        <v>623</v>
      </c>
      <c r="D1877" t="s">
        <v>109</v>
      </c>
      <c r="E1877">
        <v>169</v>
      </c>
      <c r="F1877">
        <v>3</v>
      </c>
      <c r="G1877">
        <v>605</v>
      </c>
      <c r="H1877" t="str">
        <f>TEXT(TbDespesas[[#This Row],[data_transacao]], "aaaa-mm")</f>
        <v>2026-02</v>
      </c>
    </row>
    <row r="1878" spans="1:8">
      <c r="A1878">
        <v>1877</v>
      </c>
      <c r="B1878" s="1">
        <v>46063</v>
      </c>
      <c r="C1878" t="s">
        <v>623</v>
      </c>
      <c r="D1878" t="s">
        <v>119</v>
      </c>
      <c r="E1878">
        <v>393</v>
      </c>
      <c r="F1878">
        <v>5</v>
      </c>
      <c r="G1878">
        <v>2226</v>
      </c>
      <c r="H1878" t="str">
        <f>TEXT(TbDespesas[[#This Row],[data_transacao]], "aaaa-mm")</f>
        <v>2026-02</v>
      </c>
    </row>
    <row r="1879" spans="1:8">
      <c r="A1879">
        <v>1878</v>
      </c>
      <c r="B1879" s="1">
        <v>46063</v>
      </c>
      <c r="C1879" t="s">
        <v>623</v>
      </c>
      <c r="D1879" t="s">
        <v>363</v>
      </c>
      <c r="E1879">
        <v>402</v>
      </c>
      <c r="F1879">
        <v>0</v>
      </c>
      <c r="G1879">
        <v>57</v>
      </c>
      <c r="H1879" t="str">
        <f>TEXT(TbDespesas[[#This Row],[data_transacao]], "aaaa-mm")</f>
        <v>2026-02</v>
      </c>
    </row>
    <row r="1880" spans="1:8">
      <c r="A1880">
        <v>1879</v>
      </c>
      <c r="B1880" s="1">
        <v>46063</v>
      </c>
      <c r="C1880" t="s">
        <v>623</v>
      </c>
      <c r="D1880" t="s">
        <v>407</v>
      </c>
      <c r="E1880">
        <v>153</v>
      </c>
      <c r="F1880">
        <v>14</v>
      </c>
      <c r="G1880">
        <v>2149</v>
      </c>
      <c r="H1880" t="str">
        <f>TEXT(TbDespesas[[#This Row],[data_transacao]], "aaaa-mm")</f>
        <v>2026-02</v>
      </c>
    </row>
    <row r="1881" spans="1:8">
      <c r="A1881">
        <v>1880</v>
      </c>
      <c r="B1881" s="1">
        <v>46063</v>
      </c>
      <c r="C1881" t="s">
        <v>623</v>
      </c>
      <c r="D1881" t="s">
        <v>446</v>
      </c>
      <c r="E1881">
        <v>160</v>
      </c>
      <c r="F1881">
        <v>14</v>
      </c>
      <c r="G1881">
        <v>2285</v>
      </c>
      <c r="H1881" t="str">
        <f>TEXT(TbDespesas[[#This Row],[data_transacao]], "aaaa-mm")</f>
        <v>2026-02</v>
      </c>
    </row>
    <row r="1882" spans="1:8">
      <c r="A1882">
        <v>1881</v>
      </c>
      <c r="B1882" s="1">
        <v>46063</v>
      </c>
      <c r="C1882" t="s">
        <v>623</v>
      </c>
      <c r="D1882" t="s">
        <v>320</v>
      </c>
      <c r="E1882">
        <v>282</v>
      </c>
      <c r="F1882">
        <v>7</v>
      </c>
      <c r="G1882">
        <v>2238</v>
      </c>
      <c r="H1882" t="str">
        <f>TEXT(TbDespesas[[#This Row],[data_transacao]], "aaaa-mm")</f>
        <v>2026-02</v>
      </c>
    </row>
    <row r="1883" spans="1:8">
      <c r="A1883">
        <v>1882</v>
      </c>
      <c r="B1883" s="1">
        <v>46063</v>
      </c>
      <c r="C1883" t="s">
        <v>623</v>
      </c>
      <c r="D1883" t="s">
        <v>252</v>
      </c>
      <c r="E1883">
        <v>31</v>
      </c>
      <c r="F1883">
        <v>55</v>
      </c>
      <c r="G1883">
        <v>1714</v>
      </c>
      <c r="H1883" t="str">
        <f>TEXT(TbDespesas[[#This Row],[data_transacao]], "aaaa-mm")</f>
        <v>2026-02</v>
      </c>
    </row>
    <row r="1884" spans="1:8">
      <c r="A1884">
        <v>1883</v>
      </c>
      <c r="B1884" s="1">
        <v>46063</v>
      </c>
      <c r="C1884" t="s">
        <v>623</v>
      </c>
      <c r="D1884" t="s">
        <v>51</v>
      </c>
      <c r="E1884">
        <v>393</v>
      </c>
      <c r="F1884">
        <v>3</v>
      </c>
      <c r="G1884">
        <v>1565</v>
      </c>
      <c r="H1884" t="str">
        <f>TEXT(TbDespesas[[#This Row],[data_transacao]], "aaaa-mm")</f>
        <v>2026-02</v>
      </c>
    </row>
    <row r="1885" spans="1:8">
      <c r="A1885">
        <v>1884</v>
      </c>
      <c r="B1885" s="1">
        <v>46063</v>
      </c>
      <c r="C1885" t="s">
        <v>623</v>
      </c>
      <c r="D1885" t="s">
        <v>79</v>
      </c>
      <c r="E1885">
        <v>255</v>
      </c>
      <c r="F1885">
        <v>3</v>
      </c>
      <c r="G1885">
        <v>825</v>
      </c>
      <c r="H1885" t="str">
        <f>TEXT(TbDespesas[[#This Row],[data_transacao]], "aaaa-mm")</f>
        <v>2026-02</v>
      </c>
    </row>
    <row r="1886" spans="1:8">
      <c r="A1886">
        <v>1885</v>
      </c>
      <c r="B1886" s="1">
        <v>46063</v>
      </c>
      <c r="C1886" t="s">
        <v>623</v>
      </c>
      <c r="D1886" t="s">
        <v>570</v>
      </c>
      <c r="E1886">
        <v>29</v>
      </c>
      <c r="F1886">
        <v>62</v>
      </c>
      <c r="G1886">
        <v>1814</v>
      </c>
      <c r="H1886" t="str">
        <f>TEXT(TbDespesas[[#This Row],[data_transacao]], "aaaa-mm")</f>
        <v>2026-02</v>
      </c>
    </row>
    <row r="1887" spans="1:8">
      <c r="A1887">
        <v>1886</v>
      </c>
      <c r="B1887" s="1">
        <v>45930</v>
      </c>
      <c r="C1887" t="s">
        <v>645</v>
      </c>
      <c r="D1887" t="s">
        <v>196</v>
      </c>
      <c r="E1887">
        <v>164</v>
      </c>
      <c r="F1887">
        <v>26</v>
      </c>
      <c r="G1887">
        <v>4321</v>
      </c>
      <c r="H1887" t="str">
        <f>TEXT(TbDespesas[[#This Row],[data_transacao]], "aaaa-mm")</f>
        <v>2025-09</v>
      </c>
    </row>
    <row r="1888" spans="1:8">
      <c r="A1888">
        <v>1887</v>
      </c>
      <c r="B1888" s="1">
        <v>45930</v>
      </c>
      <c r="C1888" t="s">
        <v>645</v>
      </c>
      <c r="D1888" t="s">
        <v>513</v>
      </c>
      <c r="E1888">
        <v>263</v>
      </c>
      <c r="F1888">
        <v>7</v>
      </c>
      <c r="G1888">
        <v>2056</v>
      </c>
      <c r="H1888" t="str">
        <f>TEXT(TbDespesas[[#This Row],[data_transacao]], "aaaa-mm")</f>
        <v>2025-09</v>
      </c>
    </row>
    <row r="1889" spans="1:8">
      <c r="A1889">
        <v>1888</v>
      </c>
      <c r="B1889" s="1">
        <v>45930</v>
      </c>
      <c r="C1889" t="s">
        <v>645</v>
      </c>
      <c r="D1889" t="s">
        <v>393</v>
      </c>
      <c r="E1889">
        <v>264</v>
      </c>
      <c r="F1889">
        <v>3</v>
      </c>
      <c r="G1889">
        <v>928</v>
      </c>
      <c r="H1889" t="str">
        <f>TEXT(TbDespesas[[#This Row],[data_transacao]], "aaaa-mm")</f>
        <v>2025-09</v>
      </c>
    </row>
    <row r="1890" spans="1:8">
      <c r="A1890">
        <v>1889</v>
      </c>
      <c r="B1890" s="1">
        <v>45930</v>
      </c>
      <c r="C1890" t="s">
        <v>645</v>
      </c>
      <c r="D1890" t="s">
        <v>487</v>
      </c>
      <c r="E1890">
        <v>301</v>
      </c>
      <c r="F1890">
        <v>12</v>
      </c>
      <c r="G1890">
        <v>3641</v>
      </c>
      <c r="H1890" t="str">
        <f>TEXT(TbDespesas[[#This Row],[data_transacao]], "aaaa-mm")</f>
        <v>2025-09</v>
      </c>
    </row>
    <row r="1891" spans="1:8">
      <c r="A1891">
        <v>1890</v>
      </c>
      <c r="B1891" s="1">
        <v>45930</v>
      </c>
      <c r="C1891" t="s">
        <v>645</v>
      </c>
      <c r="D1891" t="s">
        <v>628</v>
      </c>
      <c r="E1891">
        <v>116</v>
      </c>
      <c r="F1891">
        <v>16</v>
      </c>
      <c r="G1891">
        <v>1880</v>
      </c>
      <c r="H1891" t="str">
        <f>TEXT(TbDespesas[[#This Row],[data_transacao]], "aaaa-mm")</f>
        <v>2025-09</v>
      </c>
    </row>
    <row r="1892" spans="1:8">
      <c r="A1892">
        <v>1891</v>
      </c>
      <c r="B1892" s="1">
        <v>45930</v>
      </c>
      <c r="C1892" t="s">
        <v>645</v>
      </c>
      <c r="D1892" t="s">
        <v>576</v>
      </c>
      <c r="E1892">
        <v>479</v>
      </c>
      <c r="F1892">
        <v>4</v>
      </c>
      <c r="G1892">
        <v>2214</v>
      </c>
      <c r="H1892" t="str">
        <f>TEXT(TbDespesas[[#This Row],[data_transacao]], "aaaa-mm")</f>
        <v>2025-09</v>
      </c>
    </row>
    <row r="1893" spans="1:8">
      <c r="A1893">
        <v>1892</v>
      </c>
      <c r="B1893" s="1">
        <v>45930</v>
      </c>
      <c r="C1893" t="s">
        <v>645</v>
      </c>
      <c r="D1893" t="s">
        <v>435</v>
      </c>
      <c r="E1893">
        <v>387</v>
      </c>
      <c r="F1893">
        <v>7</v>
      </c>
      <c r="G1893">
        <v>2874</v>
      </c>
      <c r="H1893" t="str">
        <f>TEXT(TbDespesas[[#This Row],[data_transacao]], "aaaa-mm")</f>
        <v>2025-09</v>
      </c>
    </row>
    <row r="1894" spans="1:8">
      <c r="A1894">
        <v>1893</v>
      </c>
      <c r="B1894" s="1">
        <v>45930</v>
      </c>
      <c r="C1894" t="s">
        <v>645</v>
      </c>
      <c r="D1894" t="s">
        <v>634</v>
      </c>
      <c r="E1894">
        <v>361</v>
      </c>
      <c r="F1894">
        <v>3</v>
      </c>
      <c r="G1894">
        <v>1358</v>
      </c>
      <c r="H1894" t="str">
        <f>TEXT(TbDespesas[[#This Row],[data_transacao]], "aaaa-mm")</f>
        <v>2025-09</v>
      </c>
    </row>
    <row r="1895" spans="1:8">
      <c r="A1895">
        <v>1894</v>
      </c>
      <c r="B1895" s="1">
        <v>45930</v>
      </c>
      <c r="C1895" t="s">
        <v>645</v>
      </c>
      <c r="D1895" t="s">
        <v>139</v>
      </c>
      <c r="E1895">
        <v>16</v>
      </c>
      <c r="F1895">
        <v>192</v>
      </c>
      <c r="G1895">
        <v>3073</v>
      </c>
      <c r="H1895" t="str">
        <f>TEXT(TbDespesas[[#This Row],[data_transacao]], "aaaa-mm")</f>
        <v>2025-09</v>
      </c>
    </row>
    <row r="1896" spans="1:8">
      <c r="A1896">
        <v>1895</v>
      </c>
      <c r="B1896" s="1">
        <v>45930</v>
      </c>
      <c r="C1896" t="s">
        <v>645</v>
      </c>
      <c r="D1896" t="s">
        <v>151</v>
      </c>
      <c r="E1896">
        <v>489</v>
      </c>
      <c r="F1896">
        <v>4</v>
      </c>
      <c r="G1896">
        <v>2199</v>
      </c>
      <c r="H1896" t="str">
        <f>TEXT(TbDespesas[[#This Row],[data_transacao]], "aaaa-mm")</f>
        <v>2025-09</v>
      </c>
    </row>
    <row r="1897" spans="1:8">
      <c r="A1897">
        <v>1896</v>
      </c>
      <c r="B1897" s="1">
        <v>45930</v>
      </c>
      <c r="C1897" t="s">
        <v>645</v>
      </c>
      <c r="D1897" t="s">
        <v>286</v>
      </c>
      <c r="E1897">
        <v>453</v>
      </c>
      <c r="F1897">
        <v>5</v>
      </c>
      <c r="G1897">
        <v>2422</v>
      </c>
      <c r="H1897" t="str">
        <f>TEXT(TbDespesas[[#This Row],[data_transacao]], "aaaa-mm")</f>
        <v>2025-09</v>
      </c>
    </row>
    <row r="1898" spans="1:8">
      <c r="A1898">
        <v>1897</v>
      </c>
      <c r="B1898" s="1">
        <v>45930</v>
      </c>
      <c r="C1898" t="s">
        <v>645</v>
      </c>
      <c r="D1898" t="s">
        <v>426</v>
      </c>
      <c r="E1898">
        <v>160</v>
      </c>
      <c r="F1898">
        <v>0</v>
      </c>
      <c r="G1898">
        <v>122</v>
      </c>
      <c r="H1898" t="str">
        <f>TEXT(TbDespesas[[#This Row],[data_transacao]], "aaaa-mm")</f>
        <v>2025-09</v>
      </c>
    </row>
    <row r="1899" spans="1:8">
      <c r="A1899">
        <v>1898</v>
      </c>
      <c r="B1899" s="1">
        <v>45979</v>
      </c>
      <c r="C1899" t="s">
        <v>49</v>
      </c>
      <c r="D1899" t="s">
        <v>55</v>
      </c>
      <c r="E1899">
        <v>147</v>
      </c>
      <c r="F1899">
        <v>28</v>
      </c>
      <c r="G1899">
        <v>4211</v>
      </c>
      <c r="H1899" t="str">
        <f>TEXT(TbDespesas[[#This Row],[data_transacao]], "aaaa-mm")</f>
        <v>2025-11</v>
      </c>
    </row>
    <row r="1900" spans="1:8">
      <c r="A1900">
        <v>1899</v>
      </c>
      <c r="B1900" s="1">
        <v>45979</v>
      </c>
      <c r="C1900" t="s">
        <v>49</v>
      </c>
      <c r="D1900" t="s">
        <v>577</v>
      </c>
      <c r="E1900">
        <v>189</v>
      </c>
      <c r="F1900">
        <v>14</v>
      </c>
      <c r="G1900">
        <v>2784</v>
      </c>
      <c r="H1900" t="str">
        <f>TEXT(TbDespesas[[#This Row],[data_transacao]], "aaaa-mm")</f>
        <v>2025-11</v>
      </c>
    </row>
    <row r="1901" spans="1:8">
      <c r="A1901">
        <v>1900</v>
      </c>
      <c r="B1901" s="1">
        <v>45979</v>
      </c>
      <c r="C1901" t="s">
        <v>49</v>
      </c>
      <c r="D1901" t="s">
        <v>126</v>
      </c>
      <c r="E1901">
        <v>167</v>
      </c>
      <c r="F1901">
        <v>8</v>
      </c>
      <c r="G1901">
        <v>1343</v>
      </c>
      <c r="H1901" t="str">
        <f>TEXT(TbDespesas[[#This Row],[data_transacao]], "aaaa-mm")</f>
        <v>2025-11</v>
      </c>
    </row>
    <row r="1902" spans="1:8">
      <c r="A1902">
        <v>1901</v>
      </c>
      <c r="B1902" s="1">
        <v>45979</v>
      </c>
      <c r="C1902" t="s">
        <v>49</v>
      </c>
      <c r="D1902" t="s">
        <v>367</v>
      </c>
      <c r="E1902">
        <v>66</v>
      </c>
      <c r="F1902">
        <v>34</v>
      </c>
      <c r="G1902">
        <v>2275</v>
      </c>
      <c r="H1902" t="str">
        <f>TEXT(TbDespesas[[#This Row],[data_transacao]], "aaaa-mm")</f>
        <v>2025-11</v>
      </c>
    </row>
    <row r="1903" spans="1:8">
      <c r="A1903">
        <v>1902</v>
      </c>
      <c r="B1903" s="1">
        <v>45979</v>
      </c>
      <c r="C1903" t="s">
        <v>49</v>
      </c>
      <c r="D1903" t="s">
        <v>616</v>
      </c>
      <c r="E1903">
        <v>143</v>
      </c>
      <c r="F1903">
        <v>19</v>
      </c>
      <c r="G1903">
        <v>2718</v>
      </c>
      <c r="H1903" t="str">
        <f>TEXT(TbDespesas[[#This Row],[data_transacao]], "aaaa-mm")</f>
        <v>2025-11</v>
      </c>
    </row>
    <row r="1904" spans="1:8">
      <c r="A1904">
        <v>1903</v>
      </c>
      <c r="B1904" s="1">
        <v>45979</v>
      </c>
      <c r="C1904" t="s">
        <v>49</v>
      </c>
      <c r="D1904" t="s">
        <v>230</v>
      </c>
      <c r="E1904">
        <v>393</v>
      </c>
      <c r="F1904">
        <v>7</v>
      </c>
      <c r="G1904">
        <v>2929</v>
      </c>
      <c r="H1904" t="str">
        <f>TEXT(TbDespesas[[#This Row],[data_transacao]], "aaaa-mm")</f>
        <v>2025-11</v>
      </c>
    </row>
    <row r="1905" spans="1:8">
      <c r="A1905">
        <v>1904</v>
      </c>
      <c r="B1905" s="1">
        <v>46276</v>
      </c>
      <c r="C1905" t="s">
        <v>185</v>
      </c>
      <c r="D1905" t="s">
        <v>416</v>
      </c>
      <c r="E1905">
        <v>248</v>
      </c>
      <c r="F1905">
        <v>9</v>
      </c>
      <c r="G1905">
        <v>2310</v>
      </c>
      <c r="H1905" t="str">
        <f>TEXT(TbDespesas[[#This Row],[data_transacao]], "aaaa-mm")</f>
        <v>2026-09</v>
      </c>
    </row>
    <row r="1906" spans="1:8">
      <c r="A1906">
        <v>1905</v>
      </c>
      <c r="B1906" s="1">
        <v>46276</v>
      </c>
      <c r="C1906" t="s">
        <v>185</v>
      </c>
      <c r="D1906" t="s">
        <v>565</v>
      </c>
      <c r="E1906">
        <v>253</v>
      </c>
      <c r="F1906">
        <v>10</v>
      </c>
      <c r="G1906">
        <v>2548</v>
      </c>
      <c r="H1906" t="str">
        <f>TEXT(TbDespesas[[#This Row],[data_transacao]], "aaaa-mm")</f>
        <v>2026-09</v>
      </c>
    </row>
    <row r="1907" spans="1:8">
      <c r="A1907">
        <v>1906</v>
      </c>
      <c r="B1907" s="1">
        <v>46276</v>
      </c>
      <c r="C1907" t="s">
        <v>185</v>
      </c>
      <c r="D1907" t="s">
        <v>288</v>
      </c>
      <c r="E1907">
        <v>393</v>
      </c>
      <c r="F1907">
        <v>8</v>
      </c>
      <c r="G1907">
        <v>3181</v>
      </c>
      <c r="H1907" t="str">
        <f>TEXT(TbDespesas[[#This Row],[data_transacao]], "aaaa-mm")</f>
        <v>2026-09</v>
      </c>
    </row>
    <row r="1908" spans="1:8">
      <c r="A1908">
        <v>1907</v>
      </c>
      <c r="B1908" s="1">
        <v>46276</v>
      </c>
      <c r="C1908" t="s">
        <v>185</v>
      </c>
      <c r="D1908" t="s">
        <v>695</v>
      </c>
      <c r="E1908">
        <v>97</v>
      </c>
      <c r="F1908">
        <v>6</v>
      </c>
      <c r="G1908">
        <v>641</v>
      </c>
      <c r="H1908" t="str">
        <f>TEXT(TbDespesas[[#This Row],[data_transacao]], "aaaa-mm")</f>
        <v>2026-09</v>
      </c>
    </row>
    <row r="1909" spans="1:8">
      <c r="A1909">
        <v>1908</v>
      </c>
      <c r="B1909" s="1">
        <v>46035</v>
      </c>
      <c r="C1909" t="s">
        <v>532</v>
      </c>
      <c r="D1909" t="s">
        <v>701</v>
      </c>
      <c r="E1909">
        <v>195</v>
      </c>
      <c r="F1909">
        <v>8</v>
      </c>
      <c r="G1909">
        <v>1732</v>
      </c>
      <c r="H1909" t="str">
        <f>TEXT(TbDespesas[[#This Row],[data_transacao]], "aaaa-mm")</f>
        <v>2026-01</v>
      </c>
    </row>
    <row r="1910" spans="1:8">
      <c r="A1910">
        <v>1909</v>
      </c>
      <c r="B1910" s="1">
        <v>46035</v>
      </c>
      <c r="C1910" t="s">
        <v>532</v>
      </c>
      <c r="D1910" t="s">
        <v>487</v>
      </c>
      <c r="E1910">
        <v>189</v>
      </c>
      <c r="F1910">
        <v>7</v>
      </c>
      <c r="G1910">
        <v>1371</v>
      </c>
      <c r="H1910" t="str">
        <f>TEXT(TbDespesas[[#This Row],[data_transacao]], "aaaa-mm")</f>
        <v>2026-01</v>
      </c>
    </row>
    <row r="1911" spans="1:8">
      <c r="A1911">
        <v>1910</v>
      </c>
      <c r="B1911" s="1">
        <v>46035</v>
      </c>
      <c r="C1911" t="s">
        <v>532</v>
      </c>
      <c r="D1911" t="s">
        <v>399</v>
      </c>
      <c r="E1911">
        <v>470</v>
      </c>
      <c r="F1911">
        <v>4</v>
      </c>
      <c r="G1911">
        <v>2009</v>
      </c>
      <c r="H1911" t="str">
        <f>TEXT(TbDespesas[[#This Row],[data_transacao]], "aaaa-mm")</f>
        <v>2026-01</v>
      </c>
    </row>
    <row r="1912" spans="1:8">
      <c r="A1912">
        <v>1911</v>
      </c>
      <c r="B1912" s="1">
        <v>46035</v>
      </c>
      <c r="C1912" t="s">
        <v>532</v>
      </c>
      <c r="D1912" t="s">
        <v>702</v>
      </c>
      <c r="E1912">
        <v>247</v>
      </c>
      <c r="F1912">
        <v>4</v>
      </c>
      <c r="G1912">
        <v>1069</v>
      </c>
      <c r="H1912" t="str">
        <f>TEXT(TbDespesas[[#This Row],[data_transacao]], "aaaa-mm")</f>
        <v>2026-01</v>
      </c>
    </row>
    <row r="1913" spans="1:8">
      <c r="A1913">
        <v>1912</v>
      </c>
      <c r="B1913" s="1">
        <v>46120</v>
      </c>
      <c r="C1913" t="s">
        <v>97</v>
      </c>
      <c r="D1913" t="s">
        <v>157</v>
      </c>
      <c r="E1913">
        <v>342</v>
      </c>
      <c r="F1913">
        <v>8</v>
      </c>
      <c r="G1913">
        <v>2889</v>
      </c>
      <c r="H1913" t="str">
        <f>TEXT(TbDespesas[[#This Row],[data_transacao]], "aaaa-mm")</f>
        <v>2026-04</v>
      </c>
    </row>
    <row r="1914" spans="1:8">
      <c r="A1914">
        <v>1913</v>
      </c>
      <c r="B1914" s="1">
        <v>46120</v>
      </c>
      <c r="C1914" t="s">
        <v>97</v>
      </c>
      <c r="D1914" t="s">
        <v>406</v>
      </c>
      <c r="E1914">
        <v>61</v>
      </c>
      <c r="F1914">
        <v>52</v>
      </c>
      <c r="G1914">
        <v>3179</v>
      </c>
      <c r="H1914" t="str">
        <f>TEXT(TbDespesas[[#This Row],[data_transacao]], "aaaa-mm")</f>
        <v>2026-04</v>
      </c>
    </row>
    <row r="1915" spans="1:8">
      <c r="A1915">
        <v>1914</v>
      </c>
      <c r="B1915" s="1">
        <v>46120</v>
      </c>
      <c r="C1915" t="s">
        <v>97</v>
      </c>
      <c r="D1915" t="s">
        <v>31</v>
      </c>
      <c r="E1915">
        <v>477</v>
      </c>
      <c r="F1915">
        <v>3</v>
      </c>
      <c r="G1915">
        <v>1504</v>
      </c>
      <c r="H1915" t="str">
        <f>TEXT(TbDespesas[[#This Row],[data_transacao]], "aaaa-mm")</f>
        <v>2026-04</v>
      </c>
    </row>
    <row r="1916" spans="1:8">
      <c r="A1916">
        <v>1915</v>
      </c>
      <c r="B1916" s="1">
        <v>45932</v>
      </c>
      <c r="C1916" t="s">
        <v>455</v>
      </c>
      <c r="D1916" t="s">
        <v>268</v>
      </c>
      <c r="E1916">
        <v>357</v>
      </c>
      <c r="F1916">
        <v>8</v>
      </c>
      <c r="G1916">
        <v>2913</v>
      </c>
      <c r="H1916" t="str">
        <f>TEXT(TbDespesas[[#This Row],[data_transacao]], "aaaa-mm")</f>
        <v>2025-10</v>
      </c>
    </row>
    <row r="1917" spans="1:8">
      <c r="A1917">
        <v>1916</v>
      </c>
      <c r="B1917" s="1">
        <v>45932</v>
      </c>
      <c r="C1917" t="s">
        <v>455</v>
      </c>
      <c r="D1917" t="s">
        <v>298</v>
      </c>
      <c r="E1917">
        <v>81</v>
      </c>
      <c r="F1917">
        <v>34</v>
      </c>
      <c r="G1917">
        <v>2818</v>
      </c>
      <c r="H1917" t="str">
        <f>TEXT(TbDespesas[[#This Row],[data_transacao]], "aaaa-mm")</f>
        <v>2025-10</v>
      </c>
    </row>
    <row r="1918" spans="1:8">
      <c r="A1918">
        <v>1917</v>
      </c>
      <c r="B1918" s="1">
        <v>45932</v>
      </c>
      <c r="C1918" t="s">
        <v>455</v>
      </c>
      <c r="D1918" t="s">
        <v>456</v>
      </c>
      <c r="E1918">
        <v>384</v>
      </c>
      <c r="F1918">
        <v>4</v>
      </c>
      <c r="G1918">
        <v>1874</v>
      </c>
      <c r="H1918" t="str">
        <f>TEXT(TbDespesas[[#This Row],[data_transacao]], "aaaa-mm")</f>
        <v>2025-10</v>
      </c>
    </row>
    <row r="1919" spans="1:8">
      <c r="A1919">
        <v>1918</v>
      </c>
      <c r="B1919" s="1">
        <v>45932</v>
      </c>
      <c r="C1919" t="s">
        <v>455</v>
      </c>
      <c r="D1919" t="s">
        <v>463</v>
      </c>
      <c r="E1919">
        <v>442</v>
      </c>
      <c r="F1919">
        <v>1</v>
      </c>
      <c r="G1919">
        <v>765</v>
      </c>
      <c r="H1919" t="str">
        <f>TEXT(TbDespesas[[#This Row],[data_transacao]], "aaaa-mm")</f>
        <v>2025-10</v>
      </c>
    </row>
    <row r="1920" spans="1:8">
      <c r="A1920">
        <v>1919</v>
      </c>
      <c r="B1920" s="1">
        <v>45932</v>
      </c>
      <c r="C1920" t="s">
        <v>455</v>
      </c>
      <c r="D1920" t="s">
        <v>140</v>
      </c>
      <c r="E1920">
        <v>86</v>
      </c>
      <c r="F1920">
        <v>29</v>
      </c>
      <c r="G1920">
        <v>2519</v>
      </c>
      <c r="H1920" t="str">
        <f>TEXT(TbDespesas[[#This Row],[data_transacao]], "aaaa-mm")</f>
        <v>2025-10</v>
      </c>
    </row>
    <row r="1921" spans="1:8">
      <c r="A1921">
        <v>1920</v>
      </c>
      <c r="B1921" s="1">
        <v>45932</v>
      </c>
      <c r="C1921" t="s">
        <v>455</v>
      </c>
      <c r="D1921" t="s">
        <v>90</v>
      </c>
      <c r="E1921">
        <v>308</v>
      </c>
      <c r="F1921">
        <v>7</v>
      </c>
      <c r="G1921">
        <v>2430</v>
      </c>
      <c r="H1921" t="str">
        <f>TEXT(TbDespesas[[#This Row],[data_transacao]], "aaaa-mm")</f>
        <v>2025-10</v>
      </c>
    </row>
    <row r="1922" spans="1:8">
      <c r="A1922">
        <v>1921</v>
      </c>
      <c r="B1922" s="1">
        <v>46030</v>
      </c>
      <c r="C1922" t="s">
        <v>169</v>
      </c>
      <c r="D1922" t="s">
        <v>116</v>
      </c>
      <c r="E1922">
        <v>160</v>
      </c>
      <c r="F1922">
        <v>15</v>
      </c>
      <c r="G1922">
        <v>2532</v>
      </c>
      <c r="H1922" t="str">
        <f>TEXT(TbDespesas[[#This Row],[data_transacao]], "aaaa-mm")</f>
        <v>2026-01</v>
      </c>
    </row>
    <row r="1923" spans="1:8">
      <c r="A1923">
        <v>1922</v>
      </c>
      <c r="B1923" s="1">
        <v>46030</v>
      </c>
      <c r="C1923" t="s">
        <v>169</v>
      </c>
      <c r="D1923" t="s">
        <v>175</v>
      </c>
      <c r="E1923">
        <v>149</v>
      </c>
      <c r="F1923">
        <v>9</v>
      </c>
      <c r="G1923">
        <v>1374</v>
      </c>
      <c r="H1923" t="str">
        <f>TEXT(TbDespesas[[#This Row],[data_transacao]], "aaaa-mm")</f>
        <v>2026-01</v>
      </c>
    </row>
    <row r="1924" spans="1:8">
      <c r="A1924">
        <v>1923</v>
      </c>
      <c r="B1924" s="1">
        <v>46030</v>
      </c>
      <c r="C1924" t="s">
        <v>169</v>
      </c>
      <c r="D1924" t="s">
        <v>601</v>
      </c>
      <c r="E1924">
        <v>263</v>
      </c>
      <c r="F1924">
        <v>12</v>
      </c>
      <c r="G1924">
        <v>3240</v>
      </c>
      <c r="H1924" t="str">
        <f>TEXT(TbDespesas[[#This Row],[data_transacao]], "aaaa-mm")</f>
        <v>2026-01</v>
      </c>
    </row>
    <row r="1925" spans="1:8">
      <c r="A1925">
        <v>1924</v>
      </c>
      <c r="B1925" s="1">
        <v>46030</v>
      </c>
      <c r="C1925" t="s">
        <v>169</v>
      </c>
      <c r="D1925" t="s">
        <v>368</v>
      </c>
      <c r="E1925">
        <v>495</v>
      </c>
      <c r="F1925">
        <v>2</v>
      </c>
      <c r="G1925">
        <v>1409</v>
      </c>
      <c r="H1925" t="str">
        <f>TEXT(TbDespesas[[#This Row],[data_transacao]], "aaaa-mm")</f>
        <v>2026-01</v>
      </c>
    </row>
    <row r="1926" spans="1:8">
      <c r="A1926">
        <v>1925</v>
      </c>
      <c r="B1926" s="1">
        <v>46235</v>
      </c>
      <c r="C1926" t="s">
        <v>674</v>
      </c>
      <c r="D1926" t="s">
        <v>161</v>
      </c>
      <c r="E1926">
        <v>143</v>
      </c>
      <c r="F1926">
        <v>14</v>
      </c>
      <c r="G1926">
        <v>2063</v>
      </c>
      <c r="H1926" t="str">
        <f>TEXT(TbDespesas[[#This Row],[data_transacao]], "aaaa-mm")</f>
        <v>2026-08</v>
      </c>
    </row>
    <row r="1927" spans="1:8">
      <c r="A1927">
        <v>1926</v>
      </c>
      <c r="B1927" s="1">
        <v>46235</v>
      </c>
      <c r="C1927" t="s">
        <v>674</v>
      </c>
      <c r="D1927" t="s">
        <v>703</v>
      </c>
      <c r="E1927">
        <v>342</v>
      </c>
      <c r="F1927">
        <v>6</v>
      </c>
      <c r="G1927">
        <v>2265</v>
      </c>
      <c r="H1927" t="str">
        <f>TEXT(TbDespesas[[#This Row],[data_transacao]], "aaaa-mm")</f>
        <v>2026-08</v>
      </c>
    </row>
    <row r="1928" spans="1:8">
      <c r="A1928">
        <v>1927</v>
      </c>
      <c r="B1928" s="1">
        <v>46235</v>
      </c>
      <c r="C1928" t="s">
        <v>674</v>
      </c>
      <c r="D1928" t="s">
        <v>456</v>
      </c>
      <c r="E1928">
        <v>249</v>
      </c>
      <c r="F1928">
        <v>7</v>
      </c>
      <c r="G1928">
        <v>1834</v>
      </c>
      <c r="H1928" t="str">
        <f>TEXT(TbDespesas[[#This Row],[data_transacao]], "aaaa-mm")</f>
        <v>2026-08</v>
      </c>
    </row>
    <row r="1929" spans="1:8">
      <c r="A1929">
        <v>1928</v>
      </c>
      <c r="B1929" s="1">
        <v>46235</v>
      </c>
      <c r="C1929" t="s">
        <v>674</v>
      </c>
      <c r="D1929" t="s">
        <v>211</v>
      </c>
      <c r="E1929">
        <v>45</v>
      </c>
      <c r="F1929">
        <v>65</v>
      </c>
      <c r="G1929">
        <v>2928</v>
      </c>
      <c r="H1929" t="str">
        <f>TEXT(TbDespesas[[#This Row],[data_transacao]], "aaaa-mm")</f>
        <v>2026-08</v>
      </c>
    </row>
    <row r="1930" spans="1:8">
      <c r="A1930">
        <v>1929</v>
      </c>
      <c r="B1930" s="1">
        <v>46235</v>
      </c>
      <c r="C1930" t="s">
        <v>674</v>
      </c>
      <c r="D1930" t="s">
        <v>302</v>
      </c>
      <c r="E1930">
        <v>397</v>
      </c>
      <c r="F1930">
        <v>5</v>
      </c>
      <c r="G1930">
        <v>2322</v>
      </c>
      <c r="H1930" t="str">
        <f>TEXT(TbDespesas[[#This Row],[data_transacao]], "aaaa-mm")</f>
        <v>2026-08</v>
      </c>
    </row>
    <row r="1931" spans="1:8">
      <c r="A1931">
        <v>1930</v>
      </c>
      <c r="B1931" s="1">
        <v>46235</v>
      </c>
      <c r="C1931" t="s">
        <v>674</v>
      </c>
      <c r="D1931" t="s">
        <v>568</v>
      </c>
      <c r="E1931">
        <v>61</v>
      </c>
      <c r="F1931">
        <v>53</v>
      </c>
      <c r="G1931">
        <v>3252</v>
      </c>
      <c r="H1931" t="str">
        <f>TEXT(TbDespesas[[#This Row],[data_transacao]], "aaaa-mm")</f>
        <v>2026-08</v>
      </c>
    </row>
    <row r="1932" spans="1:8">
      <c r="A1932">
        <v>1931</v>
      </c>
      <c r="B1932" s="1">
        <v>46235</v>
      </c>
      <c r="C1932" t="s">
        <v>674</v>
      </c>
      <c r="D1932" t="s">
        <v>58</v>
      </c>
      <c r="E1932">
        <v>367</v>
      </c>
      <c r="F1932">
        <v>2</v>
      </c>
      <c r="G1932">
        <v>1096</v>
      </c>
      <c r="H1932" t="str">
        <f>TEXT(TbDespesas[[#This Row],[data_transacao]], "aaaa-mm")</f>
        <v>2026-08</v>
      </c>
    </row>
    <row r="1933" spans="1:8">
      <c r="A1933">
        <v>1932</v>
      </c>
      <c r="B1933" s="1">
        <v>46235</v>
      </c>
      <c r="C1933" t="s">
        <v>674</v>
      </c>
      <c r="D1933" t="s">
        <v>119</v>
      </c>
      <c r="E1933">
        <v>81</v>
      </c>
      <c r="F1933">
        <v>42</v>
      </c>
      <c r="G1933">
        <v>3467</v>
      </c>
      <c r="H1933" t="str">
        <f>TEXT(TbDespesas[[#This Row],[data_transacao]], "aaaa-mm")</f>
        <v>2026-08</v>
      </c>
    </row>
    <row r="1934" spans="1:8">
      <c r="A1934">
        <v>1933</v>
      </c>
      <c r="B1934" s="1">
        <v>46235</v>
      </c>
      <c r="C1934" t="s">
        <v>674</v>
      </c>
      <c r="D1934" t="s">
        <v>371</v>
      </c>
      <c r="E1934">
        <v>261</v>
      </c>
      <c r="F1934">
        <v>6</v>
      </c>
      <c r="G1934">
        <v>1690</v>
      </c>
      <c r="H1934" t="str">
        <f>TEXT(TbDespesas[[#This Row],[data_transacao]], "aaaa-mm")</f>
        <v>2026-08</v>
      </c>
    </row>
    <row r="1935" spans="1:8">
      <c r="A1935">
        <v>1934</v>
      </c>
      <c r="B1935" s="1">
        <v>46224</v>
      </c>
      <c r="C1935" t="s">
        <v>633</v>
      </c>
      <c r="D1935" t="s">
        <v>420</v>
      </c>
      <c r="E1935">
        <v>24</v>
      </c>
      <c r="F1935">
        <v>120</v>
      </c>
      <c r="G1935">
        <v>2895</v>
      </c>
      <c r="H1935" t="str">
        <f>TEXT(TbDespesas[[#This Row],[data_transacao]], "aaaa-mm")</f>
        <v>2026-07</v>
      </c>
    </row>
    <row r="1936" spans="1:8">
      <c r="A1936">
        <v>1935</v>
      </c>
      <c r="B1936" s="1">
        <v>46224</v>
      </c>
      <c r="C1936" t="s">
        <v>633</v>
      </c>
      <c r="D1936" t="s">
        <v>50</v>
      </c>
      <c r="E1936">
        <v>352</v>
      </c>
      <c r="F1936">
        <v>6</v>
      </c>
      <c r="G1936">
        <v>2357</v>
      </c>
      <c r="H1936" t="str">
        <f>TEXT(TbDespesas[[#This Row],[data_transacao]], "aaaa-mm")</f>
        <v>2026-07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623F7-D65D-457B-B589-A9CCA0C6DFDB}">
  <dimension ref="A1:E26"/>
  <sheetViews>
    <sheetView workbookViewId="0">
      <selection activeCell="I19" sqref="I19"/>
    </sheetView>
  </sheetViews>
  <sheetFormatPr defaultRowHeight="14.6"/>
  <cols>
    <col min="2" max="2" width="14" bestFit="1" customWidth="1"/>
    <col min="3" max="3" width="12.3828125" bestFit="1" customWidth="1"/>
    <col min="4" max="4" width="14" bestFit="1" customWidth="1"/>
    <col min="5" max="5" width="12.3828125" customWidth="1"/>
  </cols>
  <sheetData>
    <row r="1" spans="1:5">
      <c r="A1" s="2" t="s">
        <v>1836</v>
      </c>
      <c r="B1" s="2" t="s">
        <v>1835</v>
      </c>
      <c r="C1" s="2" t="s">
        <v>1837</v>
      </c>
      <c r="D1" s="2" t="s">
        <v>1831</v>
      </c>
      <c r="E1" s="2" t="s">
        <v>1845</v>
      </c>
    </row>
    <row r="2" spans="1:5">
      <c r="A2" t="str" cm="1">
        <f t="array" ref="A2:A26">_xlfn.UNIQUE(_xlfn._xlws.SORT(_xlfn.VSTACK(TbReceitas[mes_ano], TbDespesas[mes_ano])))</f>
        <v>2024-09</v>
      </c>
      <c r="B2" s="3" cm="1">
        <f t="array" ref="B2:B26">SUMIFS(TbReceitas[valor_total_receita], TbReceitas[mes_ano],_xlfn.ANCHORARRAY( A2))</f>
        <v>2906675</v>
      </c>
      <c r="C2" s="3" cm="1">
        <f t="array" ref="C2:C26">SUMIFS(TbDespesas[valor_total_despesa], TbDespesas[mes_ano],_xlfn.ANCHORARRAY( A2))</f>
        <v>0</v>
      </c>
      <c r="D2" s="3" cm="1">
        <f t="array" ref="D2:D26">_xlfn.ANCHORARRAY(B2) -_xlfn.ANCHORARRAY( C2)</f>
        <v>2906675</v>
      </c>
      <c r="E2" cm="1">
        <f t="array" ref="E2:E26">IF(DashBoard!$R$22="Volume", SUMIFS(TbReceitas[quantidade], TbReceitas[mes_ano],_xlfn.ANCHORARRAY( A2)), SUMIFS(TbReceitas[valor_total_receita], TbReceitas[mes_ano],_xlfn.ANCHORARRAY( A2)) / COUNTIF(TbReceitas[mes_ano],_xlfn.ANCHORARRAY( A2)))</f>
        <v>245</v>
      </c>
    </row>
    <row r="3" spans="1:5">
      <c r="A3" t="str">
        <v>2024-10</v>
      </c>
      <c r="B3" s="3">
        <v>4576658</v>
      </c>
      <c r="C3" s="3">
        <v>0</v>
      </c>
      <c r="D3" s="3">
        <v>4576658</v>
      </c>
      <c r="E3">
        <v>423</v>
      </c>
    </row>
    <row r="4" spans="1:5">
      <c r="A4" t="str">
        <v>2024-11</v>
      </c>
      <c r="B4" s="3">
        <v>4290587</v>
      </c>
      <c r="C4" s="3">
        <v>0</v>
      </c>
      <c r="D4" s="3">
        <v>4290587</v>
      </c>
      <c r="E4">
        <v>393</v>
      </c>
    </row>
    <row r="5" spans="1:5">
      <c r="A5" t="str">
        <v>2024-12</v>
      </c>
      <c r="B5" s="3">
        <v>5430932</v>
      </c>
      <c r="C5" s="3">
        <v>0</v>
      </c>
      <c r="D5" s="3">
        <v>5430932</v>
      </c>
      <c r="E5">
        <v>454</v>
      </c>
    </row>
    <row r="6" spans="1:5">
      <c r="A6" t="str">
        <v>2025-01</v>
      </c>
      <c r="B6" s="3">
        <v>4154325</v>
      </c>
      <c r="C6" s="3">
        <v>0</v>
      </c>
      <c r="D6" s="3">
        <v>4154325</v>
      </c>
      <c r="E6">
        <v>381</v>
      </c>
    </row>
    <row r="7" spans="1:5">
      <c r="A7" t="str">
        <v>2025-02</v>
      </c>
      <c r="B7" s="3">
        <v>3652181</v>
      </c>
      <c r="C7" s="3">
        <v>0</v>
      </c>
      <c r="D7" s="3">
        <v>3652181</v>
      </c>
      <c r="E7">
        <v>314</v>
      </c>
    </row>
    <row r="8" spans="1:5">
      <c r="A8" t="str">
        <v>2025-03</v>
      </c>
      <c r="B8" s="3">
        <v>4037482</v>
      </c>
      <c r="C8" s="3">
        <v>0</v>
      </c>
      <c r="D8" s="3">
        <v>4037482</v>
      </c>
      <c r="E8">
        <v>352</v>
      </c>
    </row>
    <row r="9" spans="1:5">
      <c r="A9" t="str">
        <v>2025-04</v>
      </c>
      <c r="B9" s="3">
        <v>3257222</v>
      </c>
      <c r="C9" s="3">
        <v>0</v>
      </c>
      <c r="D9" s="3">
        <v>3257222</v>
      </c>
      <c r="E9">
        <v>321</v>
      </c>
    </row>
    <row r="10" spans="1:5">
      <c r="A10" t="str">
        <v>2025-05</v>
      </c>
      <c r="B10" s="3">
        <v>4215011</v>
      </c>
      <c r="C10" s="3">
        <v>0</v>
      </c>
      <c r="D10" s="3">
        <v>4215011</v>
      </c>
      <c r="E10">
        <v>366</v>
      </c>
    </row>
    <row r="11" spans="1:5">
      <c r="A11" t="str">
        <v>2025-06</v>
      </c>
      <c r="B11" s="3">
        <v>3800465</v>
      </c>
      <c r="C11" s="3">
        <v>0</v>
      </c>
      <c r="D11" s="3">
        <v>3800465</v>
      </c>
      <c r="E11">
        <v>337</v>
      </c>
    </row>
    <row r="12" spans="1:5">
      <c r="A12" t="str">
        <v>2025-07</v>
      </c>
      <c r="B12" s="3">
        <v>3721447</v>
      </c>
      <c r="C12" s="3">
        <v>0</v>
      </c>
      <c r="D12" s="3">
        <v>3721447</v>
      </c>
      <c r="E12">
        <v>305</v>
      </c>
    </row>
    <row r="13" spans="1:5">
      <c r="A13" t="str">
        <v>2025-08</v>
      </c>
      <c r="B13" s="3">
        <v>4459814</v>
      </c>
      <c r="C13" s="3">
        <v>0</v>
      </c>
      <c r="D13" s="3">
        <v>4459814</v>
      </c>
      <c r="E13">
        <v>386</v>
      </c>
    </row>
    <row r="14" spans="1:5">
      <c r="A14" t="str">
        <v>2025-09</v>
      </c>
      <c r="B14" s="3">
        <v>5251479</v>
      </c>
      <c r="C14" s="3">
        <v>155787</v>
      </c>
      <c r="D14" s="3">
        <v>5095692</v>
      </c>
      <c r="E14">
        <v>429</v>
      </c>
    </row>
    <row r="15" spans="1:5">
      <c r="A15" t="str">
        <v>2025-10</v>
      </c>
      <c r="B15" s="3">
        <v>4202736</v>
      </c>
      <c r="C15" s="3">
        <v>325165</v>
      </c>
      <c r="D15" s="3">
        <v>3877571</v>
      </c>
      <c r="E15">
        <v>384</v>
      </c>
    </row>
    <row r="16" spans="1:5">
      <c r="A16" t="str">
        <v>2025-11</v>
      </c>
      <c r="B16" s="3">
        <v>3826089</v>
      </c>
      <c r="C16" s="3">
        <v>261753</v>
      </c>
      <c r="D16" s="3">
        <v>3564336</v>
      </c>
      <c r="E16">
        <v>348</v>
      </c>
    </row>
    <row r="17" spans="1:5">
      <c r="A17" t="str">
        <v>2025-12</v>
      </c>
      <c r="B17" s="3">
        <v>3874794</v>
      </c>
      <c r="C17" s="3">
        <v>283837</v>
      </c>
      <c r="D17" s="3">
        <v>3590957</v>
      </c>
      <c r="E17">
        <v>376</v>
      </c>
    </row>
    <row r="18" spans="1:5">
      <c r="A18" t="str">
        <v>2026-01</v>
      </c>
      <c r="B18" s="3">
        <v>3729753</v>
      </c>
      <c r="C18" s="3">
        <v>446114</v>
      </c>
      <c r="D18" s="3">
        <v>3283639</v>
      </c>
      <c r="E18">
        <v>331</v>
      </c>
    </row>
    <row r="19" spans="1:5">
      <c r="A19" t="str">
        <v>2026-02</v>
      </c>
      <c r="B19" s="3">
        <v>4684966</v>
      </c>
      <c r="C19" s="3">
        <v>353402</v>
      </c>
      <c r="D19" s="3">
        <v>4331564</v>
      </c>
      <c r="E19">
        <v>409</v>
      </c>
    </row>
    <row r="20" spans="1:5">
      <c r="A20" t="str">
        <v>2026-03</v>
      </c>
      <c r="B20" s="3">
        <v>4603525</v>
      </c>
      <c r="C20" s="3">
        <v>316187</v>
      </c>
      <c r="D20" s="3">
        <v>4287338</v>
      </c>
      <c r="E20">
        <v>398</v>
      </c>
    </row>
    <row r="21" spans="1:5">
      <c r="A21" t="str">
        <v>2026-04</v>
      </c>
      <c r="B21" s="3">
        <v>3972483</v>
      </c>
      <c r="C21" s="3">
        <v>373812</v>
      </c>
      <c r="D21" s="3">
        <v>3598671</v>
      </c>
      <c r="E21">
        <v>352</v>
      </c>
    </row>
    <row r="22" spans="1:5">
      <c r="A22" t="str">
        <v>2026-05</v>
      </c>
      <c r="B22" s="3">
        <v>4126103</v>
      </c>
      <c r="C22" s="3">
        <v>283083</v>
      </c>
      <c r="D22" s="3">
        <v>3843020</v>
      </c>
      <c r="E22">
        <v>378</v>
      </c>
    </row>
    <row r="23" spans="1:5">
      <c r="A23" t="str">
        <v>2026-06</v>
      </c>
      <c r="B23" s="3">
        <v>3743148</v>
      </c>
      <c r="C23" s="3">
        <v>292548</v>
      </c>
      <c r="D23" s="3">
        <v>3450600</v>
      </c>
      <c r="E23">
        <v>356</v>
      </c>
    </row>
    <row r="24" spans="1:5">
      <c r="A24" t="str">
        <v>2026-07</v>
      </c>
      <c r="B24" s="3">
        <v>4574102</v>
      </c>
      <c r="C24" s="3">
        <v>281730</v>
      </c>
      <c r="D24" s="3">
        <v>4292372</v>
      </c>
      <c r="E24">
        <v>386</v>
      </c>
    </row>
    <row r="25" spans="1:5">
      <c r="A25" t="str">
        <v>2026-08</v>
      </c>
      <c r="B25" s="3">
        <v>3590351</v>
      </c>
      <c r="C25" s="3">
        <v>319257</v>
      </c>
      <c r="D25" s="3">
        <v>3271094</v>
      </c>
      <c r="E25">
        <v>388</v>
      </c>
    </row>
    <row r="26" spans="1:5">
      <c r="A26" t="str">
        <v>2026-09</v>
      </c>
      <c r="B26" s="3">
        <v>2103639</v>
      </c>
      <c r="C26" s="3">
        <v>140846</v>
      </c>
      <c r="D26" s="3">
        <v>1962793</v>
      </c>
      <c r="E26">
        <v>180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30BB0-EC6D-413F-842D-E435074A5350}">
  <dimension ref="A1:H601"/>
  <sheetViews>
    <sheetView workbookViewId="0">
      <selection activeCell="D4" sqref="D4"/>
    </sheetView>
  </sheetViews>
  <sheetFormatPr defaultRowHeight="14.6"/>
  <cols>
    <col min="1" max="1" width="56.4609375" bestFit="1" customWidth="1"/>
    <col min="2" max="2" width="12.07421875" bestFit="1" customWidth="1"/>
    <col min="6" max="6" width="18.15234375" customWidth="1"/>
    <col min="8" max="8" width="15.15234375" customWidth="1"/>
  </cols>
  <sheetData>
    <row r="1" spans="1:8">
      <c r="A1" s="2" t="s">
        <v>1829</v>
      </c>
      <c r="B1" s="2" t="s">
        <v>1830</v>
      </c>
      <c r="C1" s="2" t="s">
        <v>1831</v>
      </c>
    </row>
    <row r="2" spans="1:8">
      <c r="A2" t="str" cm="1">
        <f t="array" ref="A2:A601">_xlfn.UNIQUE(_xlfn.VSTACK(TbReceitas[nomeproduto], TbDespesas[nomeproduto]))</f>
        <v>Vacina contra Bipolaridade - Dose Única</v>
      </c>
      <c r="B2" cm="1">
        <f t="array" ref="B2:B601">SUMIFS(TbReceitas[valor_total_receita], TbReceitas[nomeproduto],_xlfn.ANCHORARRAY( A2))</f>
        <v>189870</v>
      </c>
      <c r="C2" cm="1">
        <f t="array" ref="C2:C601">_xlfn.ANCHORARRAY(B2) - SUMIFS(TbDespesas[valor_total_despesa], TbDespesas[nomeproduto],_xlfn.ANCHORARRAY( A2))</f>
        <v>185117</v>
      </c>
      <c r="F2" t="str" cm="1">
        <f t="array" ref="F2:H9">_xlfn.TAKE(_xlfn._xlws.SORT(_xlfn.HSTACK(_xlfn.ANCHORARRAY(A2),_xlfn.ANCHORARRAY( B2),_xlfn.ANCHORARRAY( C2)), 2, -1), DashBoard!$A$7)</f>
        <v>Absorvente com Abas Johnson's 150ml</v>
      </c>
      <c r="G2">
        <v>970281</v>
      </c>
      <c r="H2">
        <v>960832</v>
      </c>
    </row>
    <row r="3" spans="1:8">
      <c r="A3" t="str">
        <v>Sertralina 1g - 10 Comprimidos - Bayer</v>
      </c>
      <c r="B3">
        <v>168597</v>
      </c>
      <c r="C3">
        <v>166190</v>
      </c>
      <c r="F3" t="str">
        <v>Amoxicilina 25mg - 30 Comprimidos - Eurofarma</v>
      </c>
      <c r="G3">
        <v>741458</v>
      </c>
      <c r="H3">
        <v>728848</v>
      </c>
    </row>
    <row r="4" spans="1:8">
      <c r="A4" t="str">
        <v>Vacina contra Lúpus - Dose Única</v>
      </c>
      <c r="B4">
        <v>165615</v>
      </c>
      <c r="C4">
        <v>147522</v>
      </c>
      <c r="F4" t="str">
        <v>Escitalopram Suspensão Oral 50ml - Eurofarma</v>
      </c>
      <c r="G4">
        <v>665896</v>
      </c>
      <c r="H4">
        <v>655531</v>
      </c>
    </row>
    <row r="5" spans="1:8">
      <c r="A5" t="str">
        <v>Tadalafila Gotas 20ml - EMS (Genérico)</v>
      </c>
      <c r="B5">
        <v>172635</v>
      </c>
      <c r="C5">
        <v>167401</v>
      </c>
      <c r="F5" t="str">
        <v>Paracetamol 500mg - 20 Comprimidos - Medley (Genérico)</v>
      </c>
      <c r="G5">
        <v>647187</v>
      </c>
      <c r="H5">
        <v>644044</v>
      </c>
    </row>
    <row r="6" spans="1:8">
      <c r="A6" t="str">
        <v>Escitalopram Xarope 120ml - EMS (Genérico)</v>
      </c>
      <c r="B6">
        <v>372832</v>
      </c>
      <c r="C6">
        <v>364651</v>
      </c>
      <c r="F6" t="str">
        <v>Paracetamol Xarope 120ml - EMS (Genérico)</v>
      </c>
      <c r="G6">
        <v>613904</v>
      </c>
      <c r="H6">
        <v>610157</v>
      </c>
    </row>
    <row r="7" spans="1:8">
      <c r="A7" t="str">
        <v>Sabonete em Barra Pampers 90g</v>
      </c>
      <c r="B7">
        <v>68822</v>
      </c>
      <c r="C7">
        <v>51266</v>
      </c>
      <c r="F7" t="str">
        <v>Ibuprofeno 50mg - 30 Comprimidos - Medley (Genérico)</v>
      </c>
      <c r="G7">
        <v>608675</v>
      </c>
      <c r="H7">
        <v>605904</v>
      </c>
    </row>
    <row r="8" spans="1:8">
      <c r="A8" t="str">
        <v>Vacina contra Otite - Dose Única</v>
      </c>
      <c r="B8">
        <v>54012</v>
      </c>
      <c r="C8">
        <v>52943</v>
      </c>
      <c r="F8" t="str">
        <v>Creme Dental Nivea Tamanho G (32 un)</v>
      </c>
      <c r="G8">
        <v>577071</v>
      </c>
      <c r="H8">
        <v>566230</v>
      </c>
    </row>
    <row r="9" spans="1:8">
      <c r="A9" t="str">
        <v>Hidroclorotiazida Xarope 120ml - Medley (Genérico)</v>
      </c>
      <c r="B9">
        <v>139140</v>
      </c>
      <c r="C9">
        <v>137115</v>
      </c>
      <c r="F9" t="str">
        <v>Azitromicina Pomada 30g - Medley (Genérico)</v>
      </c>
      <c r="G9">
        <v>572049</v>
      </c>
      <c r="H9">
        <v>559412</v>
      </c>
    </row>
    <row r="10" spans="1:8">
      <c r="A10" t="str">
        <v>Absorvente com Abas Johnson's 150ml</v>
      </c>
      <c r="B10">
        <v>970281</v>
      </c>
      <c r="C10">
        <v>960832</v>
      </c>
    </row>
    <row r="11" spans="1:8">
      <c r="A11" t="str">
        <v>Creme Hidratante CeraVe 500ml</v>
      </c>
      <c r="B11">
        <v>80475</v>
      </c>
      <c r="C11">
        <v>63055</v>
      </c>
    </row>
    <row r="12" spans="1:8">
      <c r="A12" t="str">
        <v>Atenolol 1g - 10 Comprimidos - Aché</v>
      </c>
      <c r="B12">
        <v>208304</v>
      </c>
      <c r="C12">
        <v>196562</v>
      </c>
    </row>
    <row r="13" spans="1:8">
      <c r="A13" t="str">
        <v>Soro Fisiológico CeraVe FPS 50</v>
      </c>
      <c r="B13">
        <v>80052</v>
      </c>
      <c r="C13">
        <v>73840</v>
      </c>
    </row>
    <row r="14" spans="1:8">
      <c r="A14" t="str">
        <v>Atenolol 1g - 10 Comprimidos - Medley (Genérico)</v>
      </c>
      <c r="B14">
        <v>349995</v>
      </c>
      <c r="C14">
        <v>340194</v>
      </c>
      <c r="F14" s="2" t="s">
        <v>1832</v>
      </c>
      <c r="H14" s="2" t="s">
        <v>1833</v>
      </c>
    </row>
    <row r="15" spans="1:8">
      <c r="A15" t="str">
        <v>Desodorante Roll-on Aptamil 50g</v>
      </c>
      <c r="B15">
        <v>26850</v>
      </c>
      <c r="C15">
        <v>20108</v>
      </c>
      <c r="F15">
        <v>1</v>
      </c>
      <c r="H15" t="str">
        <f>"Lucro dos Top " &amp; DashBoard!A7 &amp; " Produtos"</f>
        <v>Lucro dos Top 8 Produtos</v>
      </c>
    </row>
    <row r="16" spans="1:8">
      <c r="A16" t="str">
        <v>Sabonete em Barra Nivea Tamanho M (40 un)</v>
      </c>
      <c r="B16">
        <v>28709</v>
      </c>
      <c r="C16">
        <v>28709</v>
      </c>
      <c r="F16">
        <v>2</v>
      </c>
    </row>
    <row r="17" spans="1:6">
      <c r="A17" t="str">
        <v>Azitromicina 1g - 10 Comprimidos - EMS (Genérico)</v>
      </c>
      <c r="B17">
        <v>216564</v>
      </c>
      <c r="C17">
        <v>210460</v>
      </c>
      <c r="F17">
        <v>3</v>
      </c>
    </row>
    <row r="18" spans="1:6">
      <c r="A18" t="str">
        <v>Loratadina Gotas 20ml - Medley (Genérico)</v>
      </c>
      <c r="B18">
        <v>224128</v>
      </c>
      <c r="C18">
        <v>219959</v>
      </c>
      <c r="F18">
        <v>4</v>
      </c>
    </row>
    <row r="19" spans="1:6">
      <c r="A19" t="str">
        <v>Amoxicilina 50mg - 30 Comprimidos - EMS (Genérico)</v>
      </c>
      <c r="B19">
        <v>419727</v>
      </c>
      <c r="C19">
        <v>405882</v>
      </c>
      <c r="F19">
        <v>5</v>
      </c>
    </row>
    <row r="20" spans="1:6">
      <c r="A20" t="str">
        <v>Cefalexina 500mg - 20 Comprimidos - Medley (Genérico)</v>
      </c>
      <c r="B20">
        <v>223150</v>
      </c>
      <c r="C20">
        <v>215756</v>
      </c>
      <c r="F20">
        <v>6</v>
      </c>
    </row>
    <row r="21" spans="1:6">
      <c r="A21" t="str">
        <v>Absorvente com Abas Nivea 200ml</v>
      </c>
      <c r="B21">
        <v>444300</v>
      </c>
      <c r="C21">
        <v>442493</v>
      </c>
      <c r="F21">
        <v>7</v>
      </c>
    </row>
    <row r="22" spans="1:6">
      <c r="A22" t="str">
        <v>Ibuprofeno 50mg - 30 Comprimidos - Medley (Genérico)</v>
      </c>
      <c r="B22">
        <v>608675</v>
      </c>
      <c r="C22">
        <v>605904</v>
      </c>
      <c r="F22">
        <v>8</v>
      </c>
    </row>
    <row r="23" spans="1:6">
      <c r="A23" t="str">
        <v>Enxaguante Bucal Pampers 500ml</v>
      </c>
      <c r="B23">
        <v>483900</v>
      </c>
      <c r="C23">
        <v>480434</v>
      </c>
      <c r="F23">
        <v>9</v>
      </c>
    </row>
    <row r="24" spans="1:6">
      <c r="A24" t="str">
        <v>Shampoo Anticaspa Mió 90g</v>
      </c>
      <c r="B24">
        <v>98923</v>
      </c>
      <c r="C24">
        <v>92212</v>
      </c>
      <c r="F24">
        <v>10</v>
      </c>
    </row>
    <row r="25" spans="1:6">
      <c r="A25" t="str">
        <v>Sildenafila 50mg - 30 Comprimidos - Medley (Genérico)</v>
      </c>
      <c r="B25">
        <v>80104</v>
      </c>
      <c r="C25">
        <v>70299</v>
      </c>
    </row>
    <row r="26" spans="1:6">
      <c r="A26" t="str">
        <v>Ibuprofeno Xarope 120ml - Eurofarma</v>
      </c>
      <c r="B26">
        <v>28980</v>
      </c>
      <c r="C26">
        <v>18489</v>
      </c>
    </row>
    <row r="27" spans="1:6">
      <c r="A27" t="str">
        <v>Ibuprofeno 50mg - 30 Comprimidos - Bayer</v>
      </c>
      <c r="B27">
        <v>237330</v>
      </c>
      <c r="C27">
        <v>229870</v>
      </c>
    </row>
    <row r="28" spans="1:6">
      <c r="A28" t="str">
        <v>Vacina contra Artrite - Dose Única</v>
      </c>
      <c r="B28">
        <v>47166</v>
      </c>
      <c r="C28">
        <v>40021</v>
      </c>
    </row>
    <row r="29" spans="1:6">
      <c r="A29" t="str">
        <v>Soro Fisiológico Sempre Livre 400ml</v>
      </c>
      <c r="B29">
        <v>109170</v>
      </c>
      <c r="C29">
        <v>102710</v>
      </c>
    </row>
    <row r="30" spans="1:6">
      <c r="A30" t="str">
        <v>Vacina contra Úlcera - Reforço</v>
      </c>
      <c r="B30">
        <v>217992</v>
      </c>
      <c r="C30">
        <v>211773</v>
      </c>
    </row>
    <row r="31" spans="1:6">
      <c r="A31" t="str">
        <v>Água Micelar Colgate 200ml</v>
      </c>
      <c r="B31">
        <v>33840</v>
      </c>
      <c r="C31">
        <v>28282</v>
      </c>
    </row>
    <row r="32" spans="1:6">
      <c r="A32" t="str">
        <v>Vacina contra Depressão - Dose Única</v>
      </c>
      <c r="B32">
        <v>461956</v>
      </c>
      <c r="C32">
        <v>451064</v>
      </c>
    </row>
    <row r="33" spans="1:3">
      <c r="A33" t="str">
        <v>Paracetamol 500mg - 20 Comprimidos - Bayer</v>
      </c>
      <c r="B33">
        <v>43434</v>
      </c>
      <c r="C33">
        <v>33688</v>
      </c>
    </row>
    <row r="34" spans="1:3">
      <c r="A34" t="str">
        <v>Termômetro Digital CeraVe 50 Metros</v>
      </c>
      <c r="B34">
        <v>34470</v>
      </c>
      <c r="C34">
        <v>28621</v>
      </c>
    </row>
    <row r="35" spans="1:3">
      <c r="A35" t="str">
        <v>Paracetamol Suspensão Oral 50ml - Medley (Genérico)</v>
      </c>
      <c r="B35">
        <v>358830</v>
      </c>
      <c r="C35">
        <v>351133</v>
      </c>
    </row>
    <row r="36" spans="1:3">
      <c r="A36" t="str">
        <v>Soro Fisiológico Clear 50 Metros</v>
      </c>
      <c r="B36">
        <v>48774</v>
      </c>
      <c r="C36">
        <v>40173</v>
      </c>
    </row>
    <row r="37" spans="1:3">
      <c r="A37" t="str">
        <v>Pantoprazol Gotas 20ml - Medley (Genérico)</v>
      </c>
      <c r="B37">
        <v>275471</v>
      </c>
      <c r="C37">
        <v>270115</v>
      </c>
    </row>
    <row r="38" spans="1:3">
      <c r="A38" t="str">
        <v>Escitalopram 25mg - 30 Comprimidos - Medley (Genérico)</v>
      </c>
      <c r="B38">
        <v>164889</v>
      </c>
      <c r="C38">
        <v>160086</v>
      </c>
    </row>
    <row r="39" spans="1:3">
      <c r="A39" t="str">
        <v>Atenolol Suspensão Oral 50ml - Neo Química (Genérico)</v>
      </c>
      <c r="B39">
        <v>2546</v>
      </c>
      <c r="C39">
        <v>-3227</v>
      </c>
    </row>
    <row r="40" spans="1:3">
      <c r="A40" t="str">
        <v>Protetor Solar Facial Rexona 50g</v>
      </c>
      <c r="B40">
        <v>8136</v>
      </c>
      <c r="C40">
        <v>-4079</v>
      </c>
    </row>
    <row r="41" spans="1:3">
      <c r="A41" t="str">
        <v>Lenço Umedecido Clear FPS 70</v>
      </c>
      <c r="B41">
        <v>4513</v>
      </c>
      <c r="C41">
        <v>632</v>
      </c>
    </row>
    <row r="42" spans="1:3">
      <c r="A42" t="str">
        <v>Sabonete em Barra Clear Tamanho M (40 un)</v>
      </c>
      <c r="B42">
        <v>23573</v>
      </c>
      <c r="C42">
        <v>12726</v>
      </c>
    </row>
    <row r="43" spans="1:3">
      <c r="A43" t="str">
        <v>Pomada para Assaduras Dove FPS 70</v>
      </c>
      <c r="B43">
        <v>41607</v>
      </c>
      <c r="C43">
        <v>32877</v>
      </c>
    </row>
    <row r="44" spans="1:3">
      <c r="A44" t="str">
        <v>Loratadina 25mg - 30 Comprimidos - Bayer</v>
      </c>
      <c r="B44">
        <v>493128</v>
      </c>
      <c r="C44">
        <v>483343</v>
      </c>
    </row>
    <row r="45" spans="1:3">
      <c r="A45" t="str">
        <v>Nimesulida 50mg - 30 Comprimidos - EMS (Genérico)</v>
      </c>
      <c r="B45">
        <v>70618</v>
      </c>
      <c r="C45">
        <v>62939</v>
      </c>
    </row>
    <row r="46" spans="1:3">
      <c r="A46" t="str">
        <v>Água Micelar Vichy 500ml</v>
      </c>
      <c r="B46">
        <v>207900</v>
      </c>
      <c r="C46">
        <v>204184</v>
      </c>
    </row>
    <row r="47" spans="1:3">
      <c r="A47" t="str">
        <v>Cefalexina 50mg - 30 Comprimidos - Neo Química (Genérico)</v>
      </c>
      <c r="B47">
        <v>44196</v>
      </c>
      <c r="C47">
        <v>33688</v>
      </c>
    </row>
    <row r="48" spans="1:3">
      <c r="A48" t="str">
        <v>Hidroclorotiazida 1g - 10 Comprimidos - Eurofarma</v>
      </c>
      <c r="B48">
        <v>101556</v>
      </c>
      <c r="C48">
        <v>99567</v>
      </c>
    </row>
    <row r="49" spans="1:3">
      <c r="A49" t="str">
        <v>Shampoo Anticaspa Huggies FPS 70</v>
      </c>
      <c r="B49">
        <v>353188</v>
      </c>
      <c r="C49">
        <v>348513</v>
      </c>
    </row>
    <row r="50" spans="1:3">
      <c r="A50" t="str">
        <v>Paracetamol Xarope 120ml - EMS (Genérico)</v>
      </c>
      <c r="B50">
        <v>613904</v>
      </c>
      <c r="C50">
        <v>610157</v>
      </c>
    </row>
    <row r="51" spans="1:3">
      <c r="A51" t="str">
        <v>Diclofenaco Suspensão Oral 50ml - Medley (Genérico)</v>
      </c>
      <c r="B51">
        <v>277470</v>
      </c>
      <c r="C51">
        <v>271622</v>
      </c>
    </row>
    <row r="52" spans="1:3">
      <c r="A52" t="str">
        <v>Vacina contra Insuficiência Renal - Reforço</v>
      </c>
      <c r="B52">
        <v>2945</v>
      </c>
      <c r="C52">
        <v>-2201</v>
      </c>
    </row>
    <row r="53" spans="1:3">
      <c r="A53" t="str">
        <v>Amoxicilina 25mg - 30 Comprimidos - Eurofarma</v>
      </c>
      <c r="B53">
        <v>741458</v>
      </c>
      <c r="C53">
        <v>728848</v>
      </c>
    </row>
    <row r="54" spans="1:3">
      <c r="A54" t="str">
        <v>Fralda Descartável Needs 500ml</v>
      </c>
      <c r="B54">
        <v>27888</v>
      </c>
      <c r="C54">
        <v>24603</v>
      </c>
    </row>
    <row r="55" spans="1:3">
      <c r="A55" t="str">
        <v>Sildenafila Pomada 30g - Neo Química (Genérico)</v>
      </c>
      <c r="B55">
        <v>268853</v>
      </c>
      <c r="C55">
        <v>264824</v>
      </c>
    </row>
    <row r="56" spans="1:3">
      <c r="A56" t="str">
        <v>Fluoxetina 1g - 10 Comprimidos - EMS (Genérico)</v>
      </c>
      <c r="B56">
        <v>484660</v>
      </c>
      <c r="C56">
        <v>481923</v>
      </c>
    </row>
    <row r="57" spans="1:3">
      <c r="A57" t="str">
        <v>Fluoxetina 500mg - 20 Comprimidos - Aché</v>
      </c>
      <c r="B57">
        <v>114252</v>
      </c>
      <c r="C57">
        <v>105479</v>
      </c>
    </row>
    <row r="58" spans="1:3">
      <c r="A58" t="str">
        <v>Escitalopram Suspensão Oral 50ml - Eurofarma</v>
      </c>
      <c r="B58">
        <v>665896</v>
      </c>
      <c r="C58">
        <v>655531</v>
      </c>
    </row>
    <row r="59" spans="1:3">
      <c r="A59" t="str">
        <v>Escitalopram 500mg - 20 Comprimidos - Eurofarma</v>
      </c>
      <c r="B59">
        <v>161790</v>
      </c>
      <c r="C59">
        <v>156159</v>
      </c>
    </row>
    <row r="60" spans="1:3">
      <c r="A60" t="str">
        <v>Fluoxetina Xarope 120ml - Medley (Genérico)</v>
      </c>
      <c r="B60">
        <v>135744</v>
      </c>
      <c r="C60">
        <v>125352</v>
      </c>
    </row>
    <row r="61" spans="1:3">
      <c r="A61" t="str">
        <v>Vacina contra Catarata - Dose Única</v>
      </c>
      <c r="B61">
        <v>342951</v>
      </c>
      <c r="C61">
        <v>340682</v>
      </c>
    </row>
    <row r="62" spans="1:3">
      <c r="A62" t="str">
        <v>Amoxicilina 25mg - 30 Comprimidos - Bayer</v>
      </c>
      <c r="B62">
        <v>180272</v>
      </c>
      <c r="C62">
        <v>168731</v>
      </c>
    </row>
    <row r="63" spans="1:3">
      <c r="A63" t="str">
        <v>Escitalopram Pomada 30g - Aché</v>
      </c>
      <c r="B63">
        <v>447606</v>
      </c>
      <c r="C63">
        <v>440584</v>
      </c>
    </row>
    <row r="64" spans="1:3">
      <c r="A64" t="str">
        <v>Desodorante Aerosol Listerine 90g</v>
      </c>
      <c r="B64">
        <v>39225</v>
      </c>
      <c r="C64">
        <v>29702</v>
      </c>
    </row>
    <row r="65" spans="1:3">
      <c r="A65" t="str">
        <v>Termômetro Digital G-Tech Tamanho M (40 un)</v>
      </c>
      <c r="B65">
        <v>70160</v>
      </c>
      <c r="C65">
        <v>68378</v>
      </c>
    </row>
    <row r="66" spans="1:3">
      <c r="A66" t="str">
        <v>Dipirona Sódica 50mg - 30 Comprimidos - Medley (Genérico)</v>
      </c>
      <c r="B66">
        <v>26818</v>
      </c>
      <c r="C66">
        <v>15757</v>
      </c>
    </row>
    <row r="67" spans="1:3">
      <c r="A67" t="str">
        <v>Termômetro Digital Vichy 50g</v>
      </c>
      <c r="B67">
        <v>193778</v>
      </c>
      <c r="C67">
        <v>192296</v>
      </c>
    </row>
    <row r="68" spans="1:3">
      <c r="A68" t="str">
        <v>Losartana Potássica 25mg - 30 Comprimidos - EMS (Genérico)</v>
      </c>
      <c r="B68">
        <v>43578</v>
      </c>
      <c r="C68">
        <v>41251</v>
      </c>
    </row>
    <row r="69" spans="1:3">
      <c r="A69" t="str">
        <v>Creme Dental Mió 150ml</v>
      </c>
      <c r="B69">
        <v>341301</v>
      </c>
      <c r="C69">
        <v>334846</v>
      </c>
    </row>
    <row r="70" spans="1:3">
      <c r="A70" t="str">
        <v>Metformina Gotas 20ml - Bayer</v>
      </c>
      <c r="B70">
        <v>2632</v>
      </c>
      <c r="C70">
        <v>-5166</v>
      </c>
    </row>
    <row r="71" spans="1:3">
      <c r="A71" t="str">
        <v>Vacina contra Alzheimer - Dose Única</v>
      </c>
      <c r="B71">
        <v>405678</v>
      </c>
      <c r="C71">
        <v>401940</v>
      </c>
    </row>
    <row r="72" spans="1:3">
      <c r="A72" t="str">
        <v>Paracetamol 1g - 10 Comprimidos - Bayer</v>
      </c>
      <c r="B72">
        <v>9240</v>
      </c>
      <c r="C72">
        <v>1324</v>
      </c>
    </row>
    <row r="73" spans="1:3">
      <c r="A73" t="str">
        <v>Sertralina Suspensão Oral 50ml - Neo Química (Genérico)</v>
      </c>
      <c r="B73">
        <v>417024</v>
      </c>
      <c r="C73">
        <v>409388</v>
      </c>
    </row>
    <row r="74" spans="1:3">
      <c r="A74" t="str">
        <v>Enalapril 25mg - 30 Comprimidos - Eurofarma</v>
      </c>
      <c r="B74">
        <v>91044</v>
      </c>
      <c r="C74">
        <v>87741</v>
      </c>
    </row>
    <row r="75" spans="1:3">
      <c r="A75" t="str">
        <v>Fluoxetina 500mg - 20 Comprimidos - Bayer</v>
      </c>
      <c r="B75">
        <v>2690</v>
      </c>
      <c r="C75">
        <v>-7546</v>
      </c>
    </row>
    <row r="76" spans="1:3">
      <c r="A76" t="str">
        <v>Losartana Potássica 1g - 10 Comprimidos - Bayer</v>
      </c>
      <c r="B76">
        <v>40200</v>
      </c>
      <c r="C76">
        <v>28479</v>
      </c>
    </row>
    <row r="77" spans="1:3">
      <c r="A77" t="str">
        <v>Hidroclorotiazida 500mg - 20 Comprimidos - Neo Química (Genérico)</v>
      </c>
      <c r="B77">
        <v>211038</v>
      </c>
      <c r="C77">
        <v>208333</v>
      </c>
    </row>
    <row r="78" spans="1:3">
      <c r="A78" t="str">
        <v>Clonazepam Suspensão Oral 50ml - EMS (Genérico)</v>
      </c>
      <c r="B78">
        <v>684</v>
      </c>
      <c r="C78">
        <v>-6861</v>
      </c>
    </row>
    <row r="79" spans="1:3">
      <c r="A79" t="str">
        <v>Sérum Vitamina C Nivea 500ml</v>
      </c>
      <c r="B79">
        <v>29890</v>
      </c>
      <c r="C79">
        <v>14314</v>
      </c>
    </row>
    <row r="80" spans="1:3">
      <c r="A80" t="str">
        <v>Cefalexina 500mg - 20 Comprimidos - Neo Química (Genérico)</v>
      </c>
      <c r="B80">
        <v>386780</v>
      </c>
      <c r="C80">
        <v>383111</v>
      </c>
    </row>
    <row r="81" spans="1:3">
      <c r="A81" t="str">
        <v>Loratadina Suspensão Oral 50ml - Bayer</v>
      </c>
      <c r="B81">
        <v>198192</v>
      </c>
      <c r="C81">
        <v>196348</v>
      </c>
    </row>
    <row r="82" spans="1:3">
      <c r="A82" t="str">
        <v>Leite em Pó Infantil Colgate 150ml</v>
      </c>
      <c r="B82">
        <v>243255</v>
      </c>
      <c r="C82">
        <v>239169</v>
      </c>
    </row>
    <row r="83" spans="1:3">
      <c r="A83" t="str">
        <v>Vacina contra Chikungunya - Dose Única</v>
      </c>
      <c r="B83">
        <v>204360</v>
      </c>
      <c r="C83">
        <v>195630</v>
      </c>
    </row>
    <row r="84" spans="1:3">
      <c r="A84" t="str">
        <v>Cefalexina 500mg - 20 Comprimidos - EMS (Genérico)</v>
      </c>
      <c r="B84">
        <v>265244</v>
      </c>
      <c r="C84">
        <v>262862</v>
      </c>
    </row>
    <row r="85" spans="1:3">
      <c r="A85" t="str">
        <v>Omeprazol 500mg - 20 Comprimidos - Aché</v>
      </c>
      <c r="B85">
        <v>283478</v>
      </c>
      <c r="C85">
        <v>273563</v>
      </c>
    </row>
    <row r="86" spans="1:3">
      <c r="A86" t="str">
        <v>Metformina 50mg - 30 Comprimidos - Eurofarma</v>
      </c>
      <c r="B86">
        <v>107838</v>
      </c>
      <c r="C86">
        <v>104657</v>
      </c>
    </row>
    <row r="87" spans="1:3">
      <c r="A87" t="str">
        <v>Dipirona Sódica 500mg - 20 Comprimidos - Aché</v>
      </c>
      <c r="B87">
        <v>7230</v>
      </c>
      <c r="C87">
        <v>5566</v>
      </c>
    </row>
    <row r="88" spans="1:3">
      <c r="A88" t="str">
        <v>Dipirona Sódica 500mg - 20 Comprimidos - Medley (Genérico)</v>
      </c>
      <c r="B88">
        <v>10832</v>
      </c>
      <c r="C88">
        <v>5260</v>
      </c>
    </row>
    <row r="89" spans="1:3">
      <c r="A89" t="str">
        <v>Fralda Descartável G-Tech 50g</v>
      </c>
      <c r="B89">
        <v>133722</v>
      </c>
      <c r="C89">
        <v>114220</v>
      </c>
    </row>
    <row r="90" spans="1:3">
      <c r="A90" t="str">
        <v>Azitromicina Suspensão Oral 50ml - Eurofarma</v>
      </c>
      <c r="B90">
        <v>39856</v>
      </c>
      <c r="C90">
        <v>26463</v>
      </c>
    </row>
    <row r="91" spans="1:3">
      <c r="A91" t="str">
        <v>Enalapril Xarope 120ml - Eurofarma</v>
      </c>
      <c r="B91">
        <v>8074</v>
      </c>
      <c r="C91">
        <v>1414</v>
      </c>
    </row>
    <row r="92" spans="1:3">
      <c r="A92" t="str">
        <v>Diclofenaco Gotas 20ml - Neo Química (Genérico)</v>
      </c>
      <c r="B92">
        <v>205956</v>
      </c>
      <c r="C92">
        <v>202762</v>
      </c>
    </row>
    <row r="93" spans="1:3">
      <c r="A93" t="str">
        <v>Creme Dental Needs 200ml</v>
      </c>
      <c r="B93">
        <v>345325</v>
      </c>
      <c r="C93">
        <v>340401</v>
      </c>
    </row>
    <row r="94" spans="1:3">
      <c r="A94" t="str">
        <v>Omeprazol Suspensão Oral 50ml - Aché</v>
      </c>
      <c r="B94">
        <v>318552</v>
      </c>
      <c r="C94">
        <v>308827</v>
      </c>
    </row>
    <row r="95" spans="1:3">
      <c r="A95" t="str">
        <v>Termômetro Digital Needs 50g</v>
      </c>
      <c r="B95">
        <v>23392</v>
      </c>
      <c r="C95">
        <v>13070</v>
      </c>
    </row>
    <row r="96" spans="1:3">
      <c r="A96" t="str">
        <v>Amoxicilina 50mg - 30 Comprimidos - Bayer</v>
      </c>
      <c r="B96">
        <v>91128</v>
      </c>
      <c r="C96">
        <v>84502</v>
      </c>
    </row>
    <row r="97" spans="1:3">
      <c r="A97" t="str">
        <v>Fralda Descartável Listerine 50g</v>
      </c>
      <c r="B97">
        <v>62680</v>
      </c>
      <c r="C97">
        <v>57106</v>
      </c>
    </row>
    <row r="98" spans="1:3">
      <c r="A98" t="str">
        <v>Vacina contra Leucemia - Dose Única</v>
      </c>
      <c r="B98">
        <v>520608</v>
      </c>
      <c r="C98">
        <v>519598</v>
      </c>
    </row>
    <row r="99" spans="1:3">
      <c r="A99" t="str">
        <v>Paracetamol 500mg - 20 Comprimidos - Medley (Genérico)</v>
      </c>
      <c r="B99">
        <v>647187</v>
      </c>
      <c r="C99">
        <v>644044</v>
      </c>
    </row>
    <row r="100" spans="1:3">
      <c r="A100" t="str">
        <v>Fio Dental Needs FPS 50</v>
      </c>
      <c r="B100">
        <v>32565</v>
      </c>
      <c r="C100">
        <v>26355</v>
      </c>
    </row>
    <row r="101" spans="1:3">
      <c r="A101" t="str">
        <v>Sinvastatina Pomada 30g - Medley (Genérico)</v>
      </c>
      <c r="B101">
        <v>400197</v>
      </c>
      <c r="C101">
        <v>393769</v>
      </c>
    </row>
    <row r="102" spans="1:3">
      <c r="A102" t="str">
        <v>Fralda Descartável Sempre Livre 50 Metros</v>
      </c>
      <c r="B102">
        <v>44947</v>
      </c>
      <c r="C102">
        <v>40900</v>
      </c>
    </row>
    <row r="103" spans="1:3">
      <c r="A103" t="str">
        <v>Losartana Potássica 500mg - 20 Comprimidos - Bayer</v>
      </c>
      <c r="B103">
        <v>156919</v>
      </c>
      <c r="C103">
        <v>145007</v>
      </c>
    </row>
    <row r="104" spans="1:3">
      <c r="A104" t="str">
        <v>Enalapril Suspensão Oral 50ml - Aché</v>
      </c>
      <c r="B104">
        <v>59808</v>
      </c>
      <c r="C104">
        <v>54011</v>
      </c>
    </row>
    <row r="105" spans="1:3">
      <c r="A105" t="str">
        <v>Protetor Solar Facial CeraVe FPS 70</v>
      </c>
      <c r="B105">
        <v>302404</v>
      </c>
      <c r="C105">
        <v>298497</v>
      </c>
    </row>
    <row r="106" spans="1:3">
      <c r="A106" t="str">
        <v>Água Micelar CeraVe Tamanho G (32 un)</v>
      </c>
      <c r="B106">
        <v>201087</v>
      </c>
      <c r="C106">
        <v>184959</v>
      </c>
    </row>
    <row r="107" spans="1:3">
      <c r="A107" t="str">
        <v>Hastes Flexíveis (Cotonetes) Johnson's 90g</v>
      </c>
      <c r="B107">
        <v>437409</v>
      </c>
      <c r="C107">
        <v>428330</v>
      </c>
    </row>
    <row r="108" spans="1:3">
      <c r="A108" t="str">
        <v>Lenço Umedecido Huggies Tamanho M (40 un)</v>
      </c>
      <c r="B108">
        <v>40784</v>
      </c>
      <c r="C108">
        <v>39946</v>
      </c>
    </row>
    <row r="109" spans="1:3">
      <c r="A109" t="str">
        <v>Paracetamol Gotas 20ml - Aché</v>
      </c>
      <c r="B109">
        <v>479908</v>
      </c>
      <c r="C109">
        <v>474660</v>
      </c>
    </row>
    <row r="110" spans="1:3">
      <c r="A110" t="str">
        <v>Azitromicina Xarope 120ml - Aché</v>
      </c>
      <c r="B110">
        <v>272610</v>
      </c>
      <c r="C110">
        <v>262455</v>
      </c>
    </row>
    <row r="111" spans="1:3">
      <c r="A111" t="str">
        <v>Sertralina Gotas 20ml - Aché</v>
      </c>
      <c r="B111">
        <v>419221</v>
      </c>
      <c r="C111">
        <v>417784</v>
      </c>
    </row>
    <row r="112" spans="1:3">
      <c r="A112" t="str">
        <v>Omeprazol Gotas 20ml - Aché</v>
      </c>
      <c r="B112">
        <v>355744</v>
      </c>
      <c r="C112">
        <v>352299</v>
      </c>
    </row>
    <row r="113" spans="1:3">
      <c r="A113" t="str">
        <v>Metformina 500mg - 20 Comprimidos - Neo Química (Genérico)</v>
      </c>
      <c r="B113">
        <v>205413</v>
      </c>
      <c r="C113">
        <v>196982</v>
      </c>
    </row>
    <row r="114" spans="1:3">
      <c r="A114" t="str">
        <v>Pantoprazol 25mg - 30 Comprimidos - Neo Química (Genérico)</v>
      </c>
      <c r="B114">
        <v>432705</v>
      </c>
      <c r="C114">
        <v>419024</v>
      </c>
    </row>
    <row r="115" spans="1:3">
      <c r="A115" t="str">
        <v>Absorvente com Abas Johnson's FPS 50</v>
      </c>
      <c r="B115">
        <v>88374</v>
      </c>
      <c r="C115">
        <v>84986</v>
      </c>
    </row>
    <row r="116" spans="1:3">
      <c r="A116" t="str">
        <v>Sildenafila 25mg - 30 Comprimidos - Eurofarma</v>
      </c>
      <c r="B116">
        <v>353723</v>
      </c>
      <c r="C116">
        <v>347676</v>
      </c>
    </row>
    <row r="117" spans="1:3">
      <c r="A117" t="str">
        <v>Vacina contra Hipotireoidismo - Dose Única</v>
      </c>
      <c r="B117">
        <v>147056</v>
      </c>
      <c r="C117">
        <v>146194</v>
      </c>
    </row>
    <row r="118" spans="1:3">
      <c r="A118" t="str">
        <v>Loratadina 1g - 10 Comprimidos - Bayer</v>
      </c>
      <c r="B118">
        <v>42705</v>
      </c>
      <c r="C118">
        <v>33581</v>
      </c>
    </row>
    <row r="119" spans="1:3">
      <c r="A119" t="str">
        <v>Sertralina Pomada 30g - Medley (Genérico)</v>
      </c>
      <c r="B119">
        <v>159355</v>
      </c>
      <c r="C119">
        <v>151417</v>
      </c>
    </row>
    <row r="120" spans="1:3">
      <c r="A120" t="str">
        <v>Vacina contra Tuberculose - Dose Única</v>
      </c>
      <c r="B120">
        <v>236607</v>
      </c>
      <c r="C120">
        <v>228084</v>
      </c>
    </row>
    <row r="121" spans="1:3">
      <c r="A121" t="str">
        <v>Clonazepam 1g - 10 Comprimidos - Neo Química (Genérico)</v>
      </c>
      <c r="B121">
        <v>78404</v>
      </c>
      <c r="C121">
        <v>78404</v>
      </c>
    </row>
    <row r="122" spans="1:3">
      <c r="A122" t="str">
        <v>Loratadina Xarope 120ml - Bayer</v>
      </c>
      <c r="B122">
        <v>66432</v>
      </c>
      <c r="C122">
        <v>62810</v>
      </c>
    </row>
    <row r="123" spans="1:3">
      <c r="A123" t="str">
        <v>Diclofenaco Gotas 20ml - Eurofarma</v>
      </c>
      <c r="B123">
        <v>446386</v>
      </c>
      <c r="C123">
        <v>444673</v>
      </c>
    </row>
    <row r="124" spans="1:3">
      <c r="A124" t="str">
        <v>Fluoxetina 500mg - 20 Comprimidos - Neo Química (Genérico)</v>
      </c>
      <c r="B124">
        <v>291075</v>
      </c>
      <c r="C124">
        <v>289740</v>
      </c>
    </row>
    <row r="125" spans="1:3">
      <c r="A125" t="str">
        <v>Água Micelar Panvel 150ml</v>
      </c>
      <c r="B125">
        <v>96850</v>
      </c>
      <c r="C125">
        <v>90488</v>
      </c>
    </row>
    <row r="126" spans="1:3">
      <c r="A126" t="str">
        <v>Pantoprazol Xarope 120ml - Bayer</v>
      </c>
      <c r="B126">
        <v>69654</v>
      </c>
      <c r="C126">
        <v>65353</v>
      </c>
    </row>
    <row r="127" spans="1:3">
      <c r="A127" t="str">
        <v>Vacina contra Ansiedade - Reforço</v>
      </c>
      <c r="B127">
        <v>275782</v>
      </c>
      <c r="C127">
        <v>271913</v>
      </c>
    </row>
    <row r="128" spans="1:3">
      <c r="A128" t="str">
        <v>Sinvastatina 1g - 10 Comprimidos - Medley (Genérico)</v>
      </c>
      <c r="B128">
        <v>448316</v>
      </c>
      <c r="C128">
        <v>443527</v>
      </c>
    </row>
    <row r="129" spans="1:3">
      <c r="A129" t="str">
        <v>Cefalexina Pomada 30g - Neo Química (Genérico)</v>
      </c>
      <c r="B129">
        <v>19340</v>
      </c>
      <c r="C129">
        <v>10703</v>
      </c>
    </row>
    <row r="130" spans="1:3">
      <c r="A130" t="str">
        <v>Sildenafila Xarope 120ml - Eurofarma</v>
      </c>
      <c r="B130">
        <v>143082</v>
      </c>
      <c r="C130">
        <v>138048</v>
      </c>
    </row>
    <row r="131" spans="1:3">
      <c r="A131" t="str">
        <v>Vacina contra Gota - Dose Única</v>
      </c>
      <c r="B131">
        <v>35712</v>
      </c>
      <c r="C131">
        <v>31700</v>
      </c>
    </row>
    <row r="132" spans="1:3">
      <c r="A132" t="str">
        <v>Ibuprofeno 50mg - 30 Comprimidos - Aché</v>
      </c>
      <c r="B132">
        <v>302202</v>
      </c>
      <c r="C132">
        <v>295990</v>
      </c>
    </row>
    <row r="133" spans="1:3">
      <c r="A133" t="str">
        <v>Azitromicina 1g - 10 Comprimidos - Bayer</v>
      </c>
      <c r="B133">
        <v>154740</v>
      </c>
      <c r="C133">
        <v>144234</v>
      </c>
    </row>
    <row r="134" spans="1:3">
      <c r="A134" t="str">
        <v>Sinvastatina Suspensão Oral 50ml - Bayer</v>
      </c>
      <c r="B134">
        <v>515011</v>
      </c>
      <c r="C134">
        <v>513656</v>
      </c>
    </row>
    <row r="135" spans="1:3">
      <c r="A135" t="str">
        <v>Termômetro Digital Listerine 50g</v>
      </c>
      <c r="B135">
        <v>106248</v>
      </c>
      <c r="C135">
        <v>94604</v>
      </c>
    </row>
    <row r="136" spans="1:3">
      <c r="A136" t="str">
        <v>Escitalopram Suspensão Oral 50ml - Medley (Genérico)</v>
      </c>
      <c r="B136">
        <v>316432</v>
      </c>
      <c r="C136">
        <v>310437</v>
      </c>
    </row>
    <row r="137" spans="1:3">
      <c r="A137" t="str">
        <v>Sabonete em Barra Mió FPS 70</v>
      </c>
      <c r="B137">
        <v>129495</v>
      </c>
      <c r="C137">
        <v>123151</v>
      </c>
    </row>
    <row r="138" spans="1:3">
      <c r="A138" t="str">
        <v>Fio Dental Huggies 50 Metros</v>
      </c>
      <c r="B138">
        <v>245130</v>
      </c>
      <c r="C138">
        <v>235924</v>
      </c>
    </row>
    <row r="139" spans="1:3">
      <c r="A139" t="str">
        <v>Hidroclorotiazida Suspensão Oral 50ml - Bayer</v>
      </c>
      <c r="B139">
        <v>67584</v>
      </c>
      <c r="C139">
        <v>64735</v>
      </c>
    </row>
    <row r="140" spans="1:3">
      <c r="A140" t="str">
        <v>Metformina Xarope 120ml - EMS (Genérico)</v>
      </c>
      <c r="B140">
        <v>46809</v>
      </c>
      <c r="C140">
        <v>46809</v>
      </c>
    </row>
    <row r="141" spans="1:3">
      <c r="A141" t="str">
        <v>Sabonete Líquido La Roche-Posay FPS 70</v>
      </c>
      <c r="B141">
        <v>150831</v>
      </c>
      <c r="C141">
        <v>147943</v>
      </c>
    </row>
    <row r="142" spans="1:3">
      <c r="A142" t="str">
        <v>Vacina contra Hepatite A - Dose Única</v>
      </c>
      <c r="B142">
        <v>91768</v>
      </c>
      <c r="C142">
        <v>81058</v>
      </c>
    </row>
    <row r="143" spans="1:3">
      <c r="A143" t="str">
        <v>Sinvastatina Xarope 120ml - EMS (Genérico)</v>
      </c>
      <c r="B143">
        <v>131274</v>
      </c>
      <c r="C143">
        <v>128337</v>
      </c>
    </row>
    <row r="144" spans="1:3">
      <c r="A144" t="str">
        <v>Paracetamol Suspensão Oral 50ml - EMS (Genérico)</v>
      </c>
      <c r="B144">
        <v>58210</v>
      </c>
      <c r="C144">
        <v>47621</v>
      </c>
    </row>
    <row r="145" spans="1:3">
      <c r="A145" t="str">
        <v>Sérum Vitamina C Rexona Tamanho G (32 un)</v>
      </c>
      <c r="B145">
        <v>168571</v>
      </c>
      <c r="C145">
        <v>164450</v>
      </c>
    </row>
    <row r="146" spans="1:3">
      <c r="A146" t="str">
        <v>Ibuprofeno Pomada 30g - EMS (Genérico)</v>
      </c>
      <c r="B146">
        <v>52965</v>
      </c>
      <c r="C146">
        <v>43636</v>
      </c>
    </row>
    <row r="147" spans="1:3">
      <c r="A147" t="str">
        <v>Creme Hidratante Dove 200ml</v>
      </c>
      <c r="B147">
        <v>138348</v>
      </c>
      <c r="C147">
        <v>122021</v>
      </c>
    </row>
    <row r="148" spans="1:3">
      <c r="A148" t="str">
        <v>Omeprazol Suspensão Oral 50ml - Bayer</v>
      </c>
      <c r="B148">
        <v>85561</v>
      </c>
      <c r="C148">
        <v>83282</v>
      </c>
    </row>
    <row r="149" spans="1:3">
      <c r="A149" t="str">
        <v>Pomada para Assaduras Colgate FPS 70</v>
      </c>
      <c r="B149">
        <v>79872</v>
      </c>
      <c r="C149">
        <v>76250</v>
      </c>
    </row>
    <row r="150" spans="1:3">
      <c r="A150" t="str">
        <v>Vacina contra COVID-19 - Dose Única</v>
      </c>
      <c r="B150">
        <v>196224</v>
      </c>
      <c r="C150">
        <v>193898</v>
      </c>
    </row>
    <row r="151" spans="1:3">
      <c r="A151" t="str">
        <v>Atenolol Pomada 30g - Neo Química (Genérico)</v>
      </c>
      <c r="B151">
        <v>113372</v>
      </c>
      <c r="C151">
        <v>108446</v>
      </c>
    </row>
    <row r="152" spans="1:3">
      <c r="A152" t="str">
        <v>Clonazepam 500mg - 20 Comprimidos - Medley (Genérico)</v>
      </c>
      <c r="B152">
        <v>376395</v>
      </c>
      <c r="C152">
        <v>369172</v>
      </c>
    </row>
    <row r="153" spans="1:3">
      <c r="A153" t="str">
        <v>Dipirona Sódica 1g - 10 Comprimidos - Bayer</v>
      </c>
      <c r="B153">
        <v>14412</v>
      </c>
      <c r="C153">
        <v>6641</v>
      </c>
    </row>
    <row r="154" spans="1:3">
      <c r="A154" t="str">
        <v>Creme Dental Dove 50 Metros</v>
      </c>
      <c r="B154">
        <v>173600</v>
      </c>
      <c r="C154">
        <v>166841</v>
      </c>
    </row>
    <row r="155" spans="1:3">
      <c r="A155" t="str">
        <v>Metformina Pomada 30g - Bayer</v>
      </c>
      <c r="B155">
        <v>417312</v>
      </c>
      <c r="C155">
        <v>417312</v>
      </c>
    </row>
    <row r="156" spans="1:3">
      <c r="A156" t="str">
        <v>Dipirona Sódica Suspensão Oral 50ml - Neo Química (Genérico)</v>
      </c>
      <c r="B156">
        <v>99297</v>
      </c>
      <c r="C156">
        <v>90731</v>
      </c>
    </row>
    <row r="157" spans="1:3">
      <c r="A157" t="str">
        <v>Amoxicilina Pomada 30g - Bayer</v>
      </c>
      <c r="B157">
        <v>28026</v>
      </c>
      <c r="C157">
        <v>18533</v>
      </c>
    </row>
    <row r="158" spans="1:3">
      <c r="A158" t="str">
        <v>Diclofenaco Xarope 120ml - Aché</v>
      </c>
      <c r="B158">
        <v>361965</v>
      </c>
      <c r="C158">
        <v>357167</v>
      </c>
    </row>
    <row r="159" spans="1:3">
      <c r="A159" t="str">
        <v>Vacina contra Sinusite - Dose Única</v>
      </c>
      <c r="B159">
        <v>16128</v>
      </c>
      <c r="C159">
        <v>13823</v>
      </c>
    </row>
    <row r="160" spans="1:3">
      <c r="A160" t="str">
        <v>Cefalexina 500mg - 20 Comprimidos - Eurofarma</v>
      </c>
      <c r="B160">
        <v>94829</v>
      </c>
      <c r="C160">
        <v>91145</v>
      </c>
    </row>
    <row r="161" spans="1:3">
      <c r="A161" t="str">
        <v>Diclofenaco 25mg - 30 Comprimidos - Aché</v>
      </c>
      <c r="B161">
        <v>47674</v>
      </c>
      <c r="C161">
        <v>42091</v>
      </c>
    </row>
    <row r="162" spans="1:3">
      <c r="A162" t="str">
        <v>Vacina contra Artrose - Reforço</v>
      </c>
      <c r="B162">
        <v>173260</v>
      </c>
      <c r="C162">
        <v>167250</v>
      </c>
    </row>
    <row r="163" spans="1:3">
      <c r="A163" t="str">
        <v>Pantoprazol Suspensão Oral 50ml - Aché</v>
      </c>
      <c r="B163">
        <v>45320</v>
      </c>
      <c r="C163">
        <v>35439</v>
      </c>
    </row>
    <row r="164" spans="1:3">
      <c r="A164" t="str">
        <v>Sérum Vitamina C Johnson's FPS 70</v>
      </c>
      <c r="B164">
        <v>189609</v>
      </c>
      <c r="C164">
        <v>185895</v>
      </c>
    </row>
    <row r="165" spans="1:3">
      <c r="A165" t="str">
        <v>Escitalopram 500mg - 20 Comprimidos - Bayer</v>
      </c>
      <c r="B165">
        <v>155140</v>
      </c>
      <c r="C165">
        <v>150046</v>
      </c>
    </row>
    <row r="166" spans="1:3">
      <c r="A166" t="str">
        <v>Sildenafila Gotas 20ml - EMS (Genérico)</v>
      </c>
      <c r="B166">
        <v>384648</v>
      </c>
      <c r="C166">
        <v>380182</v>
      </c>
    </row>
    <row r="167" spans="1:3">
      <c r="A167" t="str">
        <v>Shampoo Anticaspa Aptamil 500ml</v>
      </c>
      <c r="B167">
        <v>144048</v>
      </c>
      <c r="C167">
        <v>141177</v>
      </c>
    </row>
    <row r="168" spans="1:3">
      <c r="A168" t="str">
        <v>Paracetamol Suspensão Oral 50ml - Aché</v>
      </c>
      <c r="B168">
        <v>77428</v>
      </c>
      <c r="C168">
        <v>64795</v>
      </c>
    </row>
    <row r="169" spans="1:3">
      <c r="A169" t="str">
        <v>Loratadina 1g - 10 Comprimidos - Aché</v>
      </c>
      <c r="B169">
        <v>252681</v>
      </c>
      <c r="C169">
        <v>248982</v>
      </c>
    </row>
    <row r="170" spans="1:3">
      <c r="A170" t="str">
        <v>Sinvastatina 50mg - 30 Comprimidos - Eurofarma</v>
      </c>
      <c r="B170">
        <v>1785</v>
      </c>
      <c r="C170">
        <v>-4630</v>
      </c>
    </row>
    <row r="171" spans="1:3">
      <c r="A171" t="str">
        <v>Vacina contra Hepatite B - Reforço</v>
      </c>
      <c r="B171">
        <v>85281</v>
      </c>
      <c r="C171">
        <v>72115</v>
      </c>
    </row>
    <row r="172" spans="1:3">
      <c r="A172" t="str">
        <v>Diclofenaco 500mg - 20 Comprimidos - Aché</v>
      </c>
      <c r="B172">
        <v>485478</v>
      </c>
      <c r="C172">
        <v>480041</v>
      </c>
    </row>
    <row r="173" spans="1:3">
      <c r="A173" t="str">
        <v>Termômetro Digital CeraVe 150ml</v>
      </c>
      <c r="B173">
        <v>281456</v>
      </c>
      <c r="C173">
        <v>273412</v>
      </c>
    </row>
    <row r="174" spans="1:3">
      <c r="A174" t="str">
        <v>Azitromicina Xarope 120ml - Neo Química (Genérico)</v>
      </c>
      <c r="B174">
        <v>301053</v>
      </c>
      <c r="C174">
        <v>297019</v>
      </c>
    </row>
    <row r="175" spans="1:3">
      <c r="A175" t="str">
        <v>Tadalafila 50mg - 30 Comprimidos - Eurofarma</v>
      </c>
      <c r="B175">
        <v>21996</v>
      </c>
      <c r="C175">
        <v>15254</v>
      </c>
    </row>
    <row r="176" spans="1:3">
      <c r="A176" t="str">
        <v>Azitromicina Suspensão Oral 50ml - Aché</v>
      </c>
      <c r="B176">
        <v>290992</v>
      </c>
      <c r="C176">
        <v>289848</v>
      </c>
    </row>
    <row r="177" spans="1:3">
      <c r="A177" t="str">
        <v>Sildenafila Gotas 20ml - Bayer</v>
      </c>
      <c r="B177">
        <v>29757</v>
      </c>
      <c r="C177">
        <v>27315</v>
      </c>
    </row>
    <row r="178" spans="1:3">
      <c r="A178" t="str">
        <v>Cefalexina 1g - 10 Comprimidos - Medley (Genérico)</v>
      </c>
      <c r="B178">
        <v>242174</v>
      </c>
      <c r="C178">
        <v>232014</v>
      </c>
    </row>
    <row r="179" spans="1:3">
      <c r="A179" t="str">
        <v>Atenolol Pomada 30g - Medley (Genérico)</v>
      </c>
      <c r="B179">
        <v>407949</v>
      </c>
      <c r="C179">
        <v>401719</v>
      </c>
    </row>
    <row r="180" spans="1:3">
      <c r="A180" t="str">
        <v>Nimesulida Pomada 30g - Aché</v>
      </c>
      <c r="B180">
        <v>357552</v>
      </c>
      <c r="C180">
        <v>352751</v>
      </c>
    </row>
    <row r="181" spans="1:3">
      <c r="A181" t="str">
        <v>Sertralina 50mg - 30 Comprimidos - Bayer</v>
      </c>
      <c r="B181">
        <v>303511</v>
      </c>
      <c r="C181">
        <v>299980</v>
      </c>
    </row>
    <row r="182" spans="1:3">
      <c r="A182" t="str">
        <v>Hidroclorotiazida Gotas 20ml - Eurofarma</v>
      </c>
      <c r="B182">
        <v>440850</v>
      </c>
      <c r="C182">
        <v>440850</v>
      </c>
    </row>
    <row r="183" spans="1:3">
      <c r="A183" t="str">
        <v>Desodorante Roll-on G-Tech Tamanho M (40 un)</v>
      </c>
      <c r="B183">
        <v>11776</v>
      </c>
      <c r="C183">
        <v>10188</v>
      </c>
    </row>
    <row r="184" spans="1:3">
      <c r="A184" t="str">
        <v>Curativos (Band-Aid) Pampers Tamanho G (32 un)</v>
      </c>
      <c r="B184">
        <v>58350</v>
      </c>
      <c r="C184">
        <v>49129</v>
      </c>
    </row>
    <row r="185" spans="1:3">
      <c r="A185" t="str">
        <v>Condicionador Hidratação La Roche-Posay 150ml</v>
      </c>
      <c r="B185">
        <v>311955</v>
      </c>
      <c r="C185">
        <v>304777</v>
      </c>
    </row>
    <row r="186" spans="1:3">
      <c r="A186" t="str">
        <v>Dipirona Sódica Xarope 120ml - Eurofarma</v>
      </c>
      <c r="B186">
        <v>124882</v>
      </c>
      <c r="C186">
        <v>123352</v>
      </c>
    </row>
    <row r="187" spans="1:3">
      <c r="A187" t="str">
        <v>Absorvente com Abas G-Tech 90g</v>
      </c>
      <c r="B187">
        <v>164277</v>
      </c>
      <c r="C187">
        <v>161089</v>
      </c>
    </row>
    <row r="188" spans="1:3">
      <c r="A188" t="str">
        <v>Enalapril 500mg - 20 Comprimidos - Bayer</v>
      </c>
      <c r="B188">
        <v>204948</v>
      </c>
      <c r="C188">
        <v>199691</v>
      </c>
    </row>
    <row r="189" spans="1:3">
      <c r="A189" t="str">
        <v>Clonazepam Gotas 20ml - Medley (Genérico)</v>
      </c>
      <c r="B189">
        <v>755</v>
      </c>
      <c r="C189">
        <v>-1935</v>
      </c>
    </row>
    <row r="190" spans="1:3">
      <c r="A190" t="str">
        <v>Hidroclorotiazida 1g - 10 Comprimidos - Bayer</v>
      </c>
      <c r="B190">
        <v>27669</v>
      </c>
      <c r="C190">
        <v>22331</v>
      </c>
    </row>
    <row r="191" spans="1:3">
      <c r="A191" t="str">
        <v>Condicionador Hidratação Panvel 400ml</v>
      </c>
      <c r="B191">
        <v>202392</v>
      </c>
      <c r="C191">
        <v>200465</v>
      </c>
    </row>
    <row r="192" spans="1:3">
      <c r="A192" t="str">
        <v>Sabonete em Barra Nivea 500ml</v>
      </c>
      <c r="B192">
        <v>1035</v>
      </c>
      <c r="C192">
        <v>-2735</v>
      </c>
    </row>
    <row r="193" spans="1:3">
      <c r="A193" t="str">
        <v>Azitromicina 500mg - 20 Comprimidos - Neo Química (Genérico)</v>
      </c>
      <c r="B193">
        <v>332300</v>
      </c>
      <c r="C193">
        <v>325903</v>
      </c>
    </row>
    <row r="194" spans="1:3">
      <c r="A194" t="str">
        <v>Fluoxetina 500mg - 20 Comprimidos - Eurofarma</v>
      </c>
      <c r="B194">
        <v>317086</v>
      </c>
      <c r="C194">
        <v>314150</v>
      </c>
    </row>
    <row r="195" spans="1:3">
      <c r="A195" t="str">
        <v>Tadalafila 500mg - 20 Comprimidos - Neo Química (Genérico)</v>
      </c>
      <c r="B195">
        <v>104842</v>
      </c>
      <c r="C195">
        <v>100784</v>
      </c>
    </row>
    <row r="196" spans="1:3">
      <c r="A196" t="str">
        <v>Vacina contra Depressão - Reforço</v>
      </c>
      <c r="B196">
        <v>441954</v>
      </c>
      <c r="C196">
        <v>434349</v>
      </c>
    </row>
    <row r="197" spans="1:3">
      <c r="A197" t="str">
        <v>Condicionador Hidratação La Roche-Posay 500ml</v>
      </c>
      <c r="B197">
        <v>486216</v>
      </c>
      <c r="C197">
        <v>473802</v>
      </c>
    </row>
    <row r="198" spans="1:3">
      <c r="A198" t="str">
        <v>Pomada para Assaduras Nivea 90g</v>
      </c>
      <c r="B198">
        <v>259070</v>
      </c>
      <c r="C198">
        <v>255480</v>
      </c>
    </row>
    <row r="199" spans="1:3">
      <c r="A199" t="str">
        <v>Leite em Pó Infantil CeraVe 400ml</v>
      </c>
      <c r="B199">
        <v>103510</v>
      </c>
      <c r="C199">
        <v>101310</v>
      </c>
    </row>
    <row r="200" spans="1:3">
      <c r="A200" t="str">
        <v>Vacina contra Insuficiência Cardíaca - Dose Única</v>
      </c>
      <c r="B200">
        <v>189848</v>
      </c>
      <c r="C200">
        <v>183407</v>
      </c>
    </row>
    <row r="201" spans="1:3">
      <c r="A201" t="str">
        <v>Azitromicina 500mg - 20 Comprimidos - Bayer</v>
      </c>
      <c r="B201">
        <v>348354</v>
      </c>
      <c r="C201">
        <v>343545</v>
      </c>
    </row>
    <row r="202" spans="1:3">
      <c r="A202" t="str">
        <v>Vacina contra Epilepsia - Dose Única</v>
      </c>
      <c r="B202">
        <v>317968</v>
      </c>
      <c r="C202">
        <v>314402</v>
      </c>
    </row>
    <row r="203" spans="1:3">
      <c r="A203" t="str">
        <v>Fralda Descartável Johnson's 400ml</v>
      </c>
      <c r="B203">
        <v>12576</v>
      </c>
      <c r="C203">
        <v>7982</v>
      </c>
    </row>
    <row r="204" spans="1:3">
      <c r="A204" t="str">
        <v>Fluoxetina Suspensão Oral 50ml - Bayer</v>
      </c>
      <c r="B204">
        <v>232668</v>
      </c>
      <c r="C204">
        <v>231299</v>
      </c>
    </row>
    <row r="205" spans="1:3">
      <c r="A205" t="str">
        <v>Hastes Flexíveis (Cotonetes) Mió 150ml</v>
      </c>
      <c r="B205">
        <v>311752</v>
      </c>
      <c r="C205">
        <v>310812</v>
      </c>
    </row>
    <row r="206" spans="1:3">
      <c r="A206" t="str">
        <v>Enalapril Suspensão Oral 50ml - Medley (Genérico)</v>
      </c>
      <c r="B206">
        <v>67611</v>
      </c>
      <c r="C206">
        <v>65343</v>
      </c>
    </row>
    <row r="207" spans="1:3">
      <c r="A207" t="str">
        <v>Protetor Solar Facial Vichy Tamanho G (32 un)</v>
      </c>
      <c r="B207">
        <v>556577</v>
      </c>
      <c r="C207">
        <v>552507</v>
      </c>
    </row>
    <row r="208" spans="1:3">
      <c r="A208" t="str">
        <v>Azitromicina 500mg - 20 Comprimidos - Medley (Genérico)</v>
      </c>
      <c r="B208">
        <v>25008</v>
      </c>
      <c r="C208">
        <v>14674</v>
      </c>
    </row>
    <row r="209" spans="1:3">
      <c r="A209" t="str">
        <v>Vacina contra Vitiligo - Reforço</v>
      </c>
      <c r="B209">
        <v>278001</v>
      </c>
      <c r="C209">
        <v>271334</v>
      </c>
    </row>
    <row r="210" spans="1:3">
      <c r="A210" t="str">
        <v>Soro Fisiológico Sempre Livre Tamanho M (40 un)</v>
      </c>
      <c r="B210">
        <v>248576</v>
      </c>
      <c r="C210">
        <v>242827</v>
      </c>
    </row>
    <row r="211" spans="1:3">
      <c r="A211" t="str">
        <v>Diclofenaco 1g - 10 Comprimidos - Neo Química (Genérico)</v>
      </c>
      <c r="B211">
        <v>258075</v>
      </c>
      <c r="C211">
        <v>249706</v>
      </c>
    </row>
    <row r="212" spans="1:3">
      <c r="A212" t="str">
        <v>Dipirona Sódica 50mg - 30 Comprimidos - Neo Química (Genérico)</v>
      </c>
      <c r="B212">
        <v>108008</v>
      </c>
      <c r="C212">
        <v>101911</v>
      </c>
    </row>
    <row r="213" spans="1:3">
      <c r="A213" t="str">
        <v>Vacina contra Rinite - Dose Única</v>
      </c>
      <c r="B213">
        <v>151602</v>
      </c>
      <c r="C213">
        <v>147616</v>
      </c>
    </row>
    <row r="214" spans="1:3">
      <c r="A214" t="str">
        <v>Amoxicilina 500mg - 20 Comprimidos - Bayer</v>
      </c>
      <c r="B214">
        <v>244965</v>
      </c>
      <c r="C214">
        <v>241308</v>
      </c>
    </row>
    <row r="215" spans="1:3">
      <c r="A215" t="str">
        <v>Azitromicina 50mg - 30 Comprimidos - Medley (Genérico)</v>
      </c>
      <c r="B215">
        <v>219300</v>
      </c>
      <c r="C215">
        <v>211914</v>
      </c>
    </row>
    <row r="216" spans="1:3">
      <c r="A216" t="str">
        <v>Vacina contra Osteoporose - Reforço</v>
      </c>
      <c r="B216">
        <v>290532</v>
      </c>
      <c r="C216">
        <v>278784</v>
      </c>
    </row>
    <row r="217" spans="1:3">
      <c r="A217" t="str">
        <v>Sertralina Xarope 120ml - Neo Química (Genérico)</v>
      </c>
      <c r="B217">
        <v>236843</v>
      </c>
      <c r="C217">
        <v>220524</v>
      </c>
    </row>
    <row r="218" spans="1:3">
      <c r="A218" t="str">
        <v>Ibuprofeno Suspensão Oral 50ml - EMS (Genérico)</v>
      </c>
      <c r="B218">
        <v>124236</v>
      </c>
      <c r="C218">
        <v>116708</v>
      </c>
    </row>
    <row r="219" spans="1:3">
      <c r="A219" t="str">
        <v>Loratadina 50mg - 30 Comprimidos - Neo Química (Genérico)</v>
      </c>
      <c r="B219">
        <v>94402</v>
      </c>
      <c r="C219">
        <v>93715</v>
      </c>
    </row>
    <row r="220" spans="1:3">
      <c r="A220" t="str">
        <v>Loratadina 500mg - 20 Comprimidos - EMS (Genérico)</v>
      </c>
      <c r="B220">
        <v>43995</v>
      </c>
      <c r="C220">
        <v>38516</v>
      </c>
    </row>
    <row r="221" spans="1:3">
      <c r="A221" t="str">
        <v>Sildenafila Pomada 30g - Aché</v>
      </c>
      <c r="B221">
        <v>99940</v>
      </c>
      <c r="C221">
        <v>91578</v>
      </c>
    </row>
    <row r="222" spans="1:3">
      <c r="A222" t="str">
        <v>Atenolol 25mg - 30 Comprimidos - Medley (Genérico)</v>
      </c>
      <c r="B222">
        <v>440105</v>
      </c>
      <c r="C222">
        <v>435597</v>
      </c>
    </row>
    <row r="223" spans="1:3">
      <c r="A223" t="str">
        <v>Azitromicina 50mg - 30 Comprimidos - Aché</v>
      </c>
      <c r="B223">
        <v>238260</v>
      </c>
      <c r="C223">
        <v>235029</v>
      </c>
    </row>
    <row r="224" spans="1:3">
      <c r="A224" t="str">
        <v>Água Micelar Clear Tamanho M (40 un)</v>
      </c>
      <c r="B224">
        <v>5168</v>
      </c>
      <c r="C224">
        <v>2979</v>
      </c>
    </row>
    <row r="225" spans="1:3">
      <c r="A225" t="str">
        <v>Escitalopram 1g - 10 Comprimidos - Eurofarma</v>
      </c>
      <c r="B225">
        <v>358830</v>
      </c>
      <c r="C225">
        <v>353306</v>
      </c>
    </row>
    <row r="226" spans="1:3">
      <c r="A226" t="str">
        <v>Cefalexina 500mg - 20 Comprimidos - Aché</v>
      </c>
      <c r="B226">
        <v>159864</v>
      </c>
      <c r="C226">
        <v>156911</v>
      </c>
    </row>
    <row r="227" spans="1:3">
      <c r="A227" t="str">
        <v>Lenço Umedecido Mió Tamanho M (40 un)</v>
      </c>
      <c r="B227">
        <v>56836</v>
      </c>
      <c r="C227">
        <v>51402</v>
      </c>
    </row>
    <row r="228" spans="1:3">
      <c r="A228" t="str">
        <v>Clonazepam Gotas 20ml - Neo Química (Genérico)</v>
      </c>
      <c r="B228">
        <v>494300</v>
      </c>
      <c r="C228">
        <v>486564</v>
      </c>
    </row>
    <row r="229" spans="1:3">
      <c r="A229" t="str">
        <v>Diclofenaco 50mg - 30 Comprimidos - Bayer</v>
      </c>
      <c r="B229">
        <v>21307</v>
      </c>
      <c r="C229">
        <v>16146</v>
      </c>
    </row>
    <row r="230" spans="1:3">
      <c r="A230" t="str">
        <v>Pomada para Assaduras Dove 150ml</v>
      </c>
      <c r="B230">
        <v>141526</v>
      </c>
      <c r="C230">
        <v>126618</v>
      </c>
    </row>
    <row r="231" spans="1:3">
      <c r="A231" t="str">
        <v>Sabonete Líquido Nivea Tamanho M (40 un)</v>
      </c>
      <c r="B231">
        <v>97109</v>
      </c>
      <c r="C231">
        <v>89496</v>
      </c>
    </row>
    <row r="232" spans="1:3">
      <c r="A232" t="str">
        <v>Paracetamol 50mg - 30 Comprimidos - Aché</v>
      </c>
      <c r="B232">
        <v>104751</v>
      </c>
      <c r="C232">
        <v>100330</v>
      </c>
    </row>
    <row r="233" spans="1:3">
      <c r="A233" t="str">
        <v>Absorvente com Abas La Roche-Posay Tamanho G (32 un)</v>
      </c>
      <c r="B233">
        <v>306120</v>
      </c>
      <c r="C233">
        <v>301227</v>
      </c>
    </row>
    <row r="234" spans="1:3">
      <c r="A234" t="str">
        <v>Vacina contra Artrose - Dose Única</v>
      </c>
      <c r="B234">
        <v>105699</v>
      </c>
      <c r="C234">
        <v>87770</v>
      </c>
    </row>
    <row r="235" spans="1:3">
      <c r="A235" t="str">
        <v>Enalapril 50mg - 30 Comprimidos - Bayer</v>
      </c>
      <c r="B235">
        <v>206283</v>
      </c>
      <c r="C235">
        <v>199283</v>
      </c>
    </row>
    <row r="236" spans="1:3">
      <c r="A236" t="str">
        <v>Enalapril 500mg - 20 Comprimidos - EMS (Genérico)</v>
      </c>
      <c r="B236">
        <v>30672</v>
      </c>
      <c r="C236">
        <v>26007</v>
      </c>
    </row>
    <row r="237" spans="1:3">
      <c r="A237" t="str">
        <v>Ibuprofeno Xarope 120ml - Aché</v>
      </c>
      <c r="B237">
        <v>106964</v>
      </c>
      <c r="C237">
        <v>102187</v>
      </c>
    </row>
    <row r="238" spans="1:3">
      <c r="A238" t="str">
        <v>Shampoo Anticaspa Panvel Tamanho G (32 un)</v>
      </c>
      <c r="B238">
        <v>236676</v>
      </c>
      <c r="C238">
        <v>232874</v>
      </c>
    </row>
    <row r="239" spans="1:3">
      <c r="A239" t="str">
        <v>Sertralina Pomada 30g - Neo Química (Genérico)</v>
      </c>
      <c r="B239">
        <v>40511</v>
      </c>
      <c r="C239">
        <v>36045</v>
      </c>
    </row>
    <row r="240" spans="1:3">
      <c r="A240" t="str">
        <v>Losartana Potássica 50mg - 30 Comprimidos - Medley (Genérico)</v>
      </c>
      <c r="B240">
        <v>105777</v>
      </c>
      <c r="C240">
        <v>97522</v>
      </c>
    </row>
    <row r="241" spans="1:3">
      <c r="A241" t="str">
        <v>Ibuprofeno Xarope 120ml - Medley (Genérico)</v>
      </c>
      <c r="B241">
        <v>145260</v>
      </c>
      <c r="C241">
        <v>138099</v>
      </c>
    </row>
    <row r="242" spans="1:3">
      <c r="A242" t="str">
        <v>Soro Fisiológico Mió 50g</v>
      </c>
      <c r="B242">
        <v>43101</v>
      </c>
      <c r="C242">
        <v>38179</v>
      </c>
    </row>
    <row r="243" spans="1:3">
      <c r="A243" t="str">
        <v>Termômetro Digital La Roche-Posay 500ml</v>
      </c>
      <c r="B243">
        <v>149443</v>
      </c>
      <c r="C243">
        <v>142994</v>
      </c>
    </row>
    <row r="244" spans="1:3">
      <c r="A244" t="str">
        <v>Desodorante Roll-on Johnson's FPS 50</v>
      </c>
      <c r="B244">
        <v>260975</v>
      </c>
      <c r="C244">
        <v>252533</v>
      </c>
    </row>
    <row r="245" spans="1:3">
      <c r="A245" t="str">
        <v>Fralda Descartável Johnson's FPS 50</v>
      </c>
      <c r="B245">
        <v>416496</v>
      </c>
      <c r="C245">
        <v>410785</v>
      </c>
    </row>
    <row r="246" spans="1:3">
      <c r="A246" t="str">
        <v>Shampoo Anticaspa Rexona 90g</v>
      </c>
      <c r="B246">
        <v>109962</v>
      </c>
      <c r="C246">
        <v>101079</v>
      </c>
    </row>
    <row r="247" spans="1:3">
      <c r="A247" t="str">
        <v>Protetor Solar Corporal Vichy 50 Metros</v>
      </c>
      <c r="B247">
        <v>295126</v>
      </c>
      <c r="C247">
        <v>290618</v>
      </c>
    </row>
    <row r="248" spans="1:3">
      <c r="A248" t="str">
        <v>Curativos (Band-Aid) Bepantol Tamanho M (40 un)</v>
      </c>
      <c r="B248">
        <v>247680</v>
      </c>
      <c r="C248">
        <v>236258</v>
      </c>
    </row>
    <row r="249" spans="1:3">
      <c r="A249" t="str">
        <v>Paracetamol Pomada 30g - Bayer</v>
      </c>
      <c r="B249">
        <v>15993</v>
      </c>
      <c r="C249">
        <v>8924</v>
      </c>
    </row>
    <row r="250" spans="1:3">
      <c r="A250" t="str">
        <v>Metformina Gotas 20ml - EMS (Genérico)</v>
      </c>
      <c r="B250">
        <v>331996</v>
      </c>
      <c r="C250">
        <v>325658</v>
      </c>
    </row>
    <row r="251" spans="1:3">
      <c r="A251" t="str">
        <v>Creme Dental Nivea Tamanho G (32 un)</v>
      </c>
      <c r="B251">
        <v>577071</v>
      </c>
      <c r="C251">
        <v>566230</v>
      </c>
    </row>
    <row r="252" spans="1:3">
      <c r="A252" t="str">
        <v>Vacina contra Psoríase - Reforço</v>
      </c>
      <c r="B252">
        <v>97005</v>
      </c>
      <c r="C252">
        <v>95376</v>
      </c>
    </row>
    <row r="253" spans="1:3">
      <c r="A253" t="str">
        <v>Amoxicilina 25mg - 30 Comprimidos - Medley (Genérico)</v>
      </c>
      <c r="B253">
        <v>3315</v>
      </c>
      <c r="C253">
        <v>1098</v>
      </c>
    </row>
    <row r="254" spans="1:3">
      <c r="A254" t="str">
        <v>Soro Fisiológico Needs 90g</v>
      </c>
      <c r="B254">
        <v>306618</v>
      </c>
      <c r="C254">
        <v>300407</v>
      </c>
    </row>
    <row r="255" spans="1:3">
      <c r="A255" t="str">
        <v>Lenço Umedecido Bepantol 500ml</v>
      </c>
      <c r="B255">
        <v>224204</v>
      </c>
      <c r="C255">
        <v>213989</v>
      </c>
    </row>
    <row r="256" spans="1:3">
      <c r="A256" t="str">
        <v>Metformina 1g - 10 Comprimidos - Neo Química (Genérico)</v>
      </c>
      <c r="B256">
        <v>276592</v>
      </c>
      <c r="C256">
        <v>274155</v>
      </c>
    </row>
    <row r="257" spans="1:3">
      <c r="A257" t="str">
        <v>Amoxicilina 25mg - 30 Comprimidos - EMS (Genérico)</v>
      </c>
      <c r="B257">
        <v>99363</v>
      </c>
      <c r="C257">
        <v>94181</v>
      </c>
    </row>
    <row r="258" spans="1:3">
      <c r="A258" t="str">
        <v>Cefalexina Pomada 30g - Bayer</v>
      </c>
      <c r="B258">
        <v>67690</v>
      </c>
      <c r="C258">
        <v>55561</v>
      </c>
    </row>
    <row r="259" spans="1:3">
      <c r="A259" t="str">
        <v>Hastes Flexíveis (Cotonetes) Colgate 50g</v>
      </c>
      <c r="B259">
        <v>48180</v>
      </c>
      <c r="C259">
        <v>42876</v>
      </c>
    </row>
    <row r="260" spans="1:3">
      <c r="A260" t="str">
        <v>Azitromicina Xarope 120ml - Medley (Genérico)</v>
      </c>
      <c r="B260">
        <v>319935</v>
      </c>
      <c r="C260">
        <v>319935</v>
      </c>
    </row>
    <row r="261" spans="1:3">
      <c r="A261" t="str">
        <v>Hidroclorotiazida 25mg - 30 Comprimidos - Aché</v>
      </c>
      <c r="B261">
        <v>318376</v>
      </c>
      <c r="C261">
        <v>309252</v>
      </c>
    </row>
    <row r="262" spans="1:3">
      <c r="A262" t="str">
        <v>Nimesulida Suspensão Oral 50ml - Medley (Genérico)</v>
      </c>
      <c r="B262">
        <v>532774</v>
      </c>
      <c r="C262">
        <v>527208</v>
      </c>
    </row>
    <row r="263" spans="1:3">
      <c r="A263" t="str">
        <v>Paracetamol Gotas 20ml - EMS (Genérico)</v>
      </c>
      <c r="B263">
        <v>48717</v>
      </c>
      <c r="C263">
        <v>44560</v>
      </c>
    </row>
    <row r="264" spans="1:3">
      <c r="A264" t="str">
        <v>Água Micelar Dove 150ml</v>
      </c>
      <c r="B264">
        <v>15372</v>
      </c>
      <c r="C264">
        <v>11236</v>
      </c>
    </row>
    <row r="265" spans="1:3">
      <c r="A265" t="str">
        <v>Álcool em Gel 70% Pampers 400ml</v>
      </c>
      <c r="B265">
        <v>137438</v>
      </c>
      <c r="C265">
        <v>133082</v>
      </c>
    </row>
    <row r="266" spans="1:3">
      <c r="A266" t="str">
        <v>Hidroclorotiazida Pomada 30g - EMS (Genérico)</v>
      </c>
      <c r="B266">
        <v>442128</v>
      </c>
      <c r="C266">
        <v>433175</v>
      </c>
    </row>
    <row r="267" spans="1:3">
      <c r="A267" t="str">
        <v>Metformina 1g - 10 Comprimidos - Aché</v>
      </c>
      <c r="B267">
        <v>273024</v>
      </c>
      <c r="C267">
        <v>270934</v>
      </c>
    </row>
    <row r="268" spans="1:3">
      <c r="A268" t="str">
        <v>Vacina contra Resfriado - Dose Única</v>
      </c>
      <c r="B268">
        <v>111980</v>
      </c>
      <c r="C268">
        <v>109705</v>
      </c>
    </row>
    <row r="269" spans="1:3">
      <c r="A269" t="str">
        <v>Azitromicina Pomada 30g - Medley (Genérico)</v>
      </c>
      <c r="B269">
        <v>572049</v>
      </c>
      <c r="C269">
        <v>559412</v>
      </c>
    </row>
    <row r="270" spans="1:3">
      <c r="A270" t="str">
        <v>Escitalopram 25mg - 30 Comprimidos - Aché</v>
      </c>
      <c r="B270">
        <v>227148</v>
      </c>
      <c r="C270">
        <v>211716</v>
      </c>
    </row>
    <row r="271" spans="1:3">
      <c r="A271" t="str">
        <v>Nimesulida 25mg - 30 Comprimidos - Aché</v>
      </c>
      <c r="B271">
        <v>90783</v>
      </c>
      <c r="C271">
        <v>87899</v>
      </c>
    </row>
    <row r="272" spans="1:3">
      <c r="A272" t="str">
        <v>Vacina contra Diabetes Tipo 2 - Dose Única</v>
      </c>
      <c r="B272">
        <v>103230</v>
      </c>
      <c r="C272">
        <v>97514</v>
      </c>
    </row>
    <row r="273" spans="1:3">
      <c r="A273" t="str">
        <v>Sinvastatina Gotas 20ml - Bayer</v>
      </c>
      <c r="B273">
        <v>317304</v>
      </c>
      <c r="C273">
        <v>312116</v>
      </c>
    </row>
    <row r="274" spans="1:3">
      <c r="A274" t="str">
        <v>Sabonete Líquido Sempre Livre FPS 50</v>
      </c>
      <c r="B274">
        <v>336816</v>
      </c>
      <c r="C274">
        <v>335787</v>
      </c>
    </row>
    <row r="275" spans="1:3">
      <c r="A275" t="str">
        <v>Escitalopram Suspensão Oral 50ml - Aché</v>
      </c>
      <c r="B275">
        <v>155974</v>
      </c>
      <c r="C275">
        <v>149526</v>
      </c>
    </row>
    <row r="276" spans="1:3">
      <c r="A276" t="str">
        <v>Pantoprazol 50mg - 30 Comprimidos - Medley (Genérico)</v>
      </c>
      <c r="B276">
        <v>19404</v>
      </c>
      <c r="C276">
        <v>8979</v>
      </c>
    </row>
    <row r="277" spans="1:3">
      <c r="A277" t="str">
        <v>Hastes Flexíveis (Cotonetes) Rexona 150ml</v>
      </c>
      <c r="B277">
        <v>35812</v>
      </c>
      <c r="C277">
        <v>23550</v>
      </c>
    </row>
    <row r="278" spans="1:3">
      <c r="A278" t="str">
        <v>Protetor Solar Facial Pampers 400ml</v>
      </c>
      <c r="B278">
        <v>144696</v>
      </c>
      <c r="C278">
        <v>142621</v>
      </c>
    </row>
    <row r="279" spans="1:3">
      <c r="A279" t="str">
        <v>Sinvastatina Pomada 30g - EMS (Genérico)</v>
      </c>
      <c r="B279">
        <v>127035</v>
      </c>
      <c r="C279">
        <v>116653</v>
      </c>
    </row>
    <row r="280" spans="1:3">
      <c r="A280" t="str">
        <v>Protetor Solar Facial Panvel 90g</v>
      </c>
      <c r="B280">
        <v>8430</v>
      </c>
      <c r="C280">
        <v>38</v>
      </c>
    </row>
    <row r="281" spans="1:3">
      <c r="A281" t="str">
        <v>Pantoprazol Gotas 20ml - Bayer</v>
      </c>
      <c r="B281">
        <v>374460</v>
      </c>
      <c r="C281">
        <v>370125</v>
      </c>
    </row>
    <row r="282" spans="1:3">
      <c r="A282" t="str">
        <v>Escitalopram Xarope 120ml - Aché</v>
      </c>
      <c r="B282">
        <v>229054</v>
      </c>
      <c r="C282">
        <v>221648</v>
      </c>
    </row>
    <row r="283" spans="1:3">
      <c r="A283" t="str">
        <v>Loratadina 500mg - 20 Comprimidos - Bayer</v>
      </c>
      <c r="B283">
        <v>147930</v>
      </c>
      <c r="C283">
        <v>139474</v>
      </c>
    </row>
    <row r="284" spans="1:3">
      <c r="A284" t="str">
        <v>Atenolol Gotas 20ml - Eurofarma</v>
      </c>
      <c r="B284">
        <v>369060</v>
      </c>
      <c r="C284">
        <v>359903</v>
      </c>
    </row>
    <row r="285" spans="1:3">
      <c r="A285" t="str">
        <v>Água Micelar La Roche-Posay 50 Metros</v>
      </c>
      <c r="B285">
        <v>407966</v>
      </c>
      <c r="C285">
        <v>402530</v>
      </c>
    </row>
    <row r="286" spans="1:3">
      <c r="A286" t="str">
        <v>Vacina contra Embolia - Reforço</v>
      </c>
      <c r="B286">
        <v>19400</v>
      </c>
      <c r="C286">
        <v>14989</v>
      </c>
    </row>
    <row r="287" spans="1:3">
      <c r="A287" t="str">
        <v>Fralda Descartável Needs 150ml</v>
      </c>
      <c r="B287">
        <v>409020</v>
      </c>
      <c r="C287">
        <v>405837</v>
      </c>
    </row>
    <row r="288" spans="1:3">
      <c r="A288" t="str">
        <v>Nimesulida 1g - 10 Comprimidos - Medley (Genérico)</v>
      </c>
      <c r="B288">
        <v>96396</v>
      </c>
      <c r="C288">
        <v>93404</v>
      </c>
    </row>
    <row r="289" spans="1:3">
      <c r="A289" t="str">
        <v>Creme Hidratante Nivea 50 Metros</v>
      </c>
      <c r="B289">
        <v>86526</v>
      </c>
      <c r="C289">
        <v>76415</v>
      </c>
    </row>
    <row r="290" spans="1:3">
      <c r="A290" t="str">
        <v>Vacina contra Catarata - Reforço</v>
      </c>
      <c r="B290">
        <v>400896</v>
      </c>
      <c r="C290">
        <v>394880</v>
      </c>
    </row>
    <row r="291" spans="1:3">
      <c r="A291" t="str">
        <v>Ibuprofeno 1g - 10 Comprimidos - Eurofarma</v>
      </c>
      <c r="B291">
        <v>51492</v>
      </c>
      <c r="C291">
        <v>44385</v>
      </c>
    </row>
    <row r="292" spans="1:3">
      <c r="A292" t="str">
        <v>Omeprazol Pomada 30g - EMS (Genérico)</v>
      </c>
      <c r="B292">
        <v>9012</v>
      </c>
      <c r="C292">
        <v>-3757</v>
      </c>
    </row>
    <row r="293" spans="1:3">
      <c r="A293" t="str">
        <v>Lenço Umedecido Mió Tamanho G (32 un)</v>
      </c>
      <c r="B293">
        <v>488580</v>
      </c>
      <c r="C293">
        <v>487733</v>
      </c>
    </row>
    <row r="294" spans="1:3">
      <c r="A294" t="str">
        <v>Metformina 50mg - 30 Comprimidos - Bayer</v>
      </c>
      <c r="B294">
        <v>21094</v>
      </c>
      <c r="C294">
        <v>21094</v>
      </c>
    </row>
    <row r="295" spans="1:3">
      <c r="A295" t="str">
        <v>Lenço Umedecido Sempre Livre 150ml</v>
      </c>
      <c r="B295">
        <v>81016</v>
      </c>
      <c r="C295">
        <v>72477</v>
      </c>
    </row>
    <row r="296" spans="1:3">
      <c r="A296" t="str">
        <v>Amoxicilina Pomada 30g - Aché</v>
      </c>
      <c r="B296">
        <v>138922</v>
      </c>
      <c r="C296">
        <v>126873</v>
      </c>
    </row>
    <row r="297" spans="1:3">
      <c r="A297" t="str">
        <v>Sérum Vitamina C Dove 90g</v>
      </c>
      <c r="B297">
        <v>4856</v>
      </c>
      <c r="C297">
        <v>-6777</v>
      </c>
    </row>
    <row r="298" spans="1:3">
      <c r="A298" t="str">
        <v>Enxaguante Bucal Nivea Tamanho M (40 un)</v>
      </c>
      <c r="B298">
        <v>50780</v>
      </c>
      <c r="C298">
        <v>47004</v>
      </c>
    </row>
    <row r="299" spans="1:3">
      <c r="A299" t="str">
        <v>Diclofenaco 500mg - 20 Comprimidos - Medley (Genérico)</v>
      </c>
      <c r="B299">
        <v>228624</v>
      </c>
      <c r="C299">
        <v>227065</v>
      </c>
    </row>
    <row r="300" spans="1:3">
      <c r="A300" t="str">
        <v>Termômetro Digital Aptamil 400ml</v>
      </c>
      <c r="B300">
        <v>18438</v>
      </c>
      <c r="C300">
        <v>15855</v>
      </c>
    </row>
    <row r="301" spans="1:3">
      <c r="A301" t="str">
        <v>Absorvente com Abas Colgate 500ml</v>
      </c>
      <c r="B301">
        <v>77040</v>
      </c>
      <c r="C301">
        <v>71632</v>
      </c>
    </row>
    <row r="302" spans="1:3">
      <c r="A302" t="str">
        <v>Dipirona Sódica Suspensão Oral 50ml - Aché</v>
      </c>
      <c r="B302">
        <v>320640</v>
      </c>
      <c r="C302">
        <v>318516</v>
      </c>
    </row>
    <row r="303" spans="1:3">
      <c r="A303" t="str">
        <v>Hastes Flexíveis (Cotonetes) G-Tech FPS 50</v>
      </c>
      <c r="B303">
        <v>210448</v>
      </c>
      <c r="C303">
        <v>206083</v>
      </c>
    </row>
    <row r="304" spans="1:3">
      <c r="A304" t="str">
        <v>Losartana Potássica 500mg - 20 Comprimidos - Aché</v>
      </c>
      <c r="B304">
        <v>327705</v>
      </c>
      <c r="C304">
        <v>325995</v>
      </c>
    </row>
    <row r="305" spans="1:3">
      <c r="A305" t="str">
        <v>Paracetamol Suspensão Oral 50ml - Bayer</v>
      </c>
      <c r="B305">
        <v>131890</v>
      </c>
      <c r="C305">
        <v>123333</v>
      </c>
    </row>
    <row r="306" spans="1:3">
      <c r="A306" t="str">
        <v>Paracetamol 25mg - 30 Comprimidos - Medley (Genérico)</v>
      </c>
      <c r="B306">
        <v>376125</v>
      </c>
      <c r="C306">
        <v>367763</v>
      </c>
    </row>
    <row r="307" spans="1:3">
      <c r="A307" t="str">
        <v>Soro Fisiológico Nivea 50g</v>
      </c>
      <c r="B307">
        <v>253840</v>
      </c>
      <c r="C307">
        <v>250868</v>
      </c>
    </row>
    <row r="308" spans="1:3">
      <c r="A308" t="str">
        <v>Shampoo Anticaspa Mió 150ml</v>
      </c>
      <c r="B308">
        <v>170</v>
      </c>
      <c r="C308">
        <v>-4025</v>
      </c>
    </row>
    <row r="309" spans="1:3">
      <c r="A309" t="str">
        <v>Sabonete em Barra Needs 400ml</v>
      </c>
      <c r="B309">
        <v>1670</v>
      </c>
      <c r="C309">
        <v>-13293</v>
      </c>
    </row>
    <row r="310" spans="1:3">
      <c r="A310" t="str">
        <v>Amoxicilina 500mg - 20 Comprimidos - Eurofarma</v>
      </c>
      <c r="B310">
        <v>100629</v>
      </c>
      <c r="C310">
        <v>90904</v>
      </c>
    </row>
    <row r="311" spans="1:3">
      <c r="A311" t="str">
        <v>Metformina Pomada 30g - EMS (Genérico)</v>
      </c>
      <c r="B311">
        <v>24738</v>
      </c>
      <c r="C311">
        <v>19423</v>
      </c>
    </row>
    <row r="312" spans="1:3">
      <c r="A312" t="str">
        <v>Paracetamol Gotas 20ml - Medley (Genérico)</v>
      </c>
      <c r="B312">
        <v>23720</v>
      </c>
      <c r="C312">
        <v>20240</v>
      </c>
    </row>
    <row r="313" spans="1:3">
      <c r="A313" t="str">
        <v>Escitalopram Gotas 20ml - Aché</v>
      </c>
      <c r="B313">
        <v>25455</v>
      </c>
      <c r="C313">
        <v>21974</v>
      </c>
    </row>
    <row r="314" spans="1:3">
      <c r="A314" t="str">
        <v>Azitromicina Xarope 120ml - Eurofarma</v>
      </c>
      <c r="B314">
        <v>7476</v>
      </c>
      <c r="C314">
        <v>4880</v>
      </c>
    </row>
    <row r="315" spans="1:3">
      <c r="A315" t="str">
        <v>Termômetro Digital Rexona 400ml</v>
      </c>
      <c r="B315">
        <v>135144</v>
      </c>
      <c r="C315">
        <v>131391</v>
      </c>
    </row>
    <row r="316" spans="1:3">
      <c r="A316" t="str">
        <v>Omeprazol Pomada 30g - Bayer</v>
      </c>
      <c r="B316">
        <v>103950</v>
      </c>
      <c r="C316">
        <v>98871</v>
      </c>
    </row>
    <row r="317" spans="1:3">
      <c r="A317" t="str">
        <v>Protetor Solar Facial Johnson's 90g</v>
      </c>
      <c r="B317">
        <v>110176</v>
      </c>
      <c r="C317">
        <v>107498</v>
      </c>
    </row>
    <row r="318" spans="1:3">
      <c r="A318" t="str">
        <v>Pantoprazol 25mg - 30 Comprimidos - Eurofarma</v>
      </c>
      <c r="B318">
        <v>104295</v>
      </c>
      <c r="C318">
        <v>93180</v>
      </c>
    </row>
    <row r="319" spans="1:3">
      <c r="A319" t="str">
        <v>Azitromicina 50mg - 30 Comprimidos - Bayer</v>
      </c>
      <c r="B319">
        <v>157704</v>
      </c>
      <c r="C319">
        <v>154436</v>
      </c>
    </row>
    <row r="320" spans="1:3">
      <c r="A320" t="str">
        <v>Condicionador Hidratação Johnson's 500ml</v>
      </c>
      <c r="B320">
        <v>165312</v>
      </c>
      <c r="C320">
        <v>161032</v>
      </c>
    </row>
    <row r="321" spans="1:3">
      <c r="A321" t="str">
        <v>Vacina contra Colesterol Alto - Reforço</v>
      </c>
      <c r="B321">
        <v>139024</v>
      </c>
      <c r="C321">
        <v>132359</v>
      </c>
    </row>
    <row r="322" spans="1:3">
      <c r="A322" t="str">
        <v>Ibuprofeno 1g - 10 Comprimidos - Neo Química (Genérico)</v>
      </c>
      <c r="B322">
        <v>465960</v>
      </c>
      <c r="C322">
        <v>462128</v>
      </c>
    </row>
    <row r="323" spans="1:3">
      <c r="A323" t="str">
        <v>Creme Hidratante Sempre Livre 400ml</v>
      </c>
      <c r="B323">
        <v>43264</v>
      </c>
      <c r="C323">
        <v>35813</v>
      </c>
    </row>
    <row r="324" spans="1:3">
      <c r="A324" t="str">
        <v>Metformina Pomada 30g - Neo Química (Genérico)</v>
      </c>
      <c r="B324">
        <v>390348</v>
      </c>
      <c r="C324">
        <v>383239</v>
      </c>
    </row>
    <row r="325" spans="1:3">
      <c r="A325" t="str">
        <v>Sildenafila 1g - 10 Comprimidos - Neo Química (Genérico)</v>
      </c>
      <c r="B325">
        <v>43398</v>
      </c>
      <c r="C325">
        <v>38600</v>
      </c>
    </row>
    <row r="326" spans="1:3">
      <c r="A326" t="str">
        <v>Clonazepam Pomada 30g - Medley (Genérico)</v>
      </c>
      <c r="B326">
        <v>150315</v>
      </c>
      <c r="C326">
        <v>142878</v>
      </c>
    </row>
    <row r="327" spans="1:3">
      <c r="A327" t="str">
        <v>Sinvastatina 50mg - 30 Comprimidos - EMS (Genérico)</v>
      </c>
      <c r="B327">
        <v>37584</v>
      </c>
      <c r="C327">
        <v>37584</v>
      </c>
    </row>
    <row r="328" spans="1:3">
      <c r="A328" t="str">
        <v>Escitalopram 500mg - 20 Comprimidos - Aché</v>
      </c>
      <c r="B328">
        <v>9483</v>
      </c>
      <c r="C328">
        <v>6983</v>
      </c>
    </row>
    <row r="329" spans="1:3">
      <c r="A329" t="str">
        <v>Curativos (Band-Aid) Mió FPS 50</v>
      </c>
      <c r="B329">
        <v>162525</v>
      </c>
      <c r="C329">
        <v>155253</v>
      </c>
    </row>
    <row r="330" spans="1:3">
      <c r="A330" t="str">
        <v>Tadalafila 500mg - 20 Comprimidos - Eurofarma</v>
      </c>
      <c r="B330">
        <v>450408</v>
      </c>
      <c r="C330">
        <v>439598</v>
      </c>
    </row>
    <row r="331" spans="1:3">
      <c r="A331" t="str">
        <v>Diclofenaco Suspensão Oral 50ml - Bayer</v>
      </c>
      <c r="B331">
        <v>28818</v>
      </c>
      <c r="C331">
        <v>25129</v>
      </c>
    </row>
    <row r="332" spans="1:3">
      <c r="A332" t="str">
        <v>Amoxicilina 50mg - 30 Comprimidos - Aché</v>
      </c>
      <c r="B332">
        <v>3294</v>
      </c>
      <c r="C332">
        <v>-4312</v>
      </c>
    </row>
    <row r="333" spans="1:3">
      <c r="A333" t="str">
        <v>Diclofenaco Suspensão Oral 50ml - Neo Química (Genérico)</v>
      </c>
      <c r="B333">
        <v>166035</v>
      </c>
      <c r="C333">
        <v>161938</v>
      </c>
    </row>
    <row r="334" spans="1:3">
      <c r="A334" t="str">
        <v>Sinvastatina 50mg - 30 Comprimidos - Neo Química (Genérico)</v>
      </c>
      <c r="B334">
        <v>70770</v>
      </c>
      <c r="C334">
        <v>63113</v>
      </c>
    </row>
    <row r="335" spans="1:3">
      <c r="A335" t="str">
        <v>Creme Dental Clear 50g</v>
      </c>
      <c r="B335">
        <v>26404</v>
      </c>
      <c r="C335">
        <v>20959</v>
      </c>
    </row>
    <row r="336" spans="1:3">
      <c r="A336" t="str">
        <v>Atenolol 50mg - 30 Comprimidos - Aché</v>
      </c>
      <c r="B336">
        <v>280928</v>
      </c>
      <c r="C336">
        <v>275183</v>
      </c>
    </row>
    <row r="337" spans="1:3">
      <c r="A337" t="str">
        <v>Vacina contra Artrite - Reforço</v>
      </c>
      <c r="B337">
        <v>24965</v>
      </c>
      <c r="C337">
        <v>17804</v>
      </c>
    </row>
    <row r="338" spans="1:3">
      <c r="A338" t="str">
        <v>Paracetamol 25mg - 30 Comprimidos - EMS (Genérico)</v>
      </c>
      <c r="B338">
        <v>343120</v>
      </c>
      <c r="C338">
        <v>338228</v>
      </c>
    </row>
    <row r="339" spans="1:3">
      <c r="A339" t="str">
        <v>Clonazepam 25mg - 30 Comprimidos - Bayer</v>
      </c>
      <c r="B339">
        <v>344196</v>
      </c>
      <c r="C339">
        <v>332561</v>
      </c>
    </row>
    <row r="340" spans="1:3">
      <c r="A340" t="str">
        <v>Sildenafila 25mg - 30 Comprimidos - Medley (Genérico)</v>
      </c>
      <c r="B340">
        <v>98800</v>
      </c>
      <c r="C340">
        <v>86767</v>
      </c>
    </row>
    <row r="341" spans="1:3">
      <c r="A341" t="str">
        <v>Água Micelar Colgate 500ml</v>
      </c>
      <c r="B341">
        <v>159828</v>
      </c>
      <c r="C341">
        <v>154896</v>
      </c>
    </row>
    <row r="342" spans="1:3">
      <c r="A342" t="str">
        <v>Vacina contra Acne - Reforço</v>
      </c>
      <c r="B342">
        <v>274352</v>
      </c>
      <c r="C342">
        <v>264272</v>
      </c>
    </row>
    <row r="343" spans="1:3">
      <c r="A343" t="str">
        <v>Fio Dental La Roche-Posay FPS 50</v>
      </c>
      <c r="B343">
        <v>14624</v>
      </c>
      <c r="C343">
        <v>10316</v>
      </c>
    </row>
    <row r="344" spans="1:3">
      <c r="A344" t="str">
        <v>Nimesulida Xarope 120ml - Eurofarma</v>
      </c>
      <c r="B344">
        <v>173342</v>
      </c>
      <c r="C344">
        <v>170195</v>
      </c>
    </row>
    <row r="345" spans="1:3">
      <c r="A345" t="str">
        <v>Escitalopram 500mg - 20 Comprimidos - Medley (Genérico)</v>
      </c>
      <c r="B345">
        <v>133929</v>
      </c>
      <c r="C345">
        <v>132315</v>
      </c>
    </row>
    <row r="346" spans="1:3">
      <c r="A346" t="str">
        <v>Tadalafila Suspensão Oral 50ml - EMS (Genérico)</v>
      </c>
      <c r="B346">
        <v>21528</v>
      </c>
      <c r="C346">
        <v>5109</v>
      </c>
    </row>
    <row r="347" spans="1:3">
      <c r="A347" t="str">
        <v>Diclofenaco Xarope 120ml - Eurofarma</v>
      </c>
      <c r="B347">
        <v>62091</v>
      </c>
      <c r="C347">
        <v>59341</v>
      </c>
    </row>
    <row r="348" spans="1:3">
      <c r="A348" t="str">
        <v>Curativos (Band-Aid) Clear 400ml</v>
      </c>
      <c r="B348">
        <v>145818</v>
      </c>
      <c r="C348">
        <v>144112</v>
      </c>
    </row>
    <row r="349" spans="1:3">
      <c r="A349" t="str">
        <v>Nimesulida 1g - 10 Comprimidos - EMS (Genérico)</v>
      </c>
      <c r="B349">
        <v>46452</v>
      </c>
      <c r="C349">
        <v>41135</v>
      </c>
    </row>
    <row r="350" spans="1:3">
      <c r="A350" t="str">
        <v>Cefalexina 50mg - 30 Comprimidos - Eurofarma</v>
      </c>
      <c r="B350">
        <v>16280</v>
      </c>
      <c r="C350">
        <v>4985</v>
      </c>
    </row>
    <row r="351" spans="1:3">
      <c r="A351" t="str">
        <v>Cefalexina Gotas 20ml - Medley (Genérico)</v>
      </c>
      <c r="B351">
        <v>228885</v>
      </c>
      <c r="C351">
        <v>227334</v>
      </c>
    </row>
    <row r="352" spans="1:3">
      <c r="A352" t="str">
        <v>Soro Fisiológico Dove FPS 70</v>
      </c>
      <c r="B352">
        <v>256178</v>
      </c>
      <c r="C352">
        <v>239851</v>
      </c>
    </row>
    <row r="353" spans="1:3">
      <c r="A353" t="str">
        <v>Dipirona Sódica 1g - 10 Comprimidos - EMS (Genérico)</v>
      </c>
      <c r="B353">
        <v>2464</v>
      </c>
      <c r="C353">
        <v>-1944</v>
      </c>
    </row>
    <row r="354" spans="1:3">
      <c r="A354" t="str">
        <v>Desodorante Roll-on Bepantol 50g</v>
      </c>
      <c r="B354">
        <v>1980</v>
      </c>
      <c r="C354">
        <v>-6303</v>
      </c>
    </row>
    <row r="355" spans="1:3">
      <c r="A355" t="str">
        <v>Losartana Potássica Pomada 30g - Bayer</v>
      </c>
      <c r="B355">
        <v>525481</v>
      </c>
      <c r="C355">
        <v>517955</v>
      </c>
    </row>
    <row r="356" spans="1:3">
      <c r="A356" t="str">
        <v>Tadalafila Gotas 20ml - Eurofarma</v>
      </c>
      <c r="B356">
        <v>65028</v>
      </c>
      <c r="C356">
        <v>55790</v>
      </c>
    </row>
    <row r="357" spans="1:3">
      <c r="A357" t="str">
        <v>Losartana Potássica 1g - 10 Comprimidos - Medley (Genérico)</v>
      </c>
      <c r="B357">
        <v>49608</v>
      </c>
      <c r="C357">
        <v>43095</v>
      </c>
    </row>
    <row r="358" spans="1:3">
      <c r="A358" t="str">
        <v>Enxaguante Bucal Johnson's FPS 50</v>
      </c>
      <c r="B358">
        <v>328944</v>
      </c>
      <c r="C358">
        <v>317400</v>
      </c>
    </row>
    <row r="359" spans="1:3">
      <c r="A359" t="str">
        <v>Curativos (Band-Aid) Dove Tamanho M (40 un)</v>
      </c>
      <c r="B359">
        <v>46116</v>
      </c>
      <c r="C359">
        <v>33013</v>
      </c>
    </row>
    <row r="360" spans="1:3">
      <c r="A360" t="str">
        <v>Loratadina 500mg - 20 Comprimidos - Aché</v>
      </c>
      <c r="B360">
        <v>214160</v>
      </c>
      <c r="C360">
        <v>211725</v>
      </c>
    </row>
    <row r="361" spans="1:3">
      <c r="A361" t="str">
        <v>Vacina contra Câncer de Próstata - Reforço</v>
      </c>
      <c r="B361">
        <v>15624</v>
      </c>
      <c r="C361">
        <v>8072</v>
      </c>
    </row>
    <row r="362" spans="1:3">
      <c r="A362" t="str">
        <v>Protetor Solar Facial Pampers 200ml</v>
      </c>
      <c r="B362">
        <v>62898</v>
      </c>
      <c r="C362">
        <v>57594</v>
      </c>
    </row>
    <row r="363" spans="1:3">
      <c r="A363" t="str">
        <v>Loratadina Suspensão Oral 50ml - Eurofarma</v>
      </c>
      <c r="B363">
        <v>441320</v>
      </c>
      <c r="C363">
        <v>438265</v>
      </c>
    </row>
    <row r="364" spans="1:3">
      <c r="A364" t="str">
        <v>Pomada para Assaduras Huggies Tamanho G (32 un)</v>
      </c>
      <c r="B364">
        <v>82464</v>
      </c>
      <c r="C364">
        <v>74961</v>
      </c>
    </row>
    <row r="365" spans="1:3">
      <c r="A365" t="str">
        <v>Vacina contra Infecção Urinária - Reforço</v>
      </c>
      <c r="B365">
        <v>142914</v>
      </c>
      <c r="C365">
        <v>134785</v>
      </c>
    </row>
    <row r="366" spans="1:3">
      <c r="A366" t="str">
        <v>Desodorante Roll-on Needs 150ml</v>
      </c>
      <c r="B366">
        <v>267751</v>
      </c>
      <c r="C366">
        <v>255685</v>
      </c>
    </row>
    <row r="367" spans="1:3">
      <c r="A367" t="str">
        <v>Nimesulida Gotas 20ml - Aché</v>
      </c>
      <c r="B367">
        <v>101892</v>
      </c>
      <c r="C367">
        <v>93070</v>
      </c>
    </row>
    <row r="368" spans="1:3">
      <c r="A368" t="str">
        <v>Vacina contra Pneumonia - Dose Única</v>
      </c>
      <c r="B368">
        <v>36894</v>
      </c>
      <c r="C368">
        <v>30661</v>
      </c>
    </row>
    <row r="369" spans="1:3">
      <c r="A369" t="str">
        <v>Condicionador Hidratação Needs 200ml</v>
      </c>
      <c r="B369">
        <v>222348</v>
      </c>
      <c r="C369">
        <v>217157</v>
      </c>
    </row>
    <row r="370" spans="1:3">
      <c r="A370" t="str">
        <v>Escitalopram 1g - 10 Comprimidos - EMS (Genérico)</v>
      </c>
      <c r="B370">
        <v>186752</v>
      </c>
      <c r="C370">
        <v>176606</v>
      </c>
    </row>
    <row r="371" spans="1:3">
      <c r="A371" t="str">
        <v>Protetor Solar Facial CeraVe FPS 50</v>
      </c>
      <c r="B371">
        <v>490455</v>
      </c>
      <c r="C371">
        <v>486827</v>
      </c>
    </row>
    <row r="372" spans="1:3">
      <c r="A372" t="str">
        <v>Condicionador Hidratação Mió 150ml</v>
      </c>
      <c r="B372">
        <v>71196</v>
      </c>
      <c r="C372">
        <v>65374</v>
      </c>
    </row>
    <row r="373" spans="1:3">
      <c r="A373" t="str">
        <v>Vacina contra Trombose - Dose Única</v>
      </c>
      <c r="B373">
        <v>101430</v>
      </c>
      <c r="C373">
        <v>85339</v>
      </c>
    </row>
    <row r="374" spans="1:3">
      <c r="A374" t="str">
        <v>Diclofenaco Pomada 30g - Bayer</v>
      </c>
      <c r="B374">
        <v>350948</v>
      </c>
      <c r="C374">
        <v>343457</v>
      </c>
    </row>
    <row r="375" spans="1:3">
      <c r="A375" t="str">
        <v>Vacina contra Anemia - Dose Única</v>
      </c>
      <c r="B375">
        <v>215990</v>
      </c>
      <c r="C375">
        <v>213934</v>
      </c>
    </row>
    <row r="376" spans="1:3">
      <c r="A376" t="str">
        <v>Pantoprazol 50mg - 30 Comprimidos - Aché</v>
      </c>
      <c r="B376">
        <v>348390</v>
      </c>
      <c r="C376">
        <v>344381</v>
      </c>
    </row>
    <row r="377" spans="1:3">
      <c r="A377" t="str">
        <v>Curativos (Band-Aid) Listerine FPS 70</v>
      </c>
      <c r="B377">
        <v>414687</v>
      </c>
      <c r="C377">
        <v>412368</v>
      </c>
    </row>
    <row r="378" spans="1:3">
      <c r="A378" t="str">
        <v>Fluoxetina 25mg - 30 Comprimidos - EMS (Genérico)</v>
      </c>
      <c r="B378">
        <v>150012</v>
      </c>
      <c r="C378">
        <v>143336</v>
      </c>
    </row>
    <row r="379" spans="1:3">
      <c r="A379" t="str">
        <v>Sildenafila 1g - 10 Comprimidos - EMS (Genérico)</v>
      </c>
      <c r="B379">
        <v>58437</v>
      </c>
      <c r="C379">
        <v>50392</v>
      </c>
    </row>
    <row r="380" spans="1:3">
      <c r="A380" t="str">
        <v>Sérum Vitamina C Needs FPS 70</v>
      </c>
      <c r="B380">
        <v>121167</v>
      </c>
      <c r="C380">
        <v>114943</v>
      </c>
    </row>
    <row r="381" spans="1:3">
      <c r="A381" t="str">
        <v>Dipirona Sódica Xarope 120ml - Neo Química (Genérico)</v>
      </c>
      <c r="B381">
        <v>247494</v>
      </c>
      <c r="C381">
        <v>245758</v>
      </c>
    </row>
    <row r="382" spans="1:3">
      <c r="A382" t="str">
        <v>Loratadina Suspensão Oral 50ml - Neo Química (Genérico)</v>
      </c>
      <c r="B382">
        <v>209171</v>
      </c>
      <c r="C382">
        <v>205389</v>
      </c>
    </row>
    <row r="383" spans="1:3">
      <c r="A383" t="str">
        <v>Sinvastatina Suspensão Oral 50ml - Medley (Genérico)</v>
      </c>
      <c r="B383">
        <v>160821</v>
      </c>
      <c r="C383">
        <v>154092</v>
      </c>
    </row>
    <row r="384" spans="1:3">
      <c r="A384" t="str">
        <v>Clonazepam Pomada 30g - Aché</v>
      </c>
      <c r="B384">
        <v>541323</v>
      </c>
      <c r="C384">
        <v>532492</v>
      </c>
    </row>
    <row r="385" spans="1:3">
      <c r="A385" t="str">
        <v>Enxaguante Bucal Dove 50 Metros</v>
      </c>
      <c r="B385">
        <v>251769</v>
      </c>
      <c r="C385">
        <v>246608</v>
      </c>
    </row>
    <row r="386" spans="1:3">
      <c r="A386" t="str">
        <v>Condicionador Hidratação Huggies 90g</v>
      </c>
      <c r="B386">
        <v>221056</v>
      </c>
      <c r="C386">
        <v>209348</v>
      </c>
    </row>
    <row r="387" spans="1:3">
      <c r="A387" t="str">
        <v>Ibuprofeno Suspensão Oral 50ml - Bayer</v>
      </c>
      <c r="B387">
        <v>11016</v>
      </c>
      <c r="C387">
        <v>6002</v>
      </c>
    </row>
    <row r="388" spans="1:3">
      <c r="A388" t="str">
        <v>Dipirona Sódica Gotas 20ml - Eurofarma</v>
      </c>
      <c r="B388">
        <v>332808</v>
      </c>
      <c r="C388">
        <v>329601</v>
      </c>
    </row>
    <row r="389" spans="1:3">
      <c r="A389" t="str">
        <v>Sinvastatina 1g - 10 Comprimidos - EMS (Genérico)</v>
      </c>
      <c r="B389">
        <v>60190</v>
      </c>
      <c r="C389">
        <v>55859</v>
      </c>
    </row>
    <row r="390" spans="1:3">
      <c r="A390" t="str">
        <v>Sabonete em Barra Huggies FPS 70</v>
      </c>
      <c r="B390">
        <v>29822</v>
      </c>
      <c r="C390">
        <v>21428</v>
      </c>
    </row>
    <row r="391" spans="1:3">
      <c r="A391" t="str">
        <v>Sinvastatina Pomada 30g - Bayer</v>
      </c>
      <c r="B391">
        <v>41808</v>
      </c>
      <c r="C391">
        <v>34587</v>
      </c>
    </row>
    <row r="392" spans="1:3">
      <c r="A392" t="str">
        <v>Pantoprazol Gotas 20ml - EMS (Genérico)</v>
      </c>
      <c r="B392">
        <v>81945</v>
      </c>
      <c r="C392">
        <v>75042</v>
      </c>
    </row>
    <row r="393" spans="1:3">
      <c r="A393" t="str">
        <v>Vacina contra Zika - Dose Única</v>
      </c>
      <c r="B393">
        <v>142758</v>
      </c>
      <c r="C393">
        <v>136017</v>
      </c>
    </row>
    <row r="394" spans="1:3">
      <c r="A394" t="str">
        <v>Clonazepam 25mg - 30 Comprimidos - EMS (Genérico)</v>
      </c>
      <c r="B394">
        <v>345282</v>
      </c>
      <c r="C394">
        <v>335380</v>
      </c>
    </row>
    <row r="395" spans="1:3">
      <c r="A395" t="str">
        <v>Vacina contra Hipertensão - Reforço</v>
      </c>
      <c r="B395">
        <v>195993</v>
      </c>
      <c r="C395">
        <v>190182</v>
      </c>
    </row>
    <row r="396" spans="1:3">
      <c r="A396" t="str">
        <v>Leite em Pó Infantil Nivea FPS 50</v>
      </c>
      <c r="B396">
        <v>30710</v>
      </c>
      <c r="C396">
        <v>22558</v>
      </c>
    </row>
    <row r="397" spans="1:3">
      <c r="A397" t="str">
        <v>Soro Fisiológico Pampers 400ml</v>
      </c>
      <c r="B397">
        <v>337280</v>
      </c>
      <c r="C397">
        <v>333721</v>
      </c>
    </row>
    <row r="398" spans="1:3">
      <c r="A398" t="str">
        <v>Fluoxetina Xarope 120ml - Eurofarma</v>
      </c>
      <c r="B398">
        <v>173901</v>
      </c>
      <c r="C398">
        <v>170586</v>
      </c>
    </row>
    <row r="399" spans="1:3">
      <c r="A399" t="str">
        <v>Loratadina 1g - 10 Comprimidos - EMS (Genérico)</v>
      </c>
      <c r="B399">
        <v>51219</v>
      </c>
      <c r="C399">
        <v>40158</v>
      </c>
    </row>
    <row r="400" spans="1:3">
      <c r="A400" t="str">
        <v>Losartana Potássica 500mg - 20 Comprimidos - EMS (Genérico)</v>
      </c>
      <c r="B400">
        <v>265226</v>
      </c>
      <c r="C400">
        <v>256885</v>
      </c>
    </row>
    <row r="401" spans="1:3">
      <c r="A401" t="str">
        <v>Sildenafila Suspensão Oral 50ml - Eurofarma</v>
      </c>
      <c r="B401">
        <v>257089</v>
      </c>
      <c r="C401">
        <v>241135</v>
      </c>
    </row>
    <row r="402" spans="1:3">
      <c r="A402" t="str">
        <v>Desodorante Roll-on G-Tech 500ml</v>
      </c>
      <c r="B402">
        <v>107120</v>
      </c>
      <c r="C402">
        <v>107120</v>
      </c>
    </row>
    <row r="403" spans="1:3">
      <c r="A403" t="str">
        <v>Tadalafila Pomada 30g - Neo Química (Genérico)</v>
      </c>
      <c r="B403">
        <v>265213</v>
      </c>
      <c r="C403">
        <v>261205</v>
      </c>
    </row>
    <row r="404" spans="1:3">
      <c r="A404" t="str">
        <v>Azitromicina 25mg - 30 Comprimidos - Medley (Genérico)</v>
      </c>
      <c r="B404">
        <v>128304</v>
      </c>
      <c r="C404">
        <v>124861</v>
      </c>
    </row>
    <row r="405" spans="1:3">
      <c r="A405" t="str">
        <v>Cefalexina Xarope 120ml - Eurofarma</v>
      </c>
      <c r="B405">
        <v>178596</v>
      </c>
      <c r="C405">
        <v>171888</v>
      </c>
    </row>
    <row r="406" spans="1:3">
      <c r="A406" t="str">
        <v>Enalapril Gotas 20ml - Medley (Genérico)</v>
      </c>
      <c r="B406">
        <v>144960</v>
      </c>
      <c r="C406">
        <v>142582</v>
      </c>
    </row>
    <row r="407" spans="1:3">
      <c r="A407" t="str">
        <v>Vacina contra Gota - Reforço</v>
      </c>
      <c r="B407">
        <v>264474</v>
      </c>
      <c r="C407">
        <v>260184</v>
      </c>
    </row>
    <row r="408" spans="1:3">
      <c r="A408" t="str">
        <v>Protetor Solar Corporal Panvel 50g</v>
      </c>
      <c r="B408">
        <v>421328</v>
      </c>
      <c r="C408">
        <v>413195</v>
      </c>
    </row>
    <row r="409" spans="1:3">
      <c r="A409" t="str">
        <v>Vacina contra Cirrose - Reforço</v>
      </c>
      <c r="B409">
        <v>271936</v>
      </c>
      <c r="C409">
        <v>265467</v>
      </c>
    </row>
    <row r="410" spans="1:3">
      <c r="A410" t="str">
        <v>Vacina contra Dermatite - Reforço</v>
      </c>
      <c r="B410">
        <v>155870</v>
      </c>
      <c r="C410">
        <v>155043</v>
      </c>
    </row>
    <row r="411" spans="1:3">
      <c r="A411" t="str">
        <v>Diclofenaco 50mg - 30 Comprimidos - EMS (Genérico)</v>
      </c>
      <c r="B411">
        <v>215992</v>
      </c>
      <c r="C411">
        <v>206733</v>
      </c>
    </row>
    <row r="412" spans="1:3">
      <c r="A412" t="str">
        <v>Cefalexina Xarope 120ml - Aché</v>
      </c>
      <c r="B412">
        <v>238862</v>
      </c>
      <c r="C412">
        <v>226531</v>
      </c>
    </row>
    <row r="413" spans="1:3">
      <c r="A413" t="str">
        <v>Vacina contra Gripe - Reforço</v>
      </c>
      <c r="B413">
        <v>37176</v>
      </c>
      <c r="C413">
        <v>32913</v>
      </c>
    </row>
    <row r="414" spans="1:3">
      <c r="A414" t="str">
        <v>Vacina contra Conjuntivite - Dose Única</v>
      </c>
      <c r="B414">
        <v>105017</v>
      </c>
      <c r="C414">
        <v>99749</v>
      </c>
    </row>
    <row r="415" spans="1:3">
      <c r="A415" t="str">
        <v>Sertralina Suspensão Oral 50ml - Aché</v>
      </c>
      <c r="B415">
        <v>170742</v>
      </c>
      <c r="C415">
        <v>164146</v>
      </c>
    </row>
    <row r="416" spans="1:3">
      <c r="A416" t="str">
        <v>Termômetro Digital Listerine 400ml</v>
      </c>
      <c r="B416">
        <v>392403</v>
      </c>
      <c r="C416">
        <v>388119</v>
      </c>
    </row>
    <row r="417" spans="1:3">
      <c r="A417" t="str">
        <v>Pantoprazol 25mg - 30 Comprimidos - Aché</v>
      </c>
      <c r="B417">
        <v>147630</v>
      </c>
      <c r="C417">
        <v>143598</v>
      </c>
    </row>
    <row r="418" spans="1:3">
      <c r="A418" t="str">
        <v>Escitalopram Pomada 30g - Bayer</v>
      </c>
      <c r="B418">
        <v>98532</v>
      </c>
      <c r="C418">
        <v>96790</v>
      </c>
    </row>
    <row r="419" spans="1:3">
      <c r="A419" t="str">
        <v>Enalapril 1g - 10 Comprimidos - Neo Química (Genérico)</v>
      </c>
      <c r="B419">
        <v>43992</v>
      </c>
      <c r="C419">
        <v>35659</v>
      </c>
    </row>
    <row r="420" spans="1:3">
      <c r="A420" t="str">
        <v>Fralda Descartável Rexona Tamanho G (32 un)</v>
      </c>
      <c r="B420">
        <v>215558</v>
      </c>
      <c r="C420">
        <v>200686</v>
      </c>
    </row>
    <row r="421" spans="1:3">
      <c r="A421" t="str">
        <v>Sinvastatina 1g - 10 Comprimidos - Eurofarma</v>
      </c>
      <c r="B421">
        <v>52515</v>
      </c>
      <c r="C421">
        <v>48943</v>
      </c>
    </row>
    <row r="422" spans="1:3">
      <c r="A422" t="str">
        <v>Paracetamol 500mg - 20 Comprimidos - EMS (Genérico)</v>
      </c>
      <c r="B422">
        <v>462500</v>
      </c>
      <c r="C422">
        <v>461895</v>
      </c>
    </row>
    <row r="423" spans="1:3">
      <c r="A423" t="str">
        <v>Losartana Potássica 50mg - 30 Comprimidos - Aché</v>
      </c>
      <c r="B423">
        <v>374289</v>
      </c>
      <c r="C423">
        <v>370218</v>
      </c>
    </row>
    <row r="424" spans="1:3">
      <c r="A424" t="str">
        <v>Diclofenaco Gotas 20ml - Bayer</v>
      </c>
      <c r="B424">
        <v>84024</v>
      </c>
      <c r="C424">
        <v>82557</v>
      </c>
    </row>
    <row r="425" spans="1:3">
      <c r="A425" t="str">
        <v>Vacina contra Melanoma - Reforço</v>
      </c>
      <c r="B425">
        <v>177810</v>
      </c>
      <c r="C425">
        <v>171784</v>
      </c>
    </row>
    <row r="426" spans="1:3">
      <c r="A426" t="str">
        <v>Amoxicilina 500mg - 20 Comprimidos - Aché</v>
      </c>
      <c r="B426">
        <v>102080</v>
      </c>
      <c r="C426">
        <v>90846</v>
      </c>
    </row>
    <row r="427" spans="1:3">
      <c r="A427" t="str">
        <v>Diclofenaco Pomada 30g - Medley (Genérico)</v>
      </c>
      <c r="B427">
        <v>97372</v>
      </c>
      <c r="C427">
        <v>82736</v>
      </c>
    </row>
    <row r="428" spans="1:3">
      <c r="A428" t="str">
        <v>Fralda Descartável Bepantol 400ml</v>
      </c>
      <c r="B428">
        <v>231828</v>
      </c>
      <c r="C428">
        <v>222167</v>
      </c>
    </row>
    <row r="429" spans="1:3">
      <c r="A429" t="str">
        <v>Fio Dental Nivea Tamanho M (40 un)</v>
      </c>
      <c r="B429">
        <v>121976</v>
      </c>
      <c r="C429">
        <v>119636</v>
      </c>
    </row>
    <row r="430" spans="1:3">
      <c r="A430" t="str">
        <v>Álcool em Gel 70% Nivea FPS 50</v>
      </c>
      <c r="B430">
        <v>107706</v>
      </c>
      <c r="C430">
        <v>101697</v>
      </c>
    </row>
    <row r="431" spans="1:3">
      <c r="A431" t="str">
        <v>Nimesulida Gotas 20ml - EMS (Genérico)</v>
      </c>
      <c r="B431">
        <v>32384</v>
      </c>
      <c r="C431">
        <v>28266</v>
      </c>
    </row>
    <row r="432" spans="1:3">
      <c r="A432" t="str">
        <v>Creme Hidratante G-Tech Tamanho G (32 un)</v>
      </c>
      <c r="B432">
        <v>24240</v>
      </c>
      <c r="C432">
        <v>21144</v>
      </c>
    </row>
    <row r="433" spans="1:3">
      <c r="A433" t="str">
        <v>Ibuprofeno Suspensão Oral 50ml - Eurofarma</v>
      </c>
      <c r="B433">
        <v>30832</v>
      </c>
      <c r="C433">
        <v>26310</v>
      </c>
    </row>
    <row r="434" spans="1:3">
      <c r="A434" t="str">
        <v>Sérum Vitamina C Nivea 200ml</v>
      </c>
      <c r="B434">
        <v>371445</v>
      </c>
      <c r="C434">
        <v>357390</v>
      </c>
    </row>
    <row r="435" spans="1:3">
      <c r="A435" t="str">
        <v>Paracetamol 50mg - 30 Comprimidos - Eurofarma</v>
      </c>
      <c r="B435">
        <v>258888</v>
      </c>
      <c r="C435">
        <v>258888</v>
      </c>
    </row>
    <row r="436" spans="1:3">
      <c r="A436" t="str">
        <v>Clonazepam 1g - 10 Comprimidos - Eurofarma</v>
      </c>
      <c r="B436">
        <v>91936</v>
      </c>
      <c r="C436">
        <v>82089</v>
      </c>
    </row>
    <row r="437" spans="1:3">
      <c r="A437" t="str">
        <v>Enxaguante Bucal Sempre Livre Tamanho G (32 un)</v>
      </c>
      <c r="B437">
        <v>96761</v>
      </c>
      <c r="C437">
        <v>93956</v>
      </c>
    </row>
    <row r="438" spans="1:3">
      <c r="A438" t="str">
        <v>Escitalopram 1g - 10 Comprimidos - Medley (Genérico)</v>
      </c>
      <c r="B438">
        <v>120555</v>
      </c>
      <c r="C438">
        <v>115744</v>
      </c>
    </row>
    <row r="439" spans="1:3">
      <c r="A439" t="str">
        <v>Losartana Potássica Pomada 30g - Neo Química (Genérico)</v>
      </c>
      <c r="B439">
        <v>274104</v>
      </c>
      <c r="C439">
        <v>269256</v>
      </c>
    </row>
    <row r="440" spans="1:3">
      <c r="A440" t="str">
        <v>Leite em Pó Infantil Mió FPS 50</v>
      </c>
      <c r="B440">
        <v>404925</v>
      </c>
      <c r="C440">
        <v>397847</v>
      </c>
    </row>
    <row r="441" spans="1:3">
      <c r="A441" t="str">
        <v>Vacina contra Trombose - Reforço</v>
      </c>
      <c r="B441">
        <v>12546</v>
      </c>
      <c r="C441">
        <v>6759</v>
      </c>
    </row>
    <row r="442" spans="1:3">
      <c r="A442" t="str">
        <v>Vacina contra Leucemia - Reforço</v>
      </c>
      <c r="B442">
        <v>171968</v>
      </c>
      <c r="C442">
        <v>150787</v>
      </c>
    </row>
    <row r="443" spans="1:3">
      <c r="A443" t="str">
        <v>Protetor Solar Facial Rexona Tamanho G (32 un)</v>
      </c>
      <c r="B443">
        <v>44730</v>
      </c>
      <c r="C443">
        <v>42705</v>
      </c>
    </row>
    <row r="444" spans="1:3">
      <c r="A444" t="str">
        <v>Paracetamol Xarope 120ml - Medley (Genérico)</v>
      </c>
      <c r="B444">
        <v>113505</v>
      </c>
      <c r="C444">
        <v>113505</v>
      </c>
    </row>
    <row r="445" spans="1:3">
      <c r="A445" t="str">
        <v>Cefalexina Suspensão Oral 50ml - Medley (Genérico)</v>
      </c>
      <c r="B445">
        <v>108708</v>
      </c>
      <c r="C445">
        <v>103269</v>
      </c>
    </row>
    <row r="446" spans="1:3">
      <c r="A446" t="str">
        <v>Cefalexina Suspensão Oral 50ml - Neo Química (Genérico)</v>
      </c>
      <c r="B446">
        <v>259875</v>
      </c>
      <c r="C446">
        <v>257425</v>
      </c>
    </row>
    <row r="447" spans="1:3">
      <c r="A447" t="str">
        <v>Azitromicina 1g - 10 Comprimidos - Medley (Genérico)</v>
      </c>
      <c r="B447">
        <v>301574</v>
      </c>
      <c r="C447">
        <v>293210</v>
      </c>
    </row>
    <row r="448" spans="1:3">
      <c r="A448" t="str">
        <v>Protetor Solar Facial Rexona 50 Metros</v>
      </c>
      <c r="B448">
        <v>219464</v>
      </c>
      <c r="C448">
        <v>211137</v>
      </c>
    </row>
    <row r="449" spans="1:3">
      <c r="A449" t="str">
        <v>Pantoprazol Pomada 30g - EMS (Genérico)</v>
      </c>
      <c r="B449">
        <v>112430</v>
      </c>
      <c r="C449">
        <v>110698</v>
      </c>
    </row>
    <row r="450" spans="1:3">
      <c r="A450" t="str">
        <v>Ibuprofeno 500mg - 20 Comprimidos - EMS (Genérico)</v>
      </c>
      <c r="B450">
        <v>493983</v>
      </c>
      <c r="C450">
        <v>483055</v>
      </c>
    </row>
    <row r="451" spans="1:3">
      <c r="A451" t="str">
        <v>Escitalopram 50mg - 30 Comprimidos - Bayer</v>
      </c>
      <c r="B451">
        <v>392768</v>
      </c>
      <c r="C451">
        <v>388577</v>
      </c>
    </row>
    <row r="452" spans="1:3">
      <c r="A452" t="str">
        <v>Álcool em Gel 70% La Roche-Posay 150ml</v>
      </c>
      <c r="B452">
        <v>110835</v>
      </c>
      <c r="C452">
        <v>110835</v>
      </c>
    </row>
    <row r="453" spans="1:3">
      <c r="A453" t="str">
        <v>Sabonete Líquido Rexona 90g</v>
      </c>
      <c r="B453">
        <v>433884</v>
      </c>
      <c r="C453">
        <v>431119</v>
      </c>
    </row>
    <row r="454" spans="1:3">
      <c r="A454" t="str">
        <v>Loratadina Xarope 120ml - Medley (Genérico)</v>
      </c>
      <c r="B454">
        <v>173641</v>
      </c>
      <c r="C454">
        <v>170786</v>
      </c>
    </row>
    <row r="455" spans="1:3">
      <c r="A455" t="str">
        <v>Loratadina Suspensão Oral 50ml - Medley (Genérico)</v>
      </c>
      <c r="B455">
        <v>125910</v>
      </c>
      <c r="C455">
        <v>120760</v>
      </c>
    </row>
    <row r="456" spans="1:3">
      <c r="A456" t="str">
        <v>Omeprazol Gotas 20ml - Medley (Genérico)</v>
      </c>
      <c r="B456">
        <v>230139</v>
      </c>
      <c r="C456">
        <v>224912</v>
      </c>
    </row>
    <row r="457" spans="1:3">
      <c r="A457" t="str">
        <v>Tadalafila 500mg - 20 Comprimidos - Medley (Genérico)</v>
      </c>
      <c r="B457">
        <v>91836</v>
      </c>
      <c r="C457">
        <v>89571</v>
      </c>
    </row>
    <row r="458" spans="1:3">
      <c r="A458" t="str">
        <v>Loratadina 500mg - 20 Comprimidos - Neo Química (Genérico)</v>
      </c>
      <c r="B458">
        <v>413608</v>
      </c>
      <c r="C458">
        <v>398939</v>
      </c>
    </row>
    <row r="459" spans="1:3">
      <c r="A459" t="str">
        <v>Cefalexina Suspensão Oral 50ml - Eurofarma</v>
      </c>
      <c r="B459">
        <v>8645</v>
      </c>
      <c r="C459">
        <v>8645</v>
      </c>
    </row>
    <row r="460" spans="1:3">
      <c r="A460" t="str">
        <v>Diclofenaco Gotas 20ml - Aché</v>
      </c>
      <c r="B460">
        <v>72512</v>
      </c>
      <c r="C460">
        <v>57082</v>
      </c>
    </row>
    <row r="461" spans="1:3">
      <c r="A461" t="str">
        <v>Pomada para Assaduras Vichy FPS 70</v>
      </c>
      <c r="B461">
        <v>177350</v>
      </c>
      <c r="C461">
        <v>166694</v>
      </c>
    </row>
    <row r="462" spans="1:3">
      <c r="A462" t="str">
        <v>Amoxicilina 1g - 10 Comprimidos - Bayer</v>
      </c>
      <c r="B462">
        <v>8074</v>
      </c>
      <c r="C462">
        <v>739</v>
      </c>
    </row>
    <row r="463" spans="1:3">
      <c r="A463" t="str">
        <v>Nimesulida 50mg - 30 Comprimidos - Medley (Genérico)</v>
      </c>
      <c r="B463">
        <v>16772</v>
      </c>
      <c r="C463">
        <v>8119</v>
      </c>
    </row>
    <row r="464" spans="1:3">
      <c r="A464" t="str">
        <v>Loratadina 50mg - 30 Comprimidos - Aché</v>
      </c>
      <c r="B464">
        <v>16556</v>
      </c>
      <c r="C464">
        <v>16556</v>
      </c>
    </row>
    <row r="465" spans="1:3">
      <c r="A465" t="str">
        <v>Fluoxetina Xarope 120ml - Neo Química (Genérico)</v>
      </c>
      <c r="B465">
        <v>67550</v>
      </c>
      <c r="C465">
        <v>65395</v>
      </c>
    </row>
    <row r="466" spans="1:3">
      <c r="A466" t="str">
        <v>Ibuprofeno 500mg - 20 Comprimidos - Aché</v>
      </c>
      <c r="B466">
        <v>58136</v>
      </c>
      <c r="C466">
        <v>47024</v>
      </c>
    </row>
    <row r="467" spans="1:3">
      <c r="A467" t="str">
        <v>Água Micelar Pampers FPS 50</v>
      </c>
      <c r="B467">
        <v>152076</v>
      </c>
      <c r="C467">
        <v>146699</v>
      </c>
    </row>
    <row r="468" spans="1:3">
      <c r="A468" t="str">
        <v>Fluoxetina 25mg - 30 Comprimidos - Aché</v>
      </c>
      <c r="B468">
        <v>251966</v>
      </c>
      <c r="C468">
        <v>245573</v>
      </c>
    </row>
    <row r="469" spans="1:3">
      <c r="A469" t="str">
        <v>Omeprazol 500mg - 20 Comprimidos - Neo Química (Genérico)</v>
      </c>
      <c r="B469">
        <v>90180</v>
      </c>
      <c r="C469">
        <v>87653</v>
      </c>
    </row>
    <row r="470" spans="1:3">
      <c r="A470" t="str">
        <v>Fluoxetina 25mg - 30 Comprimidos - Neo Química (Genérico)</v>
      </c>
      <c r="B470">
        <v>288816</v>
      </c>
      <c r="C470">
        <v>283193</v>
      </c>
    </row>
    <row r="471" spans="1:3">
      <c r="A471" t="str">
        <v>Amoxicilina Gotas 20ml - Eurofarma</v>
      </c>
      <c r="B471">
        <v>158690</v>
      </c>
      <c r="C471">
        <v>149776</v>
      </c>
    </row>
    <row r="472" spans="1:3">
      <c r="A472" t="str">
        <v>Pomada para Assaduras Panvel 400ml</v>
      </c>
      <c r="B472">
        <v>24560</v>
      </c>
      <c r="C472">
        <v>16762</v>
      </c>
    </row>
    <row r="473" spans="1:3">
      <c r="A473" t="str">
        <v>Hastes Flexíveis (Cotonetes) Johnson's 200ml</v>
      </c>
      <c r="B473">
        <v>40785</v>
      </c>
      <c r="C473">
        <v>36034</v>
      </c>
    </row>
    <row r="474" spans="1:3">
      <c r="A474" t="str">
        <v>Clonazepam Gotas 20ml - Bayer</v>
      </c>
      <c r="B474">
        <v>193644</v>
      </c>
      <c r="C474">
        <v>193484</v>
      </c>
    </row>
    <row r="475" spans="1:3">
      <c r="A475" t="str">
        <v>Azitromicina 25mg - 30 Comprimidos - Aché</v>
      </c>
      <c r="B475">
        <v>161361</v>
      </c>
      <c r="C475">
        <v>157857</v>
      </c>
    </row>
    <row r="476" spans="1:3">
      <c r="A476" t="str">
        <v>Vacina contra Insônia - Dose Única</v>
      </c>
      <c r="B476">
        <v>153576</v>
      </c>
      <c r="C476">
        <v>146522</v>
      </c>
    </row>
    <row r="477" spans="1:3">
      <c r="A477" t="str">
        <v>Fio Dental Sempre Livre 50 Metros</v>
      </c>
      <c r="B477">
        <v>150748</v>
      </c>
      <c r="C477">
        <v>142547</v>
      </c>
    </row>
    <row r="478" spans="1:3">
      <c r="A478" t="str">
        <v>Dipirona Sódica Gotas 20ml - Medley (Genérico)</v>
      </c>
      <c r="B478">
        <v>26730</v>
      </c>
      <c r="C478">
        <v>22882</v>
      </c>
    </row>
    <row r="479" spans="1:3">
      <c r="A479" t="str">
        <v>Protetor Solar Corporal Listerine FPS 70</v>
      </c>
      <c r="B479">
        <v>47488</v>
      </c>
      <c r="C479">
        <v>44268</v>
      </c>
    </row>
    <row r="480" spans="1:3">
      <c r="A480" t="str">
        <v>Vacina contra Câncer de Mama - Dose Única</v>
      </c>
      <c r="B480">
        <v>22624</v>
      </c>
      <c r="C480">
        <v>12061</v>
      </c>
    </row>
    <row r="481" spans="1:3">
      <c r="A481" t="str">
        <v>Fralda Descartável Nivea FPS 50</v>
      </c>
      <c r="B481">
        <v>232304</v>
      </c>
      <c r="C481">
        <v>229932</v>
      </c>
    </row>
    <row r="482" spans="1:3">
      <c r="A482" t="str">
        <v>Metformina 50mg - 30 Comprimidos - Medley (Genérico)</v>
      </c>
      <c r="B482">
        <v>4844</v>
      </c>
      <c r="C482">
        <v>4844</v>
      </c>
    </row>
    <row r="483" spans="1:3">
      <c r="A483" t="str">
        <v>Metformina Suspensão Oral 50ml - Bayer</v>
      </c>
      <c r="B483">
        <v>1521</v>
      </c>
      <c r="C483">
        <v>-10673</v>
      </c>
    </row>
    <row r="484" spans="1:3">
      <c r="A484" t="str">
        <v>Losartana Potássica 25mg - 30 Comprimidos - Bayer</v>
      </c>
      <c r="B484">
        <v>16334</v>
      </c>
      <c r="C484">
        <v>9860</v>
      </c>
    </row>
    <row r="485" spans="1:3">
      <c r="A485" t="str">
        <v>Água Micelar Dove 90g</v>
      </c>
      <c r="B485">
        <v>109025</v>
      </c>
      <c r="C485">
        <v>100813</v>
      </c>
    </row>
    <row r="486" spans="1:3">
      <c r="A486" t="str">
        <v>Clonazepam 50mg - 30 Comprimidos - Bayer</v>
      </c>
      <c r="B486">
        <v>172440</v>
      </c>
      <c r="C486">
        <v>164121</v>
      </c>
    </row>
    <row r="487" spans="1:3">
      <c r="A487" t="str">
        <v>Fluoxetina 50mg - 30 Comprimidos - Eurofarma</v>
      </c>
      <c r="B487">
        <v>205030</v>
      </c>
      <c r="C487">
        <v>191198</v>
      </c>
    </row>
    <row r="488" spans="1:3">
      <c r="A488" t="str">
        <v>Cefalexina Gotas 20ml - EMS (Genérico)</v>
      </c>
      <c r="B488">
        <v>73857</v>
      </c>
      <c r="C488">
        <v>65847</v>
      </c>
    </row>
    <row r="489" spans="1:3">
      <c r="A489" t="str">
        <v>Vacina contra Refluxo - Dose Única</v>
      </c>
      <c r="B489">
        <v>83210</v>
      </c>
      <c r="C489">
        <v>81439</v>
      </c>
    </row>
    <row r="490" spans="1:3">
      <c r="A490" t="str">
        <v>Amoxicilina Suspensão Oral 50ml - Bayer</v>
      </c>
      <c r="B490">
        <v>147132</v>
      </c>
      <c r="C490">
        <v>133156</v>
      </c>
    </row>
    <row r="491" spans="1:3">
      <c r="A491" t="str">
        <v>Amoxicilina Suspensão Oral 50ml - Neo Química (Genérico)</v>
      </c>
      <c r="B491">
        <v>207190</v>
      </c>
      <c r="C491">
        <v>204986</v>
      </c>
    </row>
    <row r="492" spans="1:3">
      <c r="A492" t="str">
        <v>Loratadina Xarope 120ml - Aché</v>
      </c>
      <c r="B492">
        <v>39464</v>
      </c>
      <c r="C492">
        <v>26100</v>
      </c>
    </row>
    <row r="493" spans="1:3">
      <c r="A493" t="str">
        <v>Álcool em Gel 70% Rexona 150ml</v>
      </c>
      <c r="B493">
        <v>23440</v>
      </c>
      <c r="C493">
        <v>20541</v>
      </c>
    </row>
    <row r="494" spans="1:3">
      <c r="A494" t="str">
        <v>Protetor Solar Corporal Panvel 150ml</v>
      </c>
      <c r="B494">
        <v>40749</v>
      </c>
      <c r="C494">
        <v>33510</v>
      </c>
    </row>
    <row r="495" spans="1:3">
      <c r="A495" t="str">
        <v>Vacina contra Gripe - Dose Única</v>
      </c>
      <c r="B495">
        <v>86004</v>
      </c>
      <c r="C495">
        <v>75317</v>
      </c>
    </row>
    <row r="496" spans="1:3">
      <c r="A496" t="str">
        <v>Pantoprazol Pomada 30g - Eurofarma</v>
      </c>
      <c r="B496">
        <v>49770</v>
      </c>
      <c r="C496">
        <v>43449</v>
      </c>
    </row>
    <row r="497" spans="1:3">
      <c r="A497" t="str">
        <v>Shampoo Anticaspa Huggies 400ml</v>
      </c>
      <c r="B497">
        <v>50008</v>
      </c>
      <c r="C497">
        <v>45482</v>
      </c>
    </row>
    <row r="498" spans="1:3">
      <c r="A498" t="str">
        <v>Vacina contra Pedra nos Rins - Reforço</v>
      </c>
      <c r="B498">
        <v>159125</v>
      </c>
      <c r="C498">
        <v>154685</v>
      </c>
    </row>
    <row r="499" spans="1:3">
      <c r="A499" t="str">
        <v>Pomada para Assaduras Needs 90g</v>
      </c>
      <c r="B499">
        <v>160589</v>
      </c>
      <c r="C499">
        <v>151441</v>
      </c>
    </row>
    <row r="500" spans="1:3">
      <c r="A500" t="str">
        <v>Água Micelar Johnson's Tamanho M (40 un)</v>
      </c>
      <c r="B500">
        <v>145280</v>
      </c>
      <c r="C500">
        <v>140670</v>
      </c>
    </row>
    <row r="501" spans="1:3">
      <c r="A501" t="str">
        <v>Enxaguante Bucal Vichy 50 Metros</v>
      </c>
      <c r="B501">
        <v>149892</v>
      </c>
      <c r="C501">
        <v>146457</v>
      </c>
    </row>
    <row r="502" spans="1:3">
      <c r="A502" t="str">
        <v>Nimesulida Suspensão Oral 50ml - Aché</v>
      </c>
      <c r="B502">
        <v>105405</v>
      </c>
      <c r="C502">
        <v>96351</v>
      </c>
    </row>
    <row r="503" spans="1:3">
      <c r="A503" t="str">
        <v>Vacina contra Obesidade - Reforço</v>
      </c>
      <c r="B503">
        <v>22672</v>
      </c>
      <c r="C503">
        <v>18947</v>
      </c>
    </row>
    <row r="504" spans="1:3">
      <c r="A504" t="str">
        <v>Ibuprofeno Gotas 20ml - EMS (Genérico)</v>
      </c>
      <c r="B504">
        <v>68816</v>
      </c>
      <c r="C504">
        <v>64935</v>
      </c>
    </row>
    <row r="505" spans="1:3">
      <c r="A505" t="str">
        <v>Sérum Vitamina C Sempre Livre FPS 50</v>
      </c>
      <c r="B505">
        <v>52416</v>
      </c>
      <c r="C505">
        <v>44008</v>
      </c>
    </row>
    <row r="506" spans="1:3">
      <c r="A506" t="str">
        <v>Atenolol Pomada 30g - Aché</v>
      </c>
      <c r="B506">
        <v>246484</v>
      </c>
      <c r="C506">
        <v>246484</v>
      </c>
    </row>
    <row r="507" spans="1:3">
      <c r="A507" t="str">
        <v>Fluoxetina 50mg - 30 Comprimidos - Aché</v>
      </c>
      <c r="B507">
        <v>49647</v>
      </c>
      <c r="C507">
        <v>49647</v>
      </c>
    </row>
    <row r="508" spans="1:3">
      <c r="A508" t="str">
        <v>Fluoxetina 50mg - 30 Comprimidos - EMS (Genérico)</v>
      </c>
      <c r="B508">
        <v>34992</v>
      </c>
      <c r="C508">
        <v>29399</v>
      </c>
    </row>
    <row r="509" spans="1:3">
      <c r="A509" t="str">
        <v>Dipirona Sódica 1g - 10 Comprimidos - Neo Química (Genérico)</v>
      </c>
      <c r="B509">
        <v>33046</v>
      </c>
      <c r="C509">
        <v>28944</v>
      </c>
    </row>
    <row r="510" spans="1:3">
      <c r="A510" t="str">
        <v>Amoxicilina Gotas 20ml - Neo Química (Genérico)</v>
      </c>
      <c r="B510">
        <v>19638</v>
      </c>
      <c r="C510">
        <v>11316</v>
      </c>
    </row>
    <row r="511" spans="1:3">
      <c r="A511" t="str">
        <v>Ibuprofeno Pomada 30g - Eurofarma</v>
      </c>
      <c r="B511">
        <v>213180</v>
      </c>
      <c r="C511">
        <v>213180</v>
      </c>
    </row>
    <row r="512" spans="1:3">
      <c r="A512" t="str">
        <v>Paracetamol Pomada 30g - EMS (Genérico)</v>
      </c>
      <c r="B512">
        <v>14820</v>
      </c>
      <c r="C512">
        <v>7574</v>
      </c>
    </row>
    <row r="513" spans="1:3">
      <c r="A513" t="str">
        <v>Vacina contra Enxaqueca - Dose Única</v>
      </c>
      <c r="B513">
        <v>194408</v>
      </c>
      <c r="C513">
        <v>182048</v>
      </c>
    </row>
    <row r="514" spans="1:3">
      <c r="A514" t="str">
        <v>Atenolol Xarope 120ml - Eurofarma</v>
      </c>
      <c r="B514">
        <v>154343</v>
      </c>
      <c r="C514">
        <v>153448</v>
      </c>
    </row>
    <row r="515" spans="1:3">
      <c r="A515" t="str">
        <v>Vacina contra Hepatite C - Dose Única</v>
      </c>
      <c r="B515">
        <v>176030</v>
      </c>
      <c r="C515">
        <v>165833</v>
      </c>
    </row>
    <row r="516" spans="1:3">
      <c r="A516" t="str">
        <v>Sinvastatina Suspensão Oral 50ml - Aché</v>
      </c>
      <c r="B516">
        <v>83097</v>
      </c>
      <c r="C516">
        <v>75592</v>
      </c>
    </row>
    <row r="517" spans="1:3">
      <c r="A517" t="str">
        <v>Vacina contra Conjuntivite - Reforço</v>
      </c>
      <c r="B517">
        <v>102170</v>
      </c>
      <c r="C517">
        <v>88361</v>
      </c>
    </row>
    <row r="518" spans="1:3">
      <c r="A518" t="str">
        <v>Omeprazol 50mg - 30 Comprimidos - Neo Química (Genérico)</v>
      </c>
      <c r="B518">
        <v>341504</v>
      </c>
      <c r="C518">
        <v>334332</v>
      </c>
    </row>
    <row r="519" spans="1:3">
      <c r="A519" t="str">
        <v>Termômetro Digital Colgate 90g</v>
      </c>
      <c r="B519">
        <v>297534</v>
      </c>
      <c r="C519">
        <v>293113</v>
      </c>
    </row>
    <row r="520" spans="1:3">
      <c r="A520" t="str">
        <v>Sertralina 25mg - 30 Comprimidos - Eurofarma</v>
      </c>
      <c r="B520">
        <v>45846</v>
      </c>
      <c r="C520">
        <v>42828</v>
      </c>
    </row>
    <row r="521" spans="1:3">
      <c r="A521" t="str">
        <v>Pantoprazol Suspensão Oral 50ml - Bayer</v>
      </c>
      <c r="B521">
        <v>2982</v>
      </c>
      <c r="C521">
        <v>-8433</v>
      </c>
    </row>
    <row r="522" spans="1:3">
      <c r="A522" t="str">
        <v>Vacina contra Lúpus - Reforço</v>
      </c>
      <c r="B522">
        <v>62840</v>
      </c>
      <c r="C522">
        <v>51967</v>
      </c>
    </row>
    <row r="523" spans="1:3">
      <c r="A523" t="str">
        <v>Paracetamol 25mg - 30 Comprimidos - Neo Química (Genérico)</v>
      </c>
      <c r="B523">
        <v>21114</v>
      </c>
      <c r="C523">
        <v>17880</v>
      </c>
    </row>
    <row r="524" spans="1:3">
      <c r="A524" t="str">
        <v>Nimesulida Pomada 30g - Eurofarma</v>
      </c>
      <c r="B524">
        <v>18942</v>
      </c>
      <c r="C524">
        <v>15216</v>
      </c>
    </row>
    <row r="525" spans="1:3">
      <c r="A525" t="str">
        <v>Termômetro Digital Bepantol 150ml</v>
      </c>
      <c r="B525">
        <v>192645</v>
      </c>
      <c r="C525">
        <v>178868</v>
      </c>
    </row>
    <row r="526" spans="1:3">
      <c r="A526" t="str">
        <v>Termômetro Digital Colgate 500ml</v>
      </c>
      <c r="B526">
        <v>124372</v>
      </c>
      <c r="C526">
        <v>119089</v>
      </c>
    </row>
    <row r="527" spans="1:3">
      <c r="A527" t="str">
        <v>Vacina contra Rinite - Reforço</v>
      </c>
      <c r="B527">
        <v>54392</v>
      </c>
      <c r="C527">
        <v>43731</v>
      </c>
    </row>
    <row r="528" spans="1:3">
      <c r="A528" t="str">
        <v>Enxaguante Bucal Bepantol Tamanho M (40 un)</v>
      </c>
      <c r="B528">
        <v>87620</v>
      </c>
      <c r="C528">
        <v>85544</v>
      </c>
    </row>
    <row r="529" spans="1:3">
      <c r="A529" t="str">
        <v>Creme Hidratante Nivea Tamanho M (40 un)</v>
      </c>
      <c r="B529">
        <v>311664</v>
      </c>
      <c r="C529">
        <v>310101</v>
      </c>
    </row>
    <row r="530" spans="1:3">
      <c r="A530" t="str">
        <v>Vacina contra Ansiedade - Dose Única</v>
      </c>
      <c r="B530">
        <v>45290</v>
      </c>
      <c r="C530">
        <v>40674</v>
      </c>
    </row>
    <row r="531" spans="1:3">
      <c r="A531" t="str">
        <v>Loratadina 25mg - 30 Comprimidos - Eurofarma</v>
      </c>
      <c r="B531">
        <v>9024</v>
      </c>
      <c r="C531">
        <v>1946</v>
      </c>
    </row>
    <row r="532" spans="1:3">
      <c r="A532" t="str">
        <v>Paracetamol Pomada 30g - Medley (Genérico)</v>
      </c>
      <c r="B532">
        <v>25451</v>
      </c>
      <c r="C532">
        <v>20847</v>
      </c>
    </row>
    <row r="533" spans="1:3">
      <c r="A533" t="str">
        <v>Atenolol 1g - 10 Comprimidos - Eurofarma</v>
      </c>
      <c r="B533">
        <v>12974</v>
      </c>
      <c r="C533">
        <v>-432</v>
      </c>
    </row>
    <row r="534" spans="1:3">
      <c r="A534" t="str">
        <v>Absorvente com Abas Colgate 400ml</v>
      </c>
      <c r="B534">
        <v>26296</v>
      </c>
      <c r="C534">
        <v>13487</v>
      </c>
    </row>
    <row r="535" spans="1:3">
      <c r="A535" t="str">
        <v>Sertralina 1g - 10 Comprimidos - EMS (Genérico)</v>
      </c>
      <c r="B535">
        <v>75607</v>
      </c>
      <c r="C535">
        <v>68037</v>
      </c>
    </row>
    <row r="536" spans="1:3">
      <c r="A536" t="str">
        <v>Desodorante Roll-on Mió FPS 50</v>
      </c>
      <c r="B536">
        <v>1280</v>
      </c>
      <c r="C536">
        <v>-1985</v>
      </c>
    </row>
    <row r="537" spans="1:3">
      <c r="A537" t="str">
        <v>Paracetamol 50mg - 30 Comprimidos - Neo Química (Genérico)</v>
      </c>
      <c r="B537">
        <v>215325</v>
      </c>
      <c r="C537">
        <v>209085</v>
      </c>
    </row>
    <row r="538" spans="1:3">
      <c r="A538" t="str">
        <v>Enxaguante Bucal Pampers 200ml</v>
      </c>
      <c r="B538">
        <v>344232</v>
      </c>
      <c r="C538">
        <v>338534</v>
      </c>
    </row>
    <row r="539" spans="1:3">
      <c r="A539" t="str">
        <v>Vacina contra Asma - Reforço</v>
      </c>
      <c r="B539">
        <v>5634</v>
      </c>
      <c r="C539">
        <v>3780</v>
      </c>
    </row>
    <row r="540" spans="1:3">
      <c r="A540" t="str">
        <v>Clonazepam 1g - 10 Comprimidos - Aché</v>
      </c>
      <c r="B540">
        <v>12594</v>
      </c>
      <c r="C540">
        <v>760</v>
      </c>
    </row>
    <row r="541" spans="1:3">
      <c r="A541" t="str">
        <v>Vacina contra Insuficiência Renal - Dose Única</v>
      </c>
      <c r="B541">
        <v>291840</v>
      </c>
      <c r="C541">
        <v>288315</v>
      </c>
    </row>
    <row r="542" spans="1:3">
      <c r="A542" t="str">
        <v>Dipirona Sódica Gotas 20ml - EMS (Genérico)</v>
      </c>
      <c r="B542">
        <v>69405</v>
      </c>
      <c r="C542">
        <v>60262</v>
      </c>
    </row>
    <row r="543" spans="1:3">
      <c r="A543" t="str">
        <v>Sildenafila 500mg - 20 Comprimidos - Medley (Genérico)</v>
      </c>
      <c r="B543">
        <v>1378</v>
      </c>
      <c r="C543">
        <v>-1683</v>
      </c>
    </row>
    <row r="544" spans="1:3">
      <c r="A544" t="str">
        <v>Sabonete em Barra Dove 50g</v>
      </c>
      <c r="B544">
        <v>74298</v>
      </c>
      <c r="C544">
        <v>66191</v>
      </c>
    </row>
    <row r="545" spans="1:3">
      <c r="A545" t="str">
        <v>Sertralina Suspensão Oral 50ml - Eurofarma</v>
      </c>
      <c r="B545">
        <v>148596</v>
      </c>
      <c r="C545">
        <v>140118</v>
      </c>
    </row>
    <row r="546" spans="1:3">
      <c r="A546" t="str">
        <v>Curativos (Band-Aid) Panvel 50g</v>
      </c>
      <c r="B546">
        <v>155148</v>
      </c>
      <c r="C546">
        <v>150688</v>
      </c>
    </row>
    <row r="547" spans="1:3">
      <c r="A547" t="str">
        <v>Cefalexina Pomada 30g - Medley (Genérico)</v>
      </c>
      <c r="B547">
        <v>224780</v>
      </c>
      <c r="C547">
        <v>218289</v>
      </c>
    </row>
    <row r="548" spans="1:3">
      <c r="A548" t="str">
        <v>Dipirona Sódica Pomada 30g - Medley (Genérico)</v>
      </c>
      <c r="B548">
        <v>340992</v>
      </c>
      <c r="C548">
        <v>324922</v>
      </c>
    </row>
    <row r="549" spans="1:3">
      <c r="A549" t="str">
        <v>Vacina contra Câncer de Pulmão - Reforço</v>
      </c>
      <c r="B549">
        <v>101387</v>
      </c>
      <c r="C549">
        <v>96133</v>
      </c>
    </row>
    <row r="550" spans="1:3">
      <c r="A550" t="str">
        <v>Omeprazol 25mg - 30 Comprimidos - Neo Química (Genérico)</v>
      </c>
      <c r="B550">
        <v>155106</v>
      </c>
      <c r="C550">
        <v>147167</v>
      </c>
    </row>
    <row r="551" spans="1:3">
      <c r="A551" t="str">
        <v>Vacina contra Glaucoma - Dose Única</v>
      </c>
      <c r="B551">
        <v>256728</v>
      </c>
      <c r="C551">
        <v>255195</v>
      </c>
    </row>
    <row r="552" spans="1:3">
      <c r="A552" t="str">
        <v>Vacina contra Parkinson - Reforço</v>
      </c>
      <c r="B552">
        <v>76176</v>
      </c>
      <c r="C552">
        <v>65424</v>
      </c>
    </row>
    <row r="553" spans="1:3">
      <c r="A553" t="str">
        <v>Absorvente com Abas Sempre Livre 90g</v>
      </c>
      <c r="B553">
        <v>45630</v>
      </c>
      <c r="C553">
        <v>42369</v>
      </c>
    </row>
    <row r="554" spans="1:3">
      <c r="A554" t="str">
        <v>Metformina Xarope 120ml - Bayer</v>
      </c>
      <c r="B554">
        <v>19754</v>
      </c>
      <c r="C554">
        <v>17161</v>
      </c>
    </row>
    <row r="555" spans="1:3">
      <c r="A555" t="str">
        <v>Hastes Flexíveis (Cotonetes) La Roche-Posay 150ml</v>
      </c>
      <c r="B555">
        <v>224379</v>
      </c>
      <c r="C555">
        <v>223611</v>
      </c>
    </row>
    <row r="556" spans="1:3">
      <c r="A556" t="str">
        <v>Hidroclorotiazida Pomada 30g - Aché</v>
      </c>
      <c r="B556">
        <v>126763</v>
      </c>
      <c r="C556">
        <v>113918</v>
      </c>
    </row>
    <row r="557" spans="1:3">
      <c r="A557" t="str">
        <v>Creme Hidratante La Roche-Posay 50g</v>
      </c>
      <c r="B557">
        <v>168426</v>
      </c>
      <c r="C557">
        <v>160250</v>
      </c>
    </row>
    <row r="558" spans="1:3">
      <c r="A558" t="str">
        <v>Sabonete Líquido Clear 90g</v>
      </c>
      <c r="B558">
        <v>122143</v>
      </c>
      <c r="C558">
        <v>115114</v>
      </c>
    </row>
    <row r="559" spans="1:3">
      <c r="A559" t="str">
        <v>Diclofenaco 50mg - 30 Comprimidos - Neo Química (Genérico)</v>
      </c>
      <c r="B559">
        <v>559858</v>
      </c>
      <c r="C559">
        <v>554534</v>
      </c>
    </row>
    <row r="560" spans="1:3">
      <c r="A560" t="str">
        <v>Tadalafila Pomada 30g - Eurofarma</v>
      </c>
      <c r="B560">
        <v>65352</v>
      </c>
      <c r="C560">
        <v>53569</v>
      </c>
    </row>
    <row r="561" spans="1:3">
      <c r="A561" t="str">
        <v>Vacina contra Psoríase - Dose Única</v>
      </c>
      <c r="B561">
        <v>152425</v>
      </c>
      <c r="C561">
        <v>146170</v>
      </c>
    </row>
    <row r="562" spans="1:3">
      <c r="A562" t="str">
        <v>Absorvente com Abas Needs 90g</v>
      </c>
      <c r="B562">
        <v>97846</v>
      </c>
      <c r="C562">
        <v>87775</v>
      </c>
    </row>
    <row r="563" spans="1:3">
      <c r="A563" t="str">
        <v>Álcool em Gel 70% Johnson's 50 Metros</v>
      </c>
      <c r="B563">
        <v>107184</v>
      </c>
      <c r="C563">
        <v>93976</v>
      </c>
    </row>
    <row r="564" spans="1:3">
      <c r="A564" t="str">
        <v>Dipirona Sódica 1g - 10 Comprimidos - Eurofarma</v>
      </c>
      <c r="B564">
        <v>290719</v>
      </c>
      <c r="C564">
        <v>270506</v>
      </c>
    </row>
    <row r="565" spans="1:3">
      <c r="A565" t="str">
        <v>Vacina contra Dengue - Reforço</v>
      </c>
      <c r="B565">
        <v>176512</v>
      </c>
      <c r="C565">
        <v>174016</v>
      </c>
    </row>
    <row r="566" spans="1:3">
      <c r="A566" t="str">
        <v>Vacina contra Hipertireoidismo - Reforço</v>
      </c>
      <c r="B566">
        <v>408430</v>
      </c>
      <c r="C566">
        <v>404124</v>
      </c>
    </row>
    <row r="567" spans="1:3">
      <c r="A567" t="str">
        <v>Loratadina 50mg - 30 Comprimidos - Bayer</v>
      </c>
      <c r="B567">
        <v>69960</v>
      </c>
      <c r="C567">
        <v>69960</v>
      </c>
    </row>
    <row r="568" spans="1:3">
      <c r="A568" t="str">
        <v>Amoxicilina Xarope 120ml - Aché</v>
      </c>
      <c r="B568">
        <v>189684</v>
      </c>
      <c r="C568">
        <v>171627</v>
      </c>
    </row>
    <row r="569" spans="1:3">
      <c r="A569" t="str">
        <v>Clonazepam Xarope 120ml - EMS (Genérico)</v>
      </c>
      <c r="B569">
        <v>61746</v>
      </c>
      <c r="C569">
        <v>44540</v>
      </c>
    </row>
    <row r="570" spans="1:3">
      <c r="A570" t="str">
        <v>Dipirona Sódica 500mg - 20 Comprimidos - EMS (Genérico)</v>
      </c>
      <c r="B570">
        <v>115080</v>
      </c>
      <c r="C570">
        <v>105707</v>
      </c>
    </row>
    <row r="571" spans="1:3">
      <c r="A571" t="str">
        <v>Álcool em Gel 70% Nivea 500ml</v>
      </c>
      <c r="B571">
        <v>5388</v>
      </c>
      <c r="C571">
        <v>2820</v>
      </c>
    </row>
    <row r="572" spans="1:3">
      <c r="A572" t="str">
        <v>Escitalopram Pomada 30g - Eurofarma</v>
      </c>
      <c r="B572">
        <v>54353</v>
      </c>
      <c r="C572">
        <v>42868</v>
      </c>
    </row>
    <row r="573" spans="1:3">
      <c r="A573" t="str">
        <v>Pomada para Assaduras Rexona 400ml</v>
      </c>
      <c r="B573">
        <v>8888</v>
      </c>
      <c r="C573">
        <v>7619</v>
      </c>
    </row>
    <row r="574" spans="1:3">
      <c r="A574" t="str">
        <v>Loratadina Xarope 120ml - EMS (Genérico)</v>
      </c>
      <c r="B574">
        <v>105438</v>
      </c>
      <c r="C574">
        <v>98615</v>
      </c>
    </row>
    <row r="575" spans="1:3">
      <c r="A575" t="str">
        <v>Ibuprofeno Pomada 30g - Bayer</v>
      </c>
      <c r="B575">
        <v>57209</v>
      </c>
      <c r="C575">
        <v>39637</v>
      </c>
    </row>
    <row r="576" spans="1:3">
      <c r="A576" t="str">
        <v>Losartana Potássica Pomada 30g - Eurofarma</v>
      </c>
      <c r="B576">
        <v>55656</v>
      </c>
      <c r="C576">
        <v>53222</v>
      </c>
    </row>
    <row r="577" spans="1:3">
      <c r="A577" t="str">
        <v>Cefalexina Xarope 120ml - EMS (Genérico)</v>
      </c>
      <c r="B577">
        <v>171912</v>
      </c>
      <c r="C577">
        <v>155173</v>
      </c>
    </row>
    <row r="578" spans="1:3">
      <c r="A578" t="str">
        <v>Hastes Flexíveis (Cotonetes) Panvel 150ml</v>
      </c>
      <c r="B578">
        <v>34218</v>
      </c>
      <c r="C578">
        <v>25570</v>
      </c>
    </row>
    <row r="579" spans="1:3">
      <c r="A579" t="str">
        <v>Condicionador Hidratação Sempre Livre 50g</v>
      </c>
      <c r="B579">
        <v>78260</v>
      </c>
      <c r="C579">
        <v>76383</v>
      </c>
    </row>
    <row r="580" spans="1:3">
      <c r="A580" t="str">
        <v>Sérum Vitamina C Johnson's 500ml</v>
      </c>
      <c r="B580">
        <v>3486</v>
      </c>
      <c r="C580">
        <v>-368</v>
      </c>
    </row>
    <row r="581" spans="1:3">
      <c r="A581" t="str">
        <v>Hastes Flexíveis (Cotonetes) Aptamil Tamanho M (40 un)</v>
      </c>
      <c r="B581">
        <v>13853</v>
      </c>
      <c r="C581">
        <v>11832</v>
      </c>
    </row>
    <row r="582" spans="1:3">
      <c r="A582" t="str">
        <v>Hidroclorotiazida Suspensão Oral 50ml - Eurofarma</v>
      </c>
      <c r="B582">
        <v>33168</v>
      </c>
      <c r="C582">
        <v>33168</v>
      </c>
    </row>
    <row r="583" spans="1:3">
      <c r="A583" t="str">
        <v>Hidroclorotiazida 50mg - 30 Comprimidos - Aché</v>
      </c>
      <c r="B583">
        <v>131814</v>
      </c>
      <c r="C583">
        <v>128516</v>
      </c>
    </row>
    <row r="584" spans="1:3">
      <c r="A584" t="str">
        <v>Pomada para Assaduras G-Tech 50 Metros</v>
      </c>
      <c r="B584">
        <v>2078</v>
      </c>
      <c r="C584">
        <v>-12200</v>
      </c>
    </row>
    <row r="585" spans="1:3">
      <c r="A585" t="str">
        <v>Metformina Gotas 20ml - Neo Química (Genérico)</v>
      </c>
      <c r="B585">
        <v>188104</v>
      </c>
      <c r="C585">
        <v>182817</v>
      </c>
    </row>
    <row r="586" spans="1:3">
      <c r="A586" t="str">
        <v>Clonazepam Xarope 120ml - Aché</v>
      </c>
      <c r="B586">
        <v>11514</v>
      </c>
      <c r="C586">
        <v>6988</v>
      </c>
    </row>
    <row r="587" spans="1:3">
      <c r="A587" t="str">
        <v>Cefalexina 25mg - 30 Comprimidos - Eurofarma</v>
      </c>
      <c r="B587">
        <v>4994</v>
      </c>
      <c r="C587">
        <v>1413</v>
      </c>
    </row>
    <row r="588" spans="1:3">
      <c r="A588" t="str">
        <v>Amoxicilina 50mg - 30 Comprimidos - Eurofarma</v>
      </c>
      <c r="B588">
        <v>144858</v>
      </c>
      <c r="C588">
        <v>136098</v>
      </c>
    </row>
    <row r="589" spans="1:3">
      <c r="A589" t="str">
        <v>Soro Fisiológico Sempre Livre 50 Metros</v>
      </c>
      <c r="B589">
        <v>30350</v>
      </c>
      <c r="C589">
        <v>26794</v>
      </c>
    </row>
    <row r="590" spans="1:3">
      <c r="A590" t="str">
        <v>Enalapril Xarope 120ml - EMS (Genérico)</v>
      </c>
      <c r="B590">
        <v>3501</v>
      </c>
      <c r="C590">
        <v>-5495</v>
      </c>
    </row>
    <row r="591" spans="1:3">
      <c r="A591" t="str">
        <v>Hidroclorotiazida 25mg - 30 Comprimidos - Neo Química (Genérico)</v>
      </c>
      <c r="B591">
        <v>103270</v>
      </c>
      <c r="C591">
        <v>100995</v>
      </c>
    </row>
    <row r="592" spans="1:3">
      <c r="A592" t="str">
        <v>Sertralina 50mg - 30 Comprimidos - Eurofarma</v>
      </c>
      <c r="B592">
        <v>83556</v>
      </c>
      <c r="C592">
        <v>74928</v>
      </c>
    </row>
    <row r="593" spans="1:3">
      <c r="A593" t="str">
        <v>Sabonete em Barra La Roche-Posay 150ml</v>
      </c>
      <c r="B593">
        <v>94746</v>
      </c>
      <c r="C593">
        <v>92060</v>
      </c>
    </row>
    <row r="594" spans="1:3">
      <c r="A594" t="str">
        <v>Fluoxetina Suspensão Oral 50ml - Aché</v>
      </c>
      <c r="B594">
        <v>70135</v>
      </c>
      <c r="C594">
        <v>66134</v>
      </c>
    </row>
    <row r="595" spans="1:3">
      <c r="A595" t="str">
        <v>Pomada para Assaduras Rexona 90g</v>
      </c>
      <c r="B595">
        <v>0</v>
      </c>
      <c r="C595">
        <v>-11676</v>
      </c>
    </row>
    <row r="596" spans="1:3">
      <c r="A596" t="str">
        <v>Ibuprofeno 25mg - 30 Comprimidos - Medley (Genérico)</v>
      </c>
      <c r="B596">
        <v>0</v>
      </c>
      <c r="C596">
        <v>-4982</v>
      </c>
    </row>
    <row r="597" spans="1:3">
      <c r="A597" t="str">
        <v>Atenolol Suspensão Oral 50ml - Eurofarma</v>
      </c>
      <c r="B597">
        <v>0</v>
      </c>
      <c r="C597">
        <v>-4018</v>
      </c>
    </row>
    <row r="598" spans="1:3">
      <c r="A598" t="str">
        <v>Fluoxetina 25mg - 30 Comprimidos - Eurofarma</v>
      </c>
      <c r="B598">
        <v>0</v>
      </c>
      <c r="C598">
        <v>-5180</v>
      </c>
    </row>
    <row r="599" spans="1:3">
      <c r="A599" t="str">
        <v>Atenolol 500mg - 20 Comprimidos - Neo Química (Genérico)</v>
      </c>
      <c r="B599">
        <v>0</v>
      </c>
      <c r="C599">
        <v>-9851</v>
      </c>
    </row>
    <row r="600" spans="1:3">
      <c r="A600" t="str">
        <v>Hidroclorotiazida 500mg - 20 Comprimidos - Bayer</v>
      </c>
      <c r="B600">
        <v>0</v>
      </c>
      <c r="C600">
        <v>-14772</v>
      </c>
    </row>
    <row r="601" spans="1:3">
      <c r="A601" t="str">
        <v>Cefalexina 25mg - 30 Comprimidos - EMS (Genérico)</v>
      </c>
      <c r="B601">
        <v>0</v>
      </c>
      <c r="C601">
        <v>-3098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FC1CF-18BE-40FF-8489-8622854DFAE9}">
  <dimension ref="A1:R22"/>
  <sheetViews>
    <sheetView showGridLines="0" showRowColHeaders="0" tabSelected="1" zoomScale="112" workbookViewId="0">
      <selection activeCell="R26" sqref="R2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6"/>
  <cols>
    <col min="1" max="1" width="12.23046875" customWidth="1"/>
    <col min="18" max="18" width="11.53515625" customWidth="1"/>
  </cols>
  <sheetData>
    <row r="1" spans="1:18">
      <c r="A1" s="5" t="s">
        <v>1848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ht="14.1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18" s="8" customFormat="1" ht="13.75" customHeight="1">
      <c r="A5" s="9" t="s">
        <v>1849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</row>
    <row r="7" spans="1:18">
      <c r="A7" s="7">
        <v>8</v>
      </c>
    </row>
    <row r="22" spans="1:18">
      <c r="A22" s="7" t="s">
        <v>1846</v>
      </c>
      <c r="R22" s="7" t="s">
        <v>1847</v>
      </c>
    </row>
  </sheetData>
  <mergeCells count="2">
    <mergeCell ref="A1:R4"/>
    <mergeCell ref="A5:R5"/>
  </mergeCells>
  <dataValidations count="2">
    <dataValidation type="list" allowBlank="1" showInputMessage="1" showErrorMessage="1" sqref="A22" xr:uid="{57F50499-D3FB-492E-BE2B-EED054F8B28F}">
      <formula1>"Clientes,Fornecedores"</formula1>
    </dataValidation>
    <dataValidation type="list" allowBlank="1" showInputMessage="1" showErrorMessage="1" sqref="R22" xr:uid="{5C44211A-242B-4A19-A65F-C5F89F08C98D}">
      <formula1>"Volume,Ticket Médio"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33986B2-3EEB-4F94-90DA-F24D34D82D9C}">
          <x14:formula1>
            <xm:f>TopLucros!$F$15:$F$24</xm:f>
          </x14:formula1>
          <xm:sqref>A7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1723D-6538-4142-B893-A01455EC101A}">
  <dimension ref="A1:E118"/>
  <sheetViews>
    <sheetView workbookViewId="0">
      <selection activeCell="J21" sqref="J21"/>
    </sheetView>
  </sheetViews>
  <sheetFormatPr defaultRowHeight="14.6"/>
  <cols>
    <col min="1" max="1" width="21.84375" bestFit="1" customWidth="1"/>
    <col min="2" max="2" width="10" bestFit="1" customWidth="1"/>
  </cols>
  <sheetData>
    <row r="1" spans="1:5">
      <c r="A1" s="2" t="s">
        <v>1842</v>
      </c>
      <c r="B1" s="2" t="s">
        <v>1844</v>
      </c>
      <c r="C1" s="2"/>
      <c r="D1" s="2" t="s">
        <v>1840</v>
      </c>
      <c r="E1" s="2" t="s">
        <v>1841</v>
      </c>
    </row>
    <row r="2" spans="1:5">
      <c r="A2" t="str" cm="1">
        <f t="array" ref="A2:A118">_xlfn.UNIQUE(TbDespesas[nomefornecedor])</f>
        <v>Freitas Cassiano e Filhos</v>
      </c>
      <c r="B2" cm="1">
        <f t="array" ref="B2:B118">SUMIFS(TbDespesas[valor_total_despesa], TbDespesas[nomefornecedor],_xlfn.ANCHORARRAY( A2))</f>
        <v>34764</v>
      </c>
      <c r="D2" t="str" cm="1">
        <f t="array" ref="D2:E9">_xlfn.TAKE(_xlfn._xlws.SORT(_xlfn.HSTACK(_xlfn.ANCHORARRAY(A2),_xlfn.ANCHORARRAY( B2)), 2, -1), DashBoard!A7)</f>
        <v>Fonseca S/A</v>
      </c>
      <c r="E2">
        <v>91483</v>
      </c>
    </row>
    <row r="3" spans="1:5">
      <c r="A3" t="str">
        <v>Monteiro - ME</v>
      </c>
      <c r="B3">
        <v>47614</v>
      </c>
      <c r="D3" t="str">
        <v>Costela Silveira - EI</v>
      </c>
      <c r="E3">
        <v>91199</v>
      </c>
    </row>
    <row r="4" spans="1:5">
      <c r="A4" t="str">
        <v>Vieira das Neves Ltda.</v>
      </c>
      <c r="B4">
        <v>2576</v>
      </c>
      <c r="D4" t="str">
        <v>Nascimento</v>
      </c>
      <c r="E4">
        <v>78597</v>
      </c>
    </row>
    <row r="5" spans="1:5">
      <c r="A5" t="str">
        <v>da Luz</v>
      </c>
      <c r="B5">
        <v>25681</v>
      </c>
      <c r="D5" t="str">
        <v>Duarte</v>
      </c>
      <c r="E5">
        <v>75160</v>
      </c>
    </row>
    <row r="6" spans="1:5">
      <c r="A6" t="str">
        <v>Monteiro Ltda.</v>
      </c>
      <c r="B6">
        <v>40768</v>
      </c>
      <c r="D6" t="str">
        <v>Moreira</v>
      </c>
      <c r="E6">
        <v>74887</v>
      </c>
    </row>
    <row r="7" spans="1:5">
      <c r="A7" t="str">
        <v>Andrade</v>
      </c>
      <c r="B7">
        <v>13274</v>
      </c>
      <c r="D7" t="str">
        <v>Rezende</v>
      </c>
      <c r="E7">
        <v>73436</v>
      </c>
    </row>
    <row r="8" spans="1:5">
      <c r="A8" t="str">
        <v>Castro</v>
      </c>
      <c r="B8">
        <v>41570</v>
      </c>
      <c r="D8" t="str">
        <v>Fernandes</v>
      </c>
      <c r="E8">
        <v>73393</v>
      </c>
    </row>
    <row r="9" spans="1:5">
      <c r="A9" t="str">
        <v>Sousa</v>
      </c>
      <c r="B9">
        <v>29720</v>
      </c>
      <c r="D9" t="str">
        <v>Freitas - EI</v>
      </c>
      <c r="E9">
        <v>70524</v>
      </c>
    </row>
    <row r="10" spans="1:5">
      <c r="A10" t="str">
        <v>Nascimento S.A.</v>
      </c>
      <c r="B10">
        <v>20619</v>
      </c>
    </row>
    <row r="11" spans="1:5">
      <c r="A11" t="str">
        <v>Aragão e Filhos</v>
      </c>
      <c r="B11">
        <v>29340</v>
      </c>
    </row>
    <row r="12" spans="1:5">
      <c r="A12" t="str">
        <v>Nascimento</v>
      </c>
      <c r="B12">
        <v>78597</v>
      </c>
    </row>
    <row r="13" spans="1:5">
      <c r="A13" t="str">
        <v>Casa Grande - ME</v>
      </c>
      <c r="B13">
        <v>49944</v>
      </c>
    </row>
    <row r="14" spans="1:5">
      <c r="A14" t="str">
        <v>Moreira</v>
      </c>
      <c r="B14">
        <v>74887</v>
      </c>
    </row>
    <row r="15" spans="1:5">
      <c r="A15" t="str">
        <v>Vieira</v>
      </c>
      <c r="B15">
        <v>41758</v>
      </c>
    </row>
    <row r="16" spans="1:5">
      <c r="A16" t="str">
        <v>Macedo Leão S/A</v>
      </c>
      <c r="B16">
        <v>33597</v>
      </c>
    </row>
    <row r="17" spans="1:2">
      <c r="A17" t="str">
        <v>Nogueira S/A</v>
      </c>
      <c r="B17">
        <v>36733</v>
      </c>
    </row>
    <row r="18" spans="1:2">
      <c r="A18" t="str">
        <v>Barros</v>
      </c>
      <c r="B18">
        <v>24848</v>
      </c>
    </row>
    <row r="19" spans="1:2">
      <c r="A19" t="str">
        <v>Mendonça - EI</v>
      </c>
      <c r="B19">
        <v>29641</v>
      </c>
    </row>
    <row r="20" spans="1:2">
      <c r="A20" t="str">
        <v>Barbosa Martins S.A.</v>
      </c>
      <c r="B20">
        <v>27919</v>
      </c>
    </row>
    <row r="21" spans="1:2">
      <c r="A21" t="str">
        <v>da Paz - EI</v>
      </c>
      <c r="B21">
        <v>12956</v>
      </c>
    </row>
    <row r="22" spans="1:2">
      <c r="A22" t="str">
        <v>Montenegro - EI</v>
      </c>
      <c r="B22">
        <v>39725</v>
      </c>
    </row>
    <row r="23" spans="1:2">
      <c r="A23" t="str">
        <v>da Cruz</v>
      </c>
      <c r="B23">
        <v>12726</v>
      </c>
    </row>
    <row r="24" spans="1:2">
      <c r="A24" t="str">
        <v>Vasconcelos S/A</v>
      </c>
      <c r="B24">
        <v>10684</v>
      </c>
    </row>
    <row r="25" spans="1:2">
      <c r="A25" t="str">
        <v>da Mota - EI</v>
      </c>
      <c r="B25">
        <v>7089</v>
      </c>
    </row>
    <row r="26" spans="1:2">
      <c r="A26" t="str">
        <v>Sousa Camargo S/A</v>
      </c>
      <c r="B26">
        <v>33661</v>
      </c>
    </row>
    <row r="27" spans="1:2">
      <c r="A27" t="str">
        <v>Ramos</v>
      </c>
      <c r="B27">
        <v>63126</v>
      </c>
    </row>
    <row r="28" spans="1:2">
      <c r="A28" t="str">
        <v>Casa Grande Garcia S.A.</v>
      </c>
      <c r="B28">
        <v>41781</v>
      </c>
    </row>
    <row r="29" spans="1:2">
      <c r="A29" t="str">
        <v>Duarte</v>
      </c>
      <c r="B29">
        <v>75160</v>
      </c>
    </row>
    <row r="30" spans="1:2">
      <c r="A30" t="str">
        <v>Aragão da Conceição - ME</v>
      </c>
      <c r="B30">
        <v>36451</v>
      </c>
    </row>
    <row r="31" spans="1:2">
      <c r="A31" t="str">
        <v>Martins</v>
      </c>
      <c r="B31">
        <v>50215</v>
      </c>
    </row>
    <row r="32" spans="1:2">
      <c r="A32" t="str">
        <v>Fernandes</v>
      </c>
      <c r="B32">
        <v>73393</v>
      </c>
    </row>
    <row r="33" spans="1:2">
      <c r="A33" t="str">
        <v>Viana</v>
      </c>
      <c r="B33">
        <v>18874</v>
      </c>
    </row>
    <row r="34" spans="1:2">
      <c r="A34" t="str">
        <v>da Cruz Cavalcanti - EI</v>
      </c>
      <c r="B34">
        <v>8651</v>
      </c>
    </row>
    <row r="35" spans="1:2">
      <c r="A35" t="str">
        <v>Freitas - EI</v>
      </c>
      <c r="B35">
        <v>70524</v>
      </c>
    </row>
    <row r="36" spans="1:2">
      <c r="A36" t="str">
        <v>da Mota</v>
      </c>
      <c r="B36">
        <v>30858</v>
      </c>
    </row>
    <row r="37" spans="1:2">
      <c r="A37" t="str">
        <v>das Neves</v>
      </c>
      <c r="B37">
        <v>27830</v>
      </c>
    </row>
    <row r="38" spans="1:2">
      <c r="A38" t="str">
        <v>Garcia</v>
      </c>
      <c r="B38">
        <v>45237</v>
      </c>
    </row>
    <row r="39" spans="1:2">
      <c r="A39" t="str">
        <v>Cavalcante</v>
      </c>
      <c r="B39">
        <v>35943</v>
      </c>
    </row>
    <row r="40" spans="1:2">
      <c r="A40" t="str">
        <v>Sampaio e Filhos</v>
      </c>
      <c r="B40">
        <v>34220</v>
      </c>
    </row>
    <row r="41" spans="1:2">
      <c r="A41" t="str">
        <v>Peixoto</v>
      </c>
      <c r="B41">
        <v>38804</v>
      </c>
    </row>
    <row r="42" spans="1:2">
      <c r="A42" t="str">
        <v>Câmara Porto S/A</v>
      </c>
      <c r="B42">
        <v>51971</v>
      </c>
    </row>
    <row r="43" spans="1:2">
      <c r="A43" t="str">
        <v>Aragão</v>
      </c>
      <c r="B43">
        <v>13584</v>
      </c>
    </row>
    <row r="44" spans="1:2">
      <c r="A44" t="str">
        <v>Aparecida</v>
      </c>
      <c r="B44">
        <v>52640</v>
      </c>
    </row>
    <row r="45" spans="1:2">
      <c r="A45" t="str">
        <v>Lopes</v>
      </c>
      <c r="B45">
        <v>33881</v>
      </c>
    </row>
    <row r="46" spans="1:2">
      <c r="A46" t="str">
        <v>Gonçalves e Filhos</v>
      </c>
      <c r="B46">
        <v>43191</v>
      </c>
    </row>
    <row r="47" spans="1:2">
      <c r="A47" t="str">
        <v>Pires Mendonça - ME</v>
      </c>
      <c r="B47">
        <v>53482</v>
      </c>
    </row>
    <row r="48" spans="1:2">
      <c r="A48" t="str">
        <v>Pastor</v>
      </c>
      <c r="B48">
        <v>14740</v>
      </c>
    </row>
    <row r="49" spans="1:2">
      <c r="A49" t="str">
        <v>Rezende Pimenta e Filhos</v>
      </c>
      <c r="B49">
        <v>34294</v>
      </c>
    </row>
    <row r="50" spans="1:2">
      <c r="A50" t="str">
        <v>da Paz Cassiano e Filhos</v>
      </c>
      <c r="B50">
        <v>22143</v>
      </c>
    </row>
    <row r="51" spans="1:2">
      <c r="A51" t="str">
        <v>da Mata</v>
      </c>
      <c r="B51">
        <v>3797</v>
      </c>
    </row>
    <row r="52" spans="1:2">
      <c r="A52" t="str">
        <v>Pires</v>
      </c>
      <c r="B52">
        <v>48803</v>
      </c>
    </row>
    <row r="53" spans="1:2">
      <c r="A53" t="str">
        <v>Pastor Vieira - ME</v>
      </c>
      <c r="B53">
        <v>70199</v>
      </c>
    </row>
    <row r="54" spans="1:2">
      <c r="A54" t="str">
        <v>Sousa Fogaça e Filhos</v>
      </c>
      <c r="B54">
        <v>11979</v>
      </c>
    </row>
    <row r="55" spans="1:2">
      <c r="A55" t="str">
        <v>Pereira</v>
      </c>
      <c r="B55">
        <v>13486</v>
      </c>
    </row>
    <row r="56" spans="1:2">
      <c r="A56" t="str">
        <v>Gonçalves Nogueira S.A.</v>
      </c>
      <c r="B56">
        <v>53229</v>
      </c>
    </row>
    <row r="57" spans="1:2">
      <c r="A57" t="str">
        <v>Silveira</v>
      </c>
      <c r="B57">
        <v>26253</v>
      </c>
    </row>
    <row r="58" spans="1:2">
      <c r="A58" t="str">
        <v>Costela Silveira - EI</v>
      </c>
      <c r="B58">
        <v>91199</v>
      </c>
    </row>
    <row r="59" spans="1:2">
      <c r="A59" t="str">
        <v>Pacheco S/A</v>
      </c>
      <c r="B59">
        <v>14751</v>
      </c>
    </row>
    <row r="60" spans="1:2">
      <c r="A60" t="str">
        <v>Fogaça</v>
      </c>
      <c r="B60">
        <v>19554</v>
      </c>
    </row>
    <row r="61" spans="1:2">
      <c r="A61" t="str">
        <v>Mendes S/A</v>
      </c>
      <c r="B61">
        <v>8463</v>
      </c>
    </row>
    <row r="62" spans="1:2">
      <c r="A62" t="str">
        <v>Casa Grande</v>
      </c>
      <c r="B62">
        <v>30499</v>
      </c>
    </row>
    <row r="63" spans="1:2">
      <c r="A63" t="str">
        <v>da Paz Camargo Ltda.</v>
      </c>
      <c r="B63">
        <v>38656</v>
      </c>
    </row>
    <row r="64" spans="1:2">
      <c r="A64" t="str">
        <v>Sampaio</v>
      </c>
      <c r="B64">
        <v>18720</v>
      </c>
    </row>
    <row r="65" spans="1:2">
      <c r="A65" t="str">
        <v>Gomes e Filhos</v>
      </c>
      <c r="B65">
        <v>33022</v>
      </c>
    </row>
    <row r="66" spans="1:2">
      <c r="A66" t="str">
        <v>Montenegro</v>
      </c>
      <c r="B66">
        <v>40523</v>
      </c>
    </row>
    <row r="67" spans="1:2">
      <c r="A67" t="str">
        <v>Fonseca</v>
      </c>
      <c r="B67">
        <v>40229</v>
      </c>
    </row>
    <row r="68" spans="1:2">
      <c r="A68" t="str">
        <v>Caldeira S/A</v>
      </c>
      <c r="B68">
        <v>48434</v>
      </c>
    </row>
    <row r="69" spans="1:2">
      <c r="A69" t="str">
        <v>Rios</v>
      </c>
      <c r="B69">
        <v>46738</v>
      </c>
    </row>
    <row r="70" spans="1:2">
      <c r="A70" t="str">
        <v>Cirino</v>
      </c>
      <c r="B70">
        <v>28096</v>
      </c>
    </row>
    <row r="71" spans="1:2">
      <c r="A71" t="str">
        <v>Costa</v>
      </c>
      <c r="B71">
        <v>20931</v>
      </c>
    </row>
    <row r="72" spans="1:2">
      <c r="A72" t="str">
        <v>Caldeira</v>
      </c>
      <c r="B72">
        <v>45330</v>
      </c>
    </row>
    <row r="73" spans="1:2">
      <c r="A73" t="str">
        <v>Mendes - ME</v>
      </c>
      <c r="B73">
        <v>33584</v>
      </c>
    </row>
    <row r="74" spans="1:2">
      <c r="A74" t="str">
        <v>Macedo</v>
      </c>
      <c r="B74">
        <v>49275</v>
      </c>
    </row>
    <row r="75" spans="1:2">
      <c r="A75" t="str">
        <v>Novaes - EI</v>
      </c>
      <c r="B75">
        <v>57974</v>
      </c>
    </row>
    <row r="76" spans="1:2">
      <c r="A76" t="str">
        <v>Cavalcanti Borges Ltda.</v>
      </c>
      <c r="B76">
        <v>17146</v>
      </c>
    </row>
    <row r="77" spans="1:2">
      <c r="A77" t="str">
        <v>Lopes Martins - ME</v>
      </c>
      <c r="B77">
        <v>17130</v>
      </c>
    </row>
    <row r="78" spans="1:2">
      <c r="A78" t="str">
        <v>Brito Viana e Filhos</v>
      </c>
      <c r="B78">
        <v>45249</v>
      </c>
    </row>
    <row r="79" spans="1:2">
      <c r="A79" t="str">
        <v>Vargas</v>
      </c>
      <c r="B79">
        <v>22883</v>
      </c>
    </row>
    <row r="80" spans="1:2">
      <c r="A80" t="str">
        <v>da Mata Ltda.</v>
      </c>
      <c r="B80">
        <v>22993</v>
      </c>
    </row>
    <row r="81" spans="1:2">
      <c r="A81" t="str">
        <v>Rezende</v>
      </c>
      <c r="B81">
        <v>73436</v>
      </c>
    </row>
    <row r="82" spans="1:2">
      <c r="A82" t="str">
        <v>da Conceição S/A</v>
      </c>
      <c r="B82">
        <v>8796</v>
      </c>
    </row>
    <row r="83" spans="1:2">
      <c r="A83" t="str">
        <v>da Rocha</v>
      </c>
      <c r="B83">
        <v>14930</v>
      </c>
    </row>
    <row r="84" spans="1:2">
      <c r="A84" t="str">
        <v>Almeida</v>
      </c>
      <c r="B84">
        <v>52236</v>
      </c>
    </row>
    <row r="85" spans="1:2">
      <c r="A85" t="str">
        <v>Campos da Costa - ME</v>
      </c>
      <c r="B85">
        <v>26889</v>
      </c>
    </row>
    <row r="86" spans="1:2">
      <c r="A86" t="str">
        <v>Fonseca S/A</v>
      </c>
      <c r="B86">
        <v>91483</v>
      </c>
    </row>
    <row r="87" spans="1:2">
      <c r="A87" t="str">
        <v>Rodrigues S/A</v>
      </c>
      <c r="B87">
        <v>32342</v>
      </c>
    </row>
    <row r="88" spans="1:2">
      <c r="A88" t="str">
        <v>Siqueira - ME</v>
      </c>
      <c r="B88">
        <v>22342</v>
      </c>
    </row>
    <row r="89" spans="1:2">
      <c r="A89" t="str">
        <v>Pereira S.A.</v>
      </c>
      <c r="B89">
        <v>32951</v>
      </c>
    </row>
    <row r="90" spans="1:2">
      <c r="A90" t="str">
        <v>Monteiro</v>
      </c>
      <c r="B90">
        <v>16500</v>
      </c>
    </row>
    <row r="91" spans="1:2">
      <c r="A91" t="str">
        <v>Dias e Filhos</v>
      </c>
      <c r="B91">
        <v>15772</v>
      </c>
    </row>
    <row r="92" spans="1:2">
      <c r="A92" t="str">
        <v>Moraes</v>
      </c>
      <c r="B92">
        <v>14114</v>
      </c>
    </row>
    <row r="93" spans="1:2">
      <c r="A93" t="str">
        <v>Rocha e Filhos</v>
      </c>
      <c r="B93">
        <v>10671</v>
      </c>
    </row>
    <row r="94" spans="1:2">
      <c r="A94" t="str">
        <v>Silva - EI</v>
      </c>
      <c r="B94">
        <v>31028</v>
      </c>
    </row>
    <row r="95" spans="1:2">
      <c r="A95" t="str">
        <v>da Cunha</v>
      </c>
      <c r="B95">
        <v>12990</v>
      </c>
    </row>
    <row r="96" spans="1:2">
      <c r="A96" t="str">
        <v>Machado - ME</v>
      </c>
      <c r="B96">
        <v>24301</v>
      </c>
    </row>
    <row r="97" spans="1:2">
      <c r="A97" t="str">
        <v>Porto e Filhos</v>
      </c>
      <c r="B97">
        <v>16391</v>
      </c>
    </row>
    <row r="98" spans="1:2">
      <c r="A98" t="str">
        <v>Correia Alves - EI</v>
      </c>
      <c r="B98">
        <v>28208</v>
      </c>
    </row>
    <row r="99" spans="1:2">
      <c r="A99" t="str">
        <v>Castro da Rosa - EI</v>
      </c>
      <c r="B99">
        <v>27307</v>
      </c>
    </row>
    <row r="100" spans="1:2">
      <c r="A100" t="str">
        <v>Vasconcelos</v>
      </c>
      <c r="B100">
        <v>13530</v>
      </c>
    </row>
    <row r="101" spans="1:2">
      <c r="A101" t="str">
        <v>Cardoso</v>
      </c>
      <c r="B101">
        <v>37970</v>
      </c>
    </row>
    <row r="102" spans="1:2">
      <c r="A102" t="str">
        <v>Martins S/A</v>
      </c>
      <c r="B102">
        <v>70148</v>
      </c>
    </row>
    <row r="103" spans="1:2">
      <c r="A103" t="str">
        <v>Nogueira</v>
      </c>
      <c r="B103">
        <v>24615</v>
      </c>
    </row>
    <row r="104" spans="1:2">
      <c r="A104" t="str">
        <v>Fernandes Alves S/A</v>
      </c>
      <c r="B104">
        <v>13373</v>
      </c>
    </row>
    <row r="105" spans="1:2">
      <c r="A105" t="str">
        <v>Costela</v>
      </c>
      <c r="B105">
        <v>23921</v>
      </c>
    </row>
    <row r="106" spans="1:2">
      <c r="A106" t="str">
        <v>Sá</v>
      </c>
      <c r="B106">
        <v>36634</v>
      </c>
    </row>
    <row r="107" spans="1:2">
      <c r="A107" t="str">
        <v>Machado e Filhos</v>
      </c>
      <c r="B107">
        <v>31097</v>
      </c>
    </row>
    <row r="108" spans="1:2">
      <c r="A108" t="str">
        <v>Cavalcante Marques S/A</v>
      </c>
      <c r="B108">
        <v>21841</v>
      </c>
    </row>
    <row r="109" spans="1:2">
      <c r="A109" t="str">
        <v>Costa - EI</v>
      </c>
      <c r="B109">
        <v>13348</v>
      </c>
    </row>
    <row r="110" spans="1:2">
      <c r="A110" t="str">
        <v>Cassiano</v>
      </c>
      <c r="B110">
        <v>36671</v>
      </c>
    </row>
    <row r="111" spans="1:2">
      <c r="A111" t="str">
        <v>Oliveira Silva S.A.</v>
      </c>
      <c r="B111">
        <v>26026</v>
      </c>
    </row>
    <row r="112" spans="1:2">
      <c r="A112" t="str">
        <v>Lima</v>
      </c>
      <c r="B112">
        <v>45402</v>
      </c>
    </row>
    <row r="113" spans="1:2">
      <c r="A113" t="str">
        <v>Souza Cunha Ltda.</v>
      </c>
      <c r="B113">
        <v>46633</v>
      </c>
    </row>
    <row r="114" spans="1:2">
      <c r="A114" t="str">
        <v>Barbosa</v>
      </c>
      <c r="B114">
        <v>2059</v>
      </c>
    </row>
    <row r="115" spans="1:2">
      <c r="A115" t="str">
        <v>Alves S/A</v>
      </c>
      <c r="B115">
        <v>14813</v>
      </c>
    </row>
    <row r="116" spans="1:2">
      <c r="A116" t="str">
        <v>Campos S/A</v>
      </c>
      <c r="B116">
        <v>18780</v>
      </c>
    </row>
    <row r="117" spans="1:2">
      <c r="A117" t="str">
        <v>Santos</v>
      </c>
      <c r="B117">
        <v>11921</v>
      </c>
    </row>
    <row r="118" spans="1:2">
      <c r="A118" t="str">
        <v>Sales - ME</v>
      </c>
      <c r="B118">
        <v>1243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00727-22C3-44BD-9F8F-E60E4EEC3D37}">
  <dimension ref="A1:N1103"/>
  <sheetViews>
    <sheetView workbookViewId="0">
      <selection activeCell="E21" sqref="E21"/>
    </sheetView>
  </sheetViews>
  <sheetFormatPr defaultRowHeight="14.6"/>
  <cols>
    <col min="1" max="1" width="21.84375" bestFit="1" customWidth="1"/>
    <col min="14" max="14" width="14.84375" customWidth="1"/>
  </cols>
  <sheetData>
    <row r="1" spans="1:14">
      <c r="A1" s="2" t="s">
        <v>1838</v>
      </c>
      <c r="B1" s="2" t="s">
        <v>1839</v>
      </c>
      <c r="C1" s="2"/>
      <c r="D1" s="2" t="s">
        <v>1840</v>
      </c>
      <c r="E1" s="2" t="s">
        <v>1841</v>
      </c>
      <c r="N1" s="2" t="s">
        <v>1843</v>
      </c>
    </row>
    <row r="2" spans="1:14">
      <c r="A2" t="str" cm="1">
        <f t="array" ref="A2:A1103">IF(DashBoard!$A$22="Clientes", _xlfn.UNIQUE(TbReceitas[nomecliente]), _xlfn.UNIQUE(TbDespesas[nomefornecedor]))</f>
        <v>Isaque Albuquerque</v>
      </c>
      <c r="B2" cm="1">
        <f t="array" ref="B2:B1103">IF(DashBoard!$A$22="Clientes", SUMIFS(TbReceitas[valor_total_receita], TbReceitas[nomecliente],_xlfn.ANCHORARRAY( A2)), SUMIFS(TbDespesas[valor_total_despesa], TbDespesas[nomefornecedor],_xlfn.ANCHORARRAY( A2)))</f>
        <v>26068</v>
      </c>
      <c r="D2" t="str" cm="1">
        <f t="array" ref="D2:E9">_xlfn.TAKE(_xlfn._xlws.SORT(_xlfn.HSTACK(_xlfn.ANCHORARRAY(A2),_xlfn.ANCHORARRAY( B2)), 2, -1), DashBoard!$A$7)</f>
        <v>Luiza Aparecida</v>
      </c>
      <c r="E2">
        <v>406498</v>
      </c>
      <c r="N2" s="4" t="str">
        <f>"Top " &amp; DashBoard!A7 &amp; " " &amp; DashBoard!A22</f>
        <v>Top 8 Clientes</v>
      </c>
    </row>
    <row r="3" spans="1:14">
      <c r="A3" t="str">
        <v>Enrico Freitas</v>
      </c>
      <c r="B3">
        <v>33191</v>
      </c>
      <c r="D3" t="str">
        <v>Ana Vitória Fogaça</v>
      </c>
      <c r="E3">
        <v>398160</v>
      </c>
    </row>
    <row r="4" spans="1:14">
      <c r="A4" t="str">
        <v>Dra. Alana Moreira</v>
      </c>
      <c r="B4">
        <v>132459</v>
      </c>
      <c r="D4" t="str">
        <v>Lara Rodrigues</v>
      </c>
      <c r="E4">
        <v>379230</v>
      </c>
    </row>
    <row r="5" spans="1:14">
      <c r="A5" t="str">
        <v>Thiago Rezende</v>
      </c>
      <c r="B5">
        <v>55637</v>
      </c>
      <c r="D5" t="str">
        <v>Brayan da Mata</v>
      </c>
      <c r="E5">
        <v>370492</v>
      </c>
    </row>
    <row r="6" spans="1:14">
      <c r="A6" t="str">
        <v>Brenda da Paz</v>
      </c>
      <c r="B6">
        <v>232044</v>
      </c>
      <c r="D6" t="str">
        <v>Sra. Agatha Pacheco</v>
      </c>
      <c r="E6">
        <v>357212</v>
      </c>
    </row>
    <row r="7" spans="1:14">
      <c r="A7" t="str">
        <v>Sr. Otávio Nunes</v>
      </c>
      <c r="B7">
        <v>20691</v>
      </c>
      <c r="D7" t="str">
        <v>Ísis Ramos</v>
      </c>
      <c r="E7">
        <v>324098</v>
      </c>
    </row>
    <row r="8" spans="1:14">
      <c r="A8" t="str">
        <v>Luiz Felipe Farias</v>
      </c>
      <c r="B8">
        <v>27006</v>
      </c>
      <c r="D8" t="str">
        <v>Erick Siqueira</v>
      </c>
      <c r="E8">
        <v>323239</v>
      </c>
    </row>
    <row r="9" spans="1:14">
      <c r="A9" t="str">
        <v>Dr. João Lucas Cavalcante</v>
      </c>
      <c r="B9">
        <v>183928</v>
      </c>
      <c r="D9" t="str">
        <v>Maria Liz Novais</v>
      </c>
      <c r="E9">
        <v>320709</v>
      </c>
    </row>
    <row r="10" spans="1:14">
      <c r="A10" t="str">
        <v>Yasmin Pinto</v>
      </c>
      <c r="B10">
        <v>117704</v>
      </c>
    </row>
    <row r="11" spans="1:14">
      <c r="A11" t="str">
        <v>Ana Vitória Abreu</v>
      </c>
      <c r="B11">
        <v>120200</v>
      </c>
    </row>
    <row r="12" spans="1:14">
      <c r="A12" t="str">
        <v>Sr. Henry Gomes</v>
      </c>
      <c r="B12">
        <v>142416</v>
      </c>
    </row>
    <row r="13" spans="1:14">
      <c r="A13" t="str">
        <v>Yan Correia</v>
      </c>
      <c r="B13">
        <v>153837</v>
      </c>
    </row>
    <row r="14" spans="1:14">
      <c r="A14" t="str">
        <v>Dr. Lucca Duarte</v>
      </c>
      <c r="B14">
        <v>116665</v>
      </c>
    </row>
    <row r="15" spans="1:14">
      <c r="A15" t="str">
        <v>Vinicius da Cruz</v>
      </c>
      <c r="B15">
        <v>59184</v>
      </c>
    </row>
    <row r="16" spans="1:14">
      <c r="A16" t="str">
        <v>Heitor Oliveira</v>
      </c>
      <c r="B16">
        <v>128506</v>
      </c>
    </row>
    <row r="17" spans="1:2">
      <c r="A17" t="str">
        <v>Sr. Juan Cunha</v>
      </c>
      <c r="B17">
        <v>162754</v>
      </c>
    </row>
    <row r="18" spans="1:2">
      <c r="A18" t="str">
        <v>Miguel Nogueira</v>
      </c>
      <c r="B18">
        <v>173606</v>
      </c>
    </row>
    <row r="19" spans="1:2">
      <c r="A19" t="str">
        <v>Allana Araújo</v>
      </c>
      <c r="B19">
        <v>123410</v>
      </c>
    </row>
    <row r="20" spans="1:2">
      <c r="A20" t="str">
        <v>Dr. Mathias Guerra</v>
      </c>
      <c r="B20">
        <v>216689</v>
      </c>
    </row>
    <row r="21" spans="1:2">
      <c r="A21" t="str">
        <v>Léo Gonçalves</v>
      </c>
      <c r="B21">
        <v>123537</v>
      </c>
    </row>
    <row r="22" spans="1:2">
      <c r="A22" t="str">
        <v>Sophia Dias</v>
      </c>
      <c r="B22">
        <v>265239</v>
      </c>
    </row>
    <row r="23" spans="1:2">
      <c r="A23" t="str">
        <v>Leonardo Correia</v>
      </c>
      <c r="B23">
        <v>205960</v>
      </c>
    </row>
    <row r="24" spans="1:2">
      <c r="A24" t="str">
        <v>Srta. Elisa Vargas</v>
      </c>
      <c r="B24">
        <v>145528</v>
      </c>
    </row>
    <row r="25" spans="1:2">
      <c r="A25" t="str">
        <v>Guilherme Costela</v>
      </c>
      <c r="B25">
        <v>81169</v>
      </c>
    </row>
    <row r="26" spans="1:2">
      <c r="A26" t="str">
        <v>Maria Isis Silveira</v>
      </c>
      <c r="B26">
        <v>19232</v>
      </c>
    </row>
    <row r="27" spans="1:2">
      <c r="A27" t="str">
        <v>Ian Cardoso</v>
      </c>
      <c r="B27">
        <v>125840</v>
      </c>
    </row>
    <row r="28" spans="1:2">
      <c r="A28" t="str">
        <v>Theodoro Santos</v>
      </c>
      <c r="B28">
        <v>180662</v>
      </c>
    </row>
    <row r="29" spans="1:2">
      <c r="A29" t="str">
        <v>André Costela</v>
      </c>
      <c r="B29">
        <v>3369</v>
      </c>
    </row>
    <row r="30" spans="1:2">
      <c r="A30" t="str">
        <v>Catarina Cirino</v>
      </c>
      <c r="B30">
        <v>46905</v>
      </c>
    </row>
    <row r="31" spans="1:2">
      <c r="A31" t="str">
        <v>Alice Pimenta</v>
      </c>
      <c r="B31">
        <v>19888</v>
      </c>
    </row>
    <row r="32" spans="1:2">
      <c r="A32" t="str">
        <v>Dr. Ryan Garcia</v>
      </c>
      <c r="B32">
        <v>82403</v>
      </c>
    </row>
    <row r="33" spans="1:2">
      <c r="A33" t="str">
        <v>Cauã Dias</v>
      </c>
      <c r="B33">
        <v>183508</v>
      </c>
    </row>
    <row r="34" spans="1:2">
      <c r="A34" t="str">
        <v>Vicente Silveira</v>
      </c>
      <c r="B34">
        <v>109277</v>
      </c>
    </row>
    <row r="35" spans="1:2">
      <c r="A35" t="str">
        <v>Maria Luísa Garcia</v>
      </c>
      <c r="B35">
        <v>138484</v>
      </c>
    </row>
    <row r="36" spans="1:2">
      <c r="A36" t="str">
        <v>Ana Carolina Martins</v>
      </c>
      <c r="B36">
        <v>88262</v>
      </c>
    </row>
    <row r="37" spans="1:2">
      <c r="A37" t="str">
        <v>Júlia Oliveira</v>
      </c>
      <c r="B37">
        <v>34346</v>
      </c>
    </row>
    <row r="38" spans="1:2">
      <c r="A38" t="str">
        <v>Maria Cecília Rocha</v>
      </c>
      <c r="B38">
        <v>35223</v>
      </c>
    </row>
    <row r="39" spans="1:2">
      <c r="A39" t="str">
        <v>Matteo Correia</v>
      </c>
      <c r="B39">
        <v>56583</v>
      </c>
    </row>
    <row r="40" spans="1:2">
      <c r="A40" t="str">
        <v>Heloísa Nascimento</v>
      </c>
      <c r="B40">
        <v>30333</v>
      </c>
    </row>
    <row r="41" spans="1:2">
      <c r="A41" t="str">
        <v>Dr. Benjamim Gonçalves</v>
      </c>
      <c r="B41">
        <v>64278</v>
      </c>
    </row>
    <row r="42" spans="1:2">
      <c r="A42" t="str">
        <v>Anthony Gabriel Montenegro</v>
      </c>
      <c r="B42">
        <v>22591</v>
      </c>
    </row>
    <row r="43" spans="1:2">
      <c r="A43" t="str">
        <v>Dr. Otto Lopes</v>
      </c>
      <c r="B43">
        <v>8572</v>
      </c>
    </row>
    <row r="44" spans="1:2">
      <c r="A44" t="str">
        <v>Davi Lucas Gomes</v>
      </c>
      <c r="B44">
        <v>152078</v>
      </c>
    </row>
    <row r="45" spans="1:2">
      <c r="A45" t="str">
        <v>Srta. Júlia Santos</v>
      </c>
      <c r="B45">
        <v>316039</v>
      </c>
    </row>
    <row r="46" spans="1:2">
      <c r="A46" t="str">
        <v>Aurora Nogueira</v>
      </c>
      <c r="B46">
        <v>69220</v>
      </c>
    </row>
    <row r="47" spans="1:2">
      <c r="A47" t="str">
        <v>Srta. Amanda Costela</v>
      </c>
      <c r="B47">
        <v>156248</v>
      </c>
    </row>
    <row r="48" spans="1:2">
      <c r="A48" t="str">
        <v>Lorena Cunha</v>
      </c>
      <c r="B48">
        <v>56862</v>
      </c>
    </row>
    <row r="49" spans="1:2">
      <c r="A49" t="str">
        <v>Dr. João Gabriel Nunes</v>
      </c>
      <c r="B49">
        <v>42806</v>
      </c>
    </row>
    <row r="50" spans="1:2">
      <c r="A50" t="str">
        <v>Maria Fernanda Cavalcanti</v>
      </c>
      <c r="B50">
        <v>204381</v>
      </c>
    </row>
    <row r="51" spans="1:2">
      <c r="A51" t="str">
        <v>Sra. Maria Julia Abreu</v>
      </c>
      <c r="B51">
        <v>82166</v>
      </c>
    </row>
    <row r="52" spans="1:2">
      <c r="A52" t="str">
        <v>Diego Siqueira</v>
      </c>
      <c r="B52">
        <v>68291</v>
      </c>
    </row>
    <row r="53" spans="1:2">
      <c r="A53" t="str">
        <v>Apollo Costa</v>
      </c>
      <c r="B53">
        <v>151229</v>
      </c>
    </row>
    <row r="54" spans="1:2">
      <c r="A54" t="str">
        <v>Heloísa Viana</v>
      </c>
      <c r="B54">
        <v>205201</v>
      </c>
    </row>
    <row r="55" spans="1:2">
      <c r="A55" t="str">
        <v>Caio Pacheco</v>
      </c>
      <c r="B55">
        <v>163432</v>
      </c>
    </row>
    <row r="56" spans="1:2">
      <c r="A56" t="str">
        <v>Rael Silva</v>
      </c>
      <c r="B56">
        <v>101271</v>
      </c>
    </row>
    <row r="57" spans="1:2">
      <c r="A57" t="str">
        <v>Sr. Benjamim Novais</v>
      </c>
      <c r="B57">
        <v>219960</v>
      </c>
    </row>
    <row r="58" spans="1:2">
      <c r="A58" t="str">
        <v>Sra. Agatha Pacheco</v>
      </c>
      <c r="B58">
        <v>357212</v>
      </c>
    </row>
    <row r="59" spans="1:2">
      <c r="A59" t="str">
        <v>Eduardo da Cunha</v>
      </c>
      <c r="B59">
        <v>22733</v>
      </c>
    </row>
    <row r="60" spans="1:2">
      <c r="A60" t="str">
        <v>Miguel Câmara</v>
      </c>
      <c r="B60">
        <v>215088</v>
      </c>
    </row>
    <row r="61" spans="1:2">
      <c r="A61" t="str">
        <v>Vitor Hugo Nunes</v>
      </c>
      <c r="B61">
        <v>269440</v>
      </c>
    </row>
    <row r="62" spans="1:2">
      <c r="A62" t="str">
        <v>Valentina Novaes</v>
      </c>
      <c r="B62">
        <v>48580</v>
      </c>
    </row>
    <row r="63" spans="1:2">
      <c r="A63" t="str">
        <v>Esther Pimenta</v>
      </c>
      <c r="B63">
        <v>220023</v>
      </c>
    </row>
    <row r="64" spans="1:2">
      <c r="A64" t="str">
        <v>Liz Fonseca</v>
      </c>
      <c r="B64">
        <v>92577</v>
      </c>
    </row>
    <row r="65" spans="1:2">
      <c r="A65" t="str">
        <v>Melissa Araújo</v>
      </c>
      <c r="B65">
        <v>36312</v>
      </c>
    </row>
    <row r="66" spans="1:2">
      <c r="A66" t="str">
        <v>Aylla Brito</v>
      </c>
      <c r="B66">
        <v>73245</v>
      </c>
    </row>
    <row r="67" spans="1:2">
      <c r="A67" t="str">
        <v>Lorenzo das Neves</v>
      </c>
      <c r="B67">
        <v>223591</v>
      </c>
    </row>
    <row r="68" spans="1:2">
      <c r="A68" t="str">
        <v>Ravi Lucca Fogaça</v>
      </c>
      <c r="B68">
        <v>209383</v>
      </c>
    </row>
    <row r="69" spans="1:2">
      <c r="A69" t="str">
        <v>Aurora da Rocha</v>
      </c>
      <c r="B69">
        <v>124367</v>
      </c>
    </row>
    <row r="70" spans="1:2">
      <c r="A70" t="str">
        <v>Matteo Araújo</v>
      </c>
      <c r="B70">
        <v>272610</v>
      </c>
    </row>
    <row r="71" spans="1:2">
      <c r="A71" t="str">
        <v>João Felipe Novaes</v>
      </c>
      <c r="B71">
        <v>166301</v>
      </c>
    </row>
    <row r="72" spans="1:2">
      <c r="A72" t="str">
        <v>Isabella Ribeiro</v>
      </c>
      <c r="B72">
        <v>14965</v>
      </c>
    </row>
    <row r="73" spans="1:2">
      <c r="A73" t="str">
        <v>Dr. Noah Porto</v>
      </c>
      <c r="B73">
        <v>69914</v>
      </c>
    </row>
    <row r="74" spans="1:2">
      <c r="A74" t="str">
        <v>Milena da Rocha</v>
      </c>
      <c r="B74">
        <v>329</v>
      </c>
    </row>
    <row r="75" spans="1:2">
      <c r="A75" t="str">
        <v>Enzo Farias</v>
      </c>
      <c r="B75">
        <v>77272</v>
      </c>
    </row>
    <row r="76" spans="1:2">
      <c r="A76" t="str">
        <v>Rhavi Viana</v>
      </c>
      <c r="B76">
        <v>25028</v>
      </c>
    </row>
    <row r="77" spans="1:2">
      <c r="A77" t="str">
        <v>Julia Cavalcanti</v>
      </c>
      <c r="B77">
        <v>40217</v>
      </c>
    </row>
    <row r="78" spans="1:2">
      <c r="A78" t="str">
        <v>Kamilly da Conceição</v>
      </c>
      <c r="B78">
        <v>26928</v>
      </c>
    </row>
    <row r="79" spans="1:2">
      <c r="A79" t="str">
        <v>Davi Lucas Dias</v>
      </c>
      <c r="B79">
        <v>157429</v>
      </c>
    </row>
    <row r="80" spans="1:2">
      <c r="A80" t="str">
        <v>Heloísa da Cunha</v>
      </c>
      <c r="B80">
        <v>4473</v>
      </c>
    </row>
    <row r="81" spans="1:2">
      <c r="A81" t="str">
        <v>Aurora das Neves</v>
      </c>
      <c r="B81">
        <v>171974</v>
      </c>
    </row>
    <row r="82" spans="1:2">
      <c r="A82" t="str">
        <v>Sra. Manuela Cirino</v>
      </c>
      <c r="B82">
        <v>107460</v>
      </c>
    </row>
    <row r="83" spans="1:2">
      <c r="A83" t="str">
        <v>Dra. Nicole Fogaça</v>
      </c>
      <c r="B83">
        <v>59415</v>
      </c>
    </row>
    <row r="84" spans="1:2">
      <c r="A84" t="str">
        <v>Ester Pacheco</v>
      </c>
      <c r="B84">
        <v>163332</v>
      </c>
    </row>
    <row r="85" spans="1:2">
      <c r="A85" t="str">
        <v>Marina Lima</v>
      </c>
      <c r="B85">
        <v>159735</v>
      </c>
    </row>
    <row r="86" spans="1:2">
      <c r="A86" t="str">
        <v>Lavínia Andrade</v>
      </c>
      <c r="B86">
        <v>174093</v>
      </c>
    </row>
    <row r="87" spans="1:2">
      <c r="A87" t="str">
        <v>Henry da Rocha</v>
      </c>
      <c r="B87">
        <v>40568</v>
      </c>
    </row>
    <row r="88" spans="1:2">
      <c r="A88" t="str">
        <v>Caio Montenegro</v>
      </c>
      <c r="B88">
        <v>54515</v>
      </c>
    </row>
    <row r="89" spans="1:2">
      <c r="A89" t="str">
        <v>Augusto Silva</v>
      </c>
      <c r="B89">
        <v>36483</v>
      </c>
    </row>
    <row r="90" spans="1:2">
      <c r="A90" t="str">
        <v>Larissa Santos</v>
      </c>
      <c r="B90">
        <v>138066</v>
      </c>
    </row>
    <row r="91" spans="1:2">
      <c r="A91" t="str">
        <v>Bento Lima</v>
      </c>
      <c r="B91">
        <v>19947</v>
      </c>
    </row>
    <row r="92" spans="1:2">
      <c r="A92" t="str">
        <v>Dr. Diogo Silveira</v>
      </c>
      <c r="B92">
        <v>125871</v>
      </c>
    </row>
    <row r="93" spans="1:2">
      <c r="A93" t="str">
        <v>Anthony Gabriel Melo</v>
      </c>
      <c r="B93">
        <v>191699</v>
      </c>
    </row>
    <row r="94" spans="1:2">
      <c r="A94" t="str">
        <v>Isabel Vasconcelos</v>
      </c>
      <c r="B94">
        <v>126086</v>
      </c>
    </row>
    <row r="95" spans="1:2">
      <c r="A95" t="str">
        <v>Natália Souza</v>
      </c>
      <c r="B95">
        <v>150778</v>
      </c>
    </row>
    <row r="96" spans="1:2">
      <c r="A96" t="str">
        <v>Luiza Aparecida</v>
      </c>
      <c r="B96">
        <v>406498</v>
      </c>
    </row>
    <row r="97" spans="1:2">
      <c r="A97" t="str">
        <v>Maria Julia Dias</v>
      </c>
      <c r="B97">
        <v>126611</v>
      </c>
    </row>
    <row r="98" spans="1:2">
      <c r="A98" t="str">
        <v>Juliana Oliveira</v>
      </c>
      <c r="B98">
        <v>89666</v>
      </c>
    </row>
    <row r="99" spans="1:2">
      <c r="A99" t="str">
        <v>Olívia Novais</v>
      </c>
      <c r="B99">
        <v>147952</v>
      </c>
    </row>
    <row r="100" spans="1:2">
      <c r="A100" t="str">
        <v>Sr. Benjamim Nascimento</v>
      </c>
      <c r="B100">
        <v>284637</v>
      </c>
    </row>
    <row r="101" spans="1:2">
      <c r="A101" t="str">
        <v>Antony Dias</v>
      </c>
      <c r="B101">
        <v>118320</v>
      </c>
    </row>
    <row r="102" spans="1:2">
      <c r="A102" t="str">
        <v>Mathias da Rosa</v>
      </c>
      <c r="B102">
        <v>128067</v>
      </c>
    </row>
    <row r="103" spans="1:2">
      <c r="A103" t="str">
        <v>Marcos Vinicius Guerra</v>
      </c>
      <c r="B103">
        <v>104385</v>
      </c>
    </row>
    <row r="104" spans="1:2">
      <c r="A104" t="str">
        <v>João Gabriel Santos</v>
      </c>
      <c r="B104">
        <v>94123</v>
      </c>
    </row>
    <row r="105" spans="1:2">
      <c r="A105" t="str">
        <v>Milena Cardoso</v>
      </c>
      <c r="B105">
        <v>178959</v>
      </c>
    </row>
    <row r="106" spans="1:2">
      <c r="A106" t="str">
        <v>Otávio da Rocha</v>
      </c>
      <c r="B106">
        <v>22417</v>
      </c>
    </row>
    <row r="107" spans="1:2">
      <c r="A107" t="str">
        <v>Francisco Sales</v>
      </c>
      <c r="B107">
        <v>212565</v>
      </c>
    </row>
    <row r="108" spans="1:2">
      <c r="A108" t="str">
        <v>Lorenzo Cassiano</v>
      </c>
      <c r="B108">
        <v>56421</v>
      </c>
    </row>
    <row r="109" spans="1:2">
      <c r="A109" t="str">
        <v>Juan da Paz</v>
      </c>
      <c r="B109">
        <v>67029</v>
      </c>
    </row>
    <row r="110" spans="1:2">
      <c r="A110" t="str">
        <v>Rebeca Brito</v>
      </c>
      <c r="B110">
        <v>108230</v>
      </c>
    </row>
    <row r="111" spans="1:2">
      <c r="A111" t="str">
        <v>Anthony Gabriel Pacheco</v>
      </c>
      <c r="B111">
        <v>184289</v>
      </c>
    </row>
    <row r="112" spans="1:2">
      <c r="A112" t="str">
        <v>André Cardoso</v>
      </c>
      <c r="B112">
        <v>220007</v>
      </c>
    </row>
    <row r="113" spans="1:2">
      <c r="A113" t="str">
        <v>Théo Fogaça</v>
      </c>
      <c r="B113">
        <v>79269</v>
      </c>
    </row>
    <row r="114" spans="1:2">
      <c r="A114" t="str">
        <v>Lucas Gabriel Melo</v>
      </c>
      <c r="B114">
        <v>184241</v>
      </c>
    </row>
    <row r="115" spans="1:2">
      <c r="A115" t="str">
        <v>Lorena Duarte</v>
      </c>
      <c r="B115">
        <v>122680</v>
      </c>
    </row>
    <row r="116" spans="1:2">
      <c r="A116" t="str">
        <v>João Guilherme Marques</v>
      </c>
      <c r="B116">
        <v>112551</v>
      </c>
    </row>
    <row r="117" spans="1:2">
      <c r="A117" t="str">
        <v>Ana Júlia Vieira</v>
      </c>
      <c r="B117">
        <v>255809</v>
      </c>
    </row>
    <row r="118" spans="1:2">
      <c r="A118" t="str">
        <v>Leandro Correia</v>
      </c>
      <c r="B118">
        <v>80610</v>
      </c>
    </row>
    <row r="119" spans="1:2">
      <c r="A119" t="str">
        <v>Francisco Cavalcanti</v>
      </c>
      <c r="B119">
        <v>50225</v>
      </c>
    </row>
    <row r="120" spans="1:2">
      <c r="A120" t="str">
        <v>Maria Fernanda da Cunha</v>
      </c>
      <c r="B120">
        <v>64508</v>
      </c>
    </row>
    <row r="121" spans="1:2">
      <c r="A121" t="str">
        <v>Maya Pereira</v>
      </c>
      <c r="B121">
        <v>143105</v>
      </c>
    </row>
    <row r="122" spans="1:2">
      <c r="A122" t="str">
        <v>Sr. Valentim Pastor</v>
      </c>
      <c r="B122">
        <v>252637</v>
      </c>
    </row>
    <row r="123" spans="1:2">
      <c r="A123" t="str">
        <v>Sra. Ana Vitória Jesus</v>
      </c>
      <c r="B123">
        <v>170441</v>
      </c>
    </row>
    <row r="124" spans="1:2">
      <c r="A124" t="str">
        <v>Levi Araújo</v>
      </c>
      <c r="B124">
        <v>206402</v>
      </c>
    </row>
    <row r="125" spans="1:2">
      <c r="A125" t="str">
        <v>Maria Helena da Rocha</v>
      </c>
      <c r="B125">
        <v>175957</v>
      </c>
    </row>
    <row r="126" spans="1:2">
      <c r="A126" t="str">
        <v>Valentim Aparecida</v>
      </c>
      <c r="B126">
        <v>232208</v>
      </c>
    </row>
    <row r="127" spans="1:2">
      <c r="A127" t="str">
        <v>Dante Gomes</v>
      </c>
      <c r="B127">
        <v>144730</v>
      </c>
    </row>
    <row r="128" spans="1:2">
      <c r="A128" t="str">
        <v>Luiz Miguel Macedo</v>
      </c>
      <c r="B128">
        <v>101065</v>
      </c>
    </row>
    <row r="129" spans="1:2">
      <c r="A129" t="str">
        <v>Dr. Luiz Otávio Rodrigues</v>
      </c>
      <c r="B129">
        <v>117542</v>
      </c>
    </row>
    <row r="130" spans="1:2">
      <c r="A130" t="str">
        <v>Emanuel Leão</v>
      </c>
      <c r="B130">
        <v>32705</v>
      </c>
    </row>
    <row r="131" spans="1:2">
      <c r="A131" t="str">
        <v>Isabelly Almeida</v>
      </c>
      <c r="B131">
        <v>106711</v>
      </c>
    </row>
    <row r="132" spans="1:2">
      <c r="A132" t="str">
        <v>Lívia da Cunha</v>
      </c>
      <c r="B132">
        <v>75688</v>
      </c>
    </row>
    <row r="133" spans="1:2">
      <c r="A133" t="str">
        <v>Enzo Gabriel Correia</v>
      </c>
      <c r="B133">
        <v>147032</v>
      </c>
    </row>
    <row r="134" spans="1:2">
      <c r="A134" t="str">
        <v>Marcelo Nascimento</v>
      </c>
      <c r="B134">
        <v>101386</v>
      </c>
    </row>
    <row r="135" spans="1:2">
      <c r="A135" t="str">
        <v>João Pedro Sá</v>
      </c>
      <c r="B135">
        <v>58045</v>
      </c>
    </row>
    <row r="136" spans="1:2">
      <c r="A136" t="str">
        <v>Allana Ramos</v>
      </c>
      <c r="B136">
        <v>207563</v>
      </c>
    </row>
    <row r="137" spans="1:2">
      <c r="A137" t="str">
        <v>Sara Alves</v>
      </c>
      <c r="B137">
        <v>173338</v>
      </c>
    </row>
    <row r="138" spans="1:2">
      <c r="A138" t="str">
        <v>Hadassa Costela</v>
      </c>
      <c r="B138">
        <v>233095</v>
      </c>
    </row>
    <row r="139" spans="1:2">
      <c r="A139" t="str">
        <v>Bella Souza</v>
      </c>
      <c r="B139">
        <v>59914</v>
      </c>
    </row>
    <row r="140" spans="1:2">
      <c r="A140" t="str">
        <v>Asafe Aparecida</v>
      </c>
      <c r="B140">
        <v>167209</v>
      </c>
    </row>
    <row r="141" spans="1:2">
      <c r="A141" t="str">
        <v>Sr. Dom Azevedo</v>
      </c>
      <c r="B141">
        <v>9684</v>
      </c>
    </row>
    <row r="142" spans="1:2">
      <c r="A142" t="str">
        <v>Yasmin Siqueira</v>
      </c>
      <c r="B142">
        <v>75258</v>
      </c>
    </row>
    <row r="143" spans="1:2">
      <c r="A143" t="str">
        <v>Melina Peixoto</v>
      </c>
      <c r="B143">
        <v>236786</v>
      </c>
    </row>
    <row r="144" spans="1:2">
      <c r="A144" t="str">
        <v>Laís Costa</v>
      </c>
      <c r="B144">
        <v>134252</v>
      </c>
    </row>
    <row r="145" spans="1:2">
      <c r="A145" t="str">
        <v>Sr. Theo Fernandes</v>
      </c>
      <c r="B145">
        <v>36444</v>
      </c>
    </row>
    <row r="146" spans="1:2">
      <c r="A146" t="str">
        <v>Fernanda Vieira</v>
      </c>
      <c r="B146">
        <v>79108</v>
      </c>
    </row>
    <row r="147" spans="1:2">
      <c r="A147" t="str">
        <v>Gustavo Henrique Caldeira</v>
      </c>
      <c r="B147">
        <v>90666</v>
      </c>
    </row>
    <row r="148" spans="1:2">
      <c r="A148" t="str">
        <v>Aurora Duarte</v>
      </c>
      <c r="B148">
        <v>76473</v>
      </c>
    </row>
    <row r="149" spans="1:2">
      <c r="A149" t="str">
        <v>Luiza Moreira</v>
      </c>
      <c r="B149">
        <v>129702</v>
      </c>
    </row>
    <row r="150" spans="1:2">
      <c r="A150" t="str">
        <v>Dra. Maria Liz Rocha</v>
      </c>
      <c r="B150">
        <v>88233</v>
      </c>
    </row>
    <row r="151" spans="1:2">
      <c r="A151" t="str">
        <v>Julia Marques</v>
      </c>
      <c r="B151">
        <v>58573</v>
      </c>
    </row>
    <row r="152" spans="1:2">
      <c r="A152" t="str">
        <v>Fernando Andrade</v>
      </c>
      <c r="B152">
        <v>247934</v>
      </c>
    </row>
    <row r="153" spans="1:2">
      <c r="A153" t="str">
        <v>Rhavi Rodrigues</v>
      </c>
      <c r="B153">
        <v>207486</v>
      </c>
    </row>
    <row r="154" spans="1:2">
      <c r="A154" t="str">
        <v>Maitê Rocha</v>
      </c>
      <c r="B154">
        <v>71884</v>
      </c>
    </row>
    <row r="155" spans="1:2">
      <c r="A155" t="str">
        <v>Sophie Dias</v>
      </c>
      <c r="B155">
        <v>104990</v>
      </c>
    </row>
    <row r="156" spans="1:2">
      <c r="A156" t="str">
        <v>Rael Machado</v>
      </c>
      <c r="B156">
        <v>29812</v>
      </c>
    </row>
    <row r="157" spans="1:2">
      <c r="A157" t="str">
        <v>Vitória Fernandes</v>
      </c>
      <c r="B157">
        <v>44829</v>
      </c>
    </row>
    <row r="158" spans="1:2">
      <c r="A158" t="str">
        <v>Heitor Vargas</v>
      </c>
      <c r="B158">
        <v>316021</v>
      </c>
    </row>
    <row r="159" spans="1:2">
      <c r="A159" t="str">
        <v>Igor Cassiano</v>
      </c>
      <c r="B159">
        <v>28625</v>
      </c>
    </row>
    <row r="160" spans="1:2">
      <c r="A160" t="str">
        <v>Renan Barbosa</v>
      </c>
      <c r="B160">
        <v>261395</v>
      </c>
    </row>
    <row r="161" spans="1:2">
      <c r="A161" t="str">
        <v>Igor Melo</v>
      </c>
      <c r="B161">
        <v>44853</v>
      </c>
    </row>
    <row r="162" spans="1:2">
      <c r="A162" t="str">
        <v>Lucca Guerra</v>
      </c>
      <c r="B162">
        <v>39244</v>
      </c>
    </row>
    <row r="163" spans="1:2">
      <c r="A163" t="str">
        <v>Dr. André Correia</v>
      </c>
      <c r="B163">
        <v>93685</v>
      </c>
    </row>
    <row r="164" spans="1:2">
      <c r="A164" t="str">
        <v>Alexandre Caldeira</v>
      </c>
      <c r="B164">
        <v>135765</v>
      </c>
    </row>
    <row r="165" spans="1:2">
      <c r="A165" t="str">
        <v>Bella Duarte</v>
      </c>
      <c r="B165">
        <v>151647</v>
      </c>
    </row>
    <row r="166" spans="1:2">
      <c r="A166" t="str">
        <v>Isis Nascimento</v>
      </c>
      <c r="B166">
        <v>123403</v>
      </c>
    </row>
    <row r="167" spans="1:2">
      <c r="A167" t="str">
        <v>Lívia Nunes</v>
      </c>
      <c r="B167">
        <v>128002</v>
      </c>
    </row>
    <row r="168" spans="1:2">
      <c r="A168" t="str">
        <v>Maria Júlia Cassiano</v>
      </c>
      <c r="B168">
        <v>84152</v>
      </c>
    </row>
    <row r="169" spans="1:2">
      <c r="A169" t="str">
        <v>Gael Azevedo</v>
      </c>
      <c r="B169">
        <v>103749</v>
      </c>
    </row>
    <row r="170" spans="1:2">
      <c r="A170" t="str">
        <v>João Lucas Jesus</v>
      </c>
      <c r="B170">
        <v>171163</v>
      </c>
    </row>
    <row r="171" spans="1:2">
      <c r="A171" t="str">
        <v>Rafaela Alves</v>
      </c>
      <c r="B171">
        <v>126648</v>
      </c>
    </row>
    <row r="172" spans="1:2">
      <c r="A172" t="str">
        <v>Dra. Ana Júlia Viana</v>
      </c>
      <c r="B172">
        <v>275259</v>
      </c>
    </row>
    <row r="173" spans="1:2">
      <c r="A173" t="str">
        <v>Srta. Laís Cassiano</v>
      </c>
      <c r="B173">
        <v>171461</v>
      </c>
    </row>
    <row r="174" spans="1:2">
      <c r="A174" t="str">
        <v>Maria Cecília Leão</v>
      </c>
      <c r="B174">
        <v>187289</v>
      </c>
    </row>
    <row r="175" spans="1:2">
      <c r="A175" t="str">
        <v>Dra. Vitória Almeida</v>
      </c>
      <c r="B175">
        <v>173931</v>
      </c>
    </row>
    <row r="176" spans="1:2">
      <c r="A176" t="str">
        <v>Luiz Henrique Sousa</v>
      </c>
      <c r="B176">
        <v>144154</v>
      </c>
    </row>
    <row r="177" spans="1:2">
      <c r="A177" t="str">
        <v>Vitor Gabriel da Conceição</v>
      </c>
      <c r="B177">
        <v>17412</v>
      </c>
    </row>
    <row r="178" spans="1:2">
      <c r="A178" t="str">
        <v>Natália Sousa</v>
      </c>
      <c r="B178">
        <v>120527</v>
      </c>
    </row>
    <row r="179" spans="1:2">
      <c r="A179" t="str">
        <v>Levi Carvalho</v>
      </c>
      <c r="B179">
        <v>62056</v>
      </c>
    </row>
    <row r="180" spans="1:2">
      <c r="A180" t="str">
        <v>Stephany Fogaça</v>
      </c>
      <c r="B180">
        <v>64108</v>
      </c>
    </row>
    <row r="181" spans="1:2">
      <c r="A181" t="str">
        <v>Ana Carolina Lima</v>
      </c>
      <c r="B181">
        <v>22200</v>
      </c>
    </row>
    <row r="182" spans="1:2">
      <c r="A182" t="str">
        <v>Dra. Ana Laura Peixoto</v>
      </c>
      <c r="B182">
        <v>63500</v>
      </c>
    </row>
    <row r="183" spans="1:2">
      <c r="A183" t="str">
        <v>Dra. Ana Liz Câmara</v>
      </c>
      <c r="B183">
        <v>12183</v>
      </c>
    </row>
    <row r="184" spans="1:2">
      <c r="A184" t="str">
        <v>Bruno Rezende</v>
      </c>
      <c r="B184">
        <v>93193</v>
      </c>
    </row>
    <row r="185" spans="1:2">
      <c r="A185" t="str">
        <v>João Lucas Rodrigues</v>
      </c>
      <c r="B185">
        <v>147156</v>
      </c>
    </row>
    <row r="186" spans="1:2">
      <c r="A186" t="str">
        <v>Enzo Castro</v>
      </c>
      <c r="B186">
        <v>84718</v>
      </c>
    </row>
    <row r="187" spans="1:2">
      <c r="A187" t="str">
        <v>Srta. Allana Silva</v>
      </c>
      <c r="B187">
        <v>54696</v>
      </c>
    </row>
    <row r="188" spans="1:2">
      <c r="A188" t="str">
        <v>Breno da Cruz</v>
      </c>
      <c r="B188">
        <v>26860</v>
      </c>
    </row>
    <row r="189" spans="1:2">
      <c r="A189" t="str">
        <v>Pietro Araújo</v>
      </c>
      <c r="B189">
        <v>31812</v>
      </c>
    </row>
    <row r="190" spans="1:2">
      <c r="A190" t="str">
        <v>Maria Rocha</v>
      </c>
      <c r="B190">
        <v>114911</v>
      </c>
    </row>
    <row r="191" spans="1:2">
      <c r="A191" t="str">
        <v>Ísis Moraes</v>
      </c>
      <c r="B191">
        <v>21471</v>
      </c>
    </row>
    <row r="192" spans="1:2">
      <c r="A192" t="str">
        <v>Dr. Miguel Pinto</v>
      </c>
      <c r="B192">
        <v>53798</v>
      </c>
    </row>
    <row r="193" spans="1:2">
      <c r="A193" t="str">
        <v>Noah Pimenta</v>
      </c>
      <c r="B193">
        <v>18058</v>
      </c>
    </row>
    <row r="194" spans="1:2">
      <c r="A194" t="str">
        <v>Samuel Casa Grande</v>
      </c>
      <c r="B194">
        <v>250290</v>
      </c>
    </row>
    <row r="195" spans="1:2">
      <c r="A195" t="str">
        <v>Henry Araújo</v>
      </c>
      <c r="B195">
        <v>187755</v>
      </c>
    </row>
    <row r="196" spans="1:2">
      <c r="A196" t="str">
        <v>Luiz Miguel Duarte</v>
      </c>
      <c r="B196">
        <v>224994</v>
      </c>
    </row>
    <row r="197" spans="1:2">
      <c r="A197" t="str">
        <v>Olivia Leão</v>
      </c>
      <c r="B197">
        <v>43003</v>
      </c>
    </row>
    <row r="198" spans="1:2">
      <c r="A198" t="str">
        <v>Nicole Mendonça</v>
      </c>
      <c r="B198">
        <v>31451</v>
      </c>
    </row>
    <row r="199" spans="1:2">
      <c r="A199" t="str">
        <v>Elisa Jesus</v>
      </c>
      <c r="B199">
        <v>65504</v>
      </c>
    </row>
    <row r="200" spans="1:2">
      <c r="A200" t="str">
        <v>Caleb Cardoso</v>
      </c>
      <c r="B200">
        <v>106809</v>
      </c>
    </row>
    <row r="201" spans="1:2">
      <c r="A201" t="str">
        <v>Felipe Mendes</v>
      </c>
      <c r="B201">
        <v>173417</v>
      </c>
    </row>
    <row r="202" spans="1:2">
      <c r="A202" t="str">
        <v>Ryan Siqueira</v>
      </c>
      <c r="B202">
        <v>136567</v>
      </c>
    </row>
    <row r="203" spans="1:2">
      <c r="A203" t="str">
        <v>Ana Carolina Costela</v>
      </c>
      <c r="B203">
        <v>64771</v>
      </c>
    </row>
    <row r="204" spans="1:2">
      <c r="A204" t="str">
        <v>Antonella Moreira</v>
      </c>
      <c r="B204">
        <v>135</v>
      </c>
    </row>
    <row r="205" spans="1:2">
      <c r="A205" t="str">
        <v>Ana Cecília Caldeira</v>
      </c>
      <c r="B205">
        <v>143226</v>
      </c>
    </row>
    <row r="206" spans="1:2">
      <c r="A206" t="str">
        <v>Bruna Porto</v>
      </c>
      <c r="B206">
        <v>16554</v>
      </c>
    </row>
    <row r="207" spans="1:2">
      <c r="A207" t="str">
        <v>Emilly Barbosa</v>
      </c>
      <c r="B207">
        <v>128730</v>
      </c>
    </row>
    <row r="208" spans="1:2">
      <c r="A208" t="str">
        <v>Maria Júlia Costa</v>
      </c>
      <c r="B208">
        <v>64273</v>
      </c>
    </row>
    <row r="209" spans="1:2">
      <c r="A209" t="str">
        <v>Augusto Castro</v>
      </c>
      <c r="B209">
        <v>68815</v>
      </c>
    </row>
    <row r="210" spans="1:2">
      <c r="A210" t="str">
        <v>Ravi Lucca Correia</v>
      </c>
      <c r="B210">
        <v>92904</v>
      </c>
    </row>
    <row r="211" spans="1:2">
      <c r="A211" t="str">
        <v>Kaique Oliveira</v>
      </c>
      <c r="B211">
        <v>147420</v>
      </c>
    </row>
    <row r="212" spans="1:2">
      <c r="A212" t="str">
        <v>Larissa Lopes</v>
      </c>
      <c r="B212">
        <v>74816</v>
      </c>
    </row>
    <row r="213" spans="1:2">
      <c r="A213" t="str">
        <v>José Miguel Azevedo</v>
      </c>
      <c r="B213">
        <v>58511</v>
      </c>
    </row>
    <row r="214" spans="1:2">
      <c r="A214" t="str">
        <v>Murilo Peixoto</v>
      </c>
      <c r="B214">
        <v>212308</v>
      </c>
    </row>
    <row r="215" spans="1:2">
      <c r="A215" t="str">
        <v>Olívia Novaes</v>
      </c>
      <c r="B215">
        <v>182315</v>
      </c>
    </row>
    <row r="216" spans="1:2">
      <c r="A216" t="str">
        <v>Renan Viana</v>
      </c>
      <c r="B216">
        <v>164619</v>
      </c>
    </row>
    <row r="217" spans="1:2">
      <c r="A217" t="str">
        <v>Anthony Mendonça</v>
      </c>
      <c r="B217">
        <v>38907</v>
      </c>
    </row>
    <row r="218" spans="1:2">
      <c r="A218" t="str">
        <v>Luísa Souza</v>
      </c>
      <c r="B218">
        <v>102932</v>
      </c>
    </row>
    <row r="219" spans="1:2">
      <c r="A219" t="str">
        <v>Josué Nunes</v>
      </c>
      <c r="B219">
        <v>221248</v>
      </c>
    </row>
    <row r="220" spans="1:2">
      <c r="A220" t="str">
        <v>Danilo Sampaio</v>
      </c>
      <c r="B220">
        <v>213746</v>
      </c>
    </row>
    <row r="221" spans="1:2">
      <c r="A221" t="str">
        <v>Brayan da Mata</v>
      </c>
      <c r="B221">
        <v>370492</v>
      </c>
    </row>
    <row r="222" spans="1:2">
      <c r="A222" t="str">
        <v>Ana Vitória Rios</v>
      </c>
      <c r="B222">
        <v>140986</v>
      </c>
    </row>
    <row r="223" spans="1:2">
      <c r="A223" t="str">
        <v>Elisa Fonseca</v>
      </c>
      <c r="B223">
        <v>183545</v>
      </c>
    </row>
    <row r="224" spans="1:2">
      <c r="A224" t="str">
        <v>Theodoro Melo</v>
      </c>
      <c r="B224">
        <v>58884</v>
      </c>
    </row>
    <row r="225" spans="1:2">
      <c r="A225" t="str">
        <v>Srta. Liz Casa Grande</v>
      </c>
      <c r="B225">
        <v>131090</v>
      </c>
    </row>
    <row r="226" spans="1:2">
      <c r="A226" t="str">
        <v>Bento Gomes</v>
      </c>
      <c r="B226">
        <v>171089</v>
      </c>
    </row>
    <row r="227" spans="1:2">
      <c r="A227" t="str">
        <v>Rhavi Marques</v>
      </c>
      <c r="B227">
        <v>82017</v>
      </c>
    </row>
    <row r="228" spans="1:2">
      <c r="A228" t="str">
        <v>Apollo Teixeira</v>
      </c>
      <c r="B228">
        <v>65985</v>
      </c>
    </row>
    <row r="229" spans="1:2">
      <c r="A229" t="str">
        <v>Sofia da Paz</v>
      </c>
      <c r="B229">
        <v>67905</v>
      </c>
    </row>
    <row r="230" spans="1:2">
      <c r="A230" t="str">
        <v>Srta. Mariah Caldeira</v>
      </c>
      <c r="B230">
        <v>46822</v>
      </c>
    </row>
    <row r="231" spans="1:2">
      <c r="A231" t="str">
        <v>Daniel Ribeiro</v>
      </c>
      <c r="B231">
        <v>39085</v>
      </c>
    </row>
    <row r="232" spans="1:2">
      <c r="A232" t="str">
        <v>Mariah Novais</v>
      </c>
      <c r="B232">
        <v>255440</v>
      </c>
    </row>
    <row r="233" spans="1:2">
      <c r="A233" t="str">
        <v>Vitor Machado</v>
      </c>
      <c r="B233">
        <v>35739</v>
      </c>
    </row>
    <row r="234" spans="1:2">
      <c r="A234" t="str">
        <v>Felipe Rodrigues</v>
      </c>
      <c r="B234">
        <v>69861</v>
      </c>
    </row>
    <row r="235" spans="1:2">
      <c r="A235" t="str">
        <v>Dra. Ana Liz Oliveira</v>
      </c>
      <c r="B235">
        <v>62731</v>
      </c>
    </row>
    <row r="236" spans="1:2">
      <c r="A236" t="str">
        <v>Alexandre Costa</v>
      </c>
      <c r="B236">
        <v>130747</v>
      </c>
    </row>
    <row r="237" spans="1:2">
      <c r="A237" t="str">
        <v>Benicio Nascimento</v>
      </c>
      <c r="B237">
        <v>95388</v>
      </c>
    </row>
    <row r="238" spans="1:2">
      <c r="A238" t="str">
        <v>Otávio Siqueira</v>
      </c>
      <c r="B238">
        <v>59537</v>
      </c>
    </row>
    <row r="239" spans="1:2">
      <c r="A239" t="str">
        <v>Rael Caldeira</v>
      </c>
      <c r="B239">
        <v>207808</v>
      </c>
    </row>
    <row r="240" spans="1:2">
      <c r="A240" t="str">
        <v>Rodrigo Correia</v>
      </c>
      <c r="B240">
        <v>45453</v>
      </c>
    </row>
    <row r="241" spans="1:2">
      <c r="A241" t="str">
        <v>Heloísa Sampaio</v>
      </c>
      <c r="B241">
        <v>115840</v>
      </c>
    </row>
    <row r="242" spans="1:2">
      <c r="A242" t="str">
        <v>Luísa Fernandes</v>
      </c>
      <c r="B242">
        <v>12866</v>
      </c>
    </row>
    <row r="243" spans="1:2">
      <c r="A243" t="str">
        <v>Sr. Miguel da Luz</v>
      </c>
      <c r="B243">
        <v>117021</v>
      </c>
    </row>
    <row r="244" spans="1:2">
      <c r="A244" t="str">
        <v>Luiz Otávio Caldeira</v>
      </c>
      <c r="B244">
        <v>105480</v>
      </c>
    </row>
    <row r="245" spans="1:2">
      <c r="A245" t="str">
        <v>Lucas Gabriel Jesus</v>
      </c>
      <c r="B245">
        <v>12004</v>
      </c>
    </row>
    <row r="246" spans="1:2">
      <c r="A246" t="str">
        <v>Sabrina Pires</v>
      </c>
      <c r="B246">
        <v>101633</v>
      </c>
    </row>
    <row r="247" spans="1:2">
      <c r="A247" t="str">
        <v>José Miguel Caldeira</v>
      </c>
      <c r="B247">
        <v>142634</v>
      </c>
    </row>
    <row r="248" spans="1:2">
      <c r="A248" t="str">
        <v>Julia Ferreira</v>
      </c>
      <c r="B248">
        <v>54516</v>
      </c>
    </row>
    <row r="249" spans="1:2">
      <c r="A249" t="str">
        <v>Cecília Casa Grande</v>
      </c>
      <c r="B249">
        <v>135769</v>
      </c>
    </row>
    <row r="250" spans="1:2">
      <c r="A250" t="str">
        <v>Henrique Sousa</v>
      </c>
      <c r="B250">
        <v>116138</v>
      </c>
    </row>
    <row r="251" spans="1:2">
      <c r="A251" t="str">
        <v>Caroline Costela</v>
      </c>
      <c r="B251">
        <v>9585</v>
      </c>
    </row>
    <row r="252" spans="1:2">
      <c r="A252" t="str">
        <v>Fernando Silveira</v>
      </c>
      <c r="B252">
        <v>282152</v>
      </c>
    </row>
    <row r="253" spans="1:2">
      <c r="A253" t="str">
        <v>Luiz Fernando das Neves</v>
      </c>
      <c r="B253">
        <v>93646</v>
      </c>
    </row>
    <row r="254" spans="1:2">
      <c r="A254" t="str">
        <v>Melissa Camargo</v>
      </c>
      <c r="B254">
        <v>54397</v>
      </c>
    </row>
    <row r="255" spans="1:2">
      <c r="A255" t="str">
        <v>Diogo Lima</v>
      </c>
      <c r="B255">
        <v>22498</v>
      </c>
    </row>
    <row r="256" spans="1:2">
      <c r="A256" t="str">
        <v>Dr. Caleb Moraes</v>
      </c>
      <c r="B256">
        <v>236058</v>
      </c>
    </row>
    <row r="257" spans="1:2">
      <c r="A257" t="str">
        <v>Ravi Rezende</v>
      </c>
      <c r="B257">
        <v>99453</v>
      </c>
    </row>
    <row r="258" spans="1:2">
      <c r="A258" t="str">
        <v>Davi Luiz Caldeira</v>
      </c>
      <c r="B258">
        <v>91353</v>
      </c>
    </row>
    <row r="259" spans="1:2">
      <c r="A259" t="str">
        <v>Dr. Lucca Lima</v>
      </c>
      <c r="B259">
        <v>45538</v>
      </c>
    </row>
    <row r="260" spans="1:2">
      <c r="A260" t="str">
        <v>Maria Liz Novais</v>
      </c>
      <c r="B260">
        <v>320709</v>
      </c>
    </row>
    <row r="261" spans="1:2">
      <c r="A261" t="str">
        <v>Gabrielly Dias</v>
      </c>
      <c r="B261">
        <v>133741</v>
      </c>
    </row>
    <row r="262" spans="1:2">
      <c r="A262" t="str">
        <v>Sabrina Ferreira</v>
      </c>
      <c r="B262">
        <v>25938</v>
      </c>
    </row>
    <row r="263" spans="1:2">
      <c r="A263" t="str">
        <v>Bruna Caldeira</v>
      </c>
      <c r="B263">
        <v>34858</v>
      </c>
    </row>
    <row r="264" spans="1:2">
      <c r="A264" t="str">
        <v>Ana Sophia Montenegro</v>
      </c>
      <c r="B264">
        <v>160350</v>
      </c>
    </row>
    <row r="265" spans="1:2">
      <c r="A265" t="str">
        <v>Melina Novais</v>
      </c>
      <c r="B265">
        <v>101057</v>
      </c>
    </row>
    <row r="266" spans="1:2">
      <c r="A266" t="str">
        <v>Ana Castro</v>
      </c>
      <c r="B266">
        <v>48358</v>
      </c>
    </row>
    <row r="267" spans="1:2">
      <c r="A267" t="str">
        <v>Lunna Mendonça</v>
      </c>
      <c r="B267">
        <v>26274</v>
      </c>
    </row>
    <row r="268" spans="1:2">
      <c r="A268" t="str">
        <v>Dr. Kevin Cavalcante</v>
      </c>
      <c r="B268">
        <v>211543</v>
      </c>
    </row>
    <row r="269" spans="1:2">
      <c r="A269" t="str">
        <v>Maria Cecília Araújo</v>
      </c>
      <c r="B269">
        <v>78778</v>
      </c>
    </row>
    <row r="270" spans="1:2">
      <c r="A270" t="str">
        <v>Anthony Gabriel Gomes</v>
      </c>
      <c r="B270">
        <v>94876</v>
      </c>
    </row>
    <row r="271" spans="1:2">
      <c r="A271" t="str">
        <v>Melissa Melo</v>
      </c>
      <c r="B271">
        <v>157266</v>
      </c>
    </row>
    <row r="272" spans="1:2">
      <c r="A272" t="str">
        <v>Sr. Murilo Cirino</v>
      </c>
      <c r="B272">
        <v>71312</v>
      </c>
    </row>
    <row r="273" spans="1:2">
      <c r="A273" t="str">
        <v>Nicole Caldeira</v>
      </c>
      <c r="B273">
        <v>118434</v>
      </c>
    </row>
    <row r="274" spans="1:2">
      <c r="A274" t="str">
        <v>Ana Beatriz Monteiro</v>
      </c>
      <c r="B274">
        <v>22649</v>
      </c>
    </row>
    <row r="275" spans="1:2">
      <c r="A275" t="str">
        <v>Ana Beatriz Peixoto</v>
      </c>
      <c r="B275">
        <v>964</v>
      </c>
    </row>
    <row r="276" spans="1:2">
      <c r="A276" t="str">
        <v>Sophie Gonçalves</v>
      </c>
      <c r="B276">
        <v>50215</v>
      </c>
    </row>
    <row r="277" spans="1:2">
      <c r="A277" t="str">
        <v>Enrico Costela</v>
      </c>
      <c r="B277">
        <v>105061</v>
      </c>
    </row>
    <row r="278" spans="1:2">
      <c r="A278" t="str">
        <v>Benício Andrade</v>
      </c>
      <c r="B278">
        <v>203151</v>
      </c>
    </row>
    <row r="279" spans="1:2">
      <c r="A279" t="str">
        <v>Sr. Leandro Silva</v>
      </c>
      <c r="B279">
        <v>176364</v>
      </c>
    </row>
    <row r="280" spans="1:2">
      <c r="A280" t="str">
        <v>Maria Isis Novais</v>
      </c>
      <c r="B280">
        <v>85076</v>
      </c>
    </row>
    <row r="281" spans="1:2">
      <c r="A281" t="str">
        <v>Dra. Sabrina Costela</v>
      </c>
      <c r="B281">
        <v>106729</v>
      </c>
    </row>
    <row r="282" spans="1:2">
      <c r="A282" t="str">
        <v>Maria Fernanda Azevedo</v>
      </c>
      <c r="B282">
        <v>154141</v>
      </c>
    </row>
    <row r="283" spans="1:2">
      <c r="A283" t="str">
        <v>Lorena Novaes</v>
      </c>
      <c r="B283">
        <v>85647</v>
      </c>
    </row>
    <row r="284" spans="1:2">
      <c r="A284" t="str">
        <v>Daniel Nunes</v>
      </c>
      <c r="B284">
        <v>118501</v>
      </c>
    </row>
    <row r="285" spans="1:2">
      <c r="A285" t="str">
        <v>Sra. Luísa Aragão</v>
      </c>
      <c r="B285">
        <v>139160</v>
      </c>
    </row>
    <row r="286" spans="1:2">
      <c r="A286" t="str">
        <v>Ana Lívia da Costa</v>
      </c>
      <c r="B286">
        <v>133551</v>
      </c>
    </row>
    <row r="287" spans="1:2">
      <c r="A287" t="str">
        <v>Lucas Gabriel Albuquerque</v>
      </c>
      <c r="B287">
        <v>89359</v>
      </c>
    </row>
    <row r="288" spans="1:2">
      <c r="A288" t="str">
        <v>Luiz Otávio Costa</v>
      </c>
      <c r="B288">
        <v>39948</v>
      </c>
    </row>
    <row r="289" spans="1:2">
      <c r="A289" t="str">
        <v>Brayan Sousa</v>
      </c>
      <c r="B289">
        <v>230678</v>
      </c>
    </row>
    <row r="290" spans="1:2">
      <c r="A290" t="str">
        <v>Bernardo Dias</v>
      </c>
      <c r="B290">
        <v>65180</v>
      </c>
    </row>
    <row r="291" spans="1:2">
      <c r="A291" t="str">
        <v>Ester Rocha</v>
      </c>
      <c r="B291">
        <v>156989</v>
      </c>
    </row>
    <row r="292" spans="1:2">
      <c r="A292" t="str">
        <v>João Sampaio</v>
      </c>
      <c r="B292">
        <v>48434</v>
      </c>
    </row>
    <row r="293" spans="1:2">
      <c r="A293" t="str">
        <v>Lívia Siqueira</v>
      </c>
      <c r="B293">
        <v>66973</v>
      </c>
    </row>
    <row r="294" spans="1:2">
      <c r="A294" t="str">
        <v>Henrique Camargo</v>
      </c>
      <c r="B294">
        <v>98030</v>
      </c>
    </row>
    <row r="295" spans="1:2">
      <c r="A295" t="str">
        <v>Benicio Cavalcante</v>
      </c>
      <c r="B295">
        <v>26356</v>
      </c>
    </row>
    <row r="296" spans="1:2">
      <c r="A296" t="str">
        <v>Theo Montenegro</v>
      </c>
      <c r="B296">
        <v>3293</v>
      </c>
    </row>
    <row r="297" spans="1:2">
      <c r="A297" t="str">
        <v>Henrique Cunha</v>
      </c>
      <c r="B297">
        <v>99354</v>
      </c>
    </row>
    <row r="298" spans="1:2">
      <c r="A298" t="str">
        <v>Leonardo Abreu</v>
      </c>
      <c r="B298">
        <v>143790</v>
      </c>
    </row>
    <row r="299" spans="1:2">
      <c r="A299" t="str">
        <v>Anthony Sampaio</v>
      </c>
      <c r="B299">
        <v>34638</v>
      </c>
    </row>
    <row r="300" spans="1:2">
      <c r="A300" t="str">
        <v>Kaique Guerra</v>
      </c>
      <c r="B300">
        <v>153604</v>
      </c>
    </row>
    <row r="301" spans="1:2">
      <c r="A301" t="str">
        <v>Agatha Cavalcante</v>
      </c>
      <c r="B301">
        <v>199488</v>
      </c>
    </row>
    <row r="302" spans="1:2">
      <c r="A302" t="str">
        <v>Liam Castro</v>
      </c>
      <c r="B302">
        <v>56103</v>
      </c>
    </row>
    <row r="303" spans="1:2">
      <c r="A303" t="str">
        <v>Maysa Castro</v>
      </c>
      <c r="B303">
        <v>120223</v>
      </c>
    </row>
    <row r="304" spans="1:2">
      <c r="A304" t="str">
        <v>Dra. Joana Nogueira</v>
      </c>
      <c r="B304">
        <v>42374</v>
      </c>
    </row>
    <row r="305" spans="1:2">
      <c r="A305" t="str">
        <v>Murilo Montenegro</v>
      </c>
      <c r="B305">
        <v>73147</v>
      </c>
    </row>
    <row r="306" spans="1:2">
      <c r="A306" t="str">
        <v>José Fogaça</v>
      </c>
      <c r="B306">
        <v>41292</v>
      </c>
    </row>
    <row r="307" spans="1:2">
      <c r="A307" t="str">
        <v>Dr. Ryan Ribeiro</v>
      </c>
      <c r="B307">
        <v>18946</v>
      </c>
    </row>
    <row r="308" spans="1:2">
      <c r="A308" t="str">
        <v>Brenda Montenegro</v>
      </c>
      <c r="B308">
        <v>281096</v>
      </c>
    </row>
    <row r="309" spans="1:2">
      <c r="A309" t="str">
        <v>Benicio Rios</v>
      </c>
      <c r="B309">
        <v>105255</v>
      </c>
    </row>
    <row r="310" spans="1:2">
      <c r="A310" t="str">
        <v>Dra. Ana Sophia da Cruz</v>
      </c>
      <c r="B310">
        <v>210888</v>
      </c>
    </row>
    <row r="311" spans="1:2">
      <c r="A311" t="str">
        <v>Sarah Campos</v>
      </c>
      <c r="B311">
        <v>25332</v>
      </c>
    </row>
    <row r="312" spans="1:2">
      <c r="A312" t="str">
        <v>Gustavo Moreira</v>
      </c>
      <c r="B312">
        <v>7674</v>
      </c>
    </row>
    <row r="313" spans="1:2">
      <c r="A313" t="str">
        <v>Ana Clara Farias</v>
      </c>
      <c r="B313">
        <v>151893</v>
      </c>
    </row>
    <row r="314" spans="1:2">
      <c r="A314" t="str">
        <v>Maria Laura Peixoto</v>
      </c>
      <c r="B314">
        <v>30948</v>
      </c>
    </row>
    <row r="315" spans="1:2">
      <c r="A315" t="str">
        <v>Giovanna Câmara</v>
      </c>
      <c r="B315">
        <v>55922</v>
      </c>
    </row>
    <row r="316" spans="1:2">
      <c r="A316" t="str">
        <v>Lavínia Leão</v>
      </c>
      <c r="B316">
        <v>78604</v>
      </c>
    </row>
    <row r="317" spans="1:2">
      <c r="A317" t="str">
        <v>João Novais</v>
      </c>
      <c r="B317">
        <v>72744</v>
      </c>
    </row>
    <row r="318" spans="1:2">
      <c r="A318" t="str">
        <v>Joaquim Porto</v>
      </c>
      <c r="B318">
        <v>141979</v>
      </c>
    </row>
    <row r="319" spans="1:2">
      <c r="A319" t="str">
        <v>Melissa Alves</v>
      </c>
      <c r="B319">
        <v>66121</v>
      </c>
    </row>
    <row r="320" spans="1:2">
      <c r="A320" t="str">
        <v>Yasmin Montenegro</v>
      </c>
      <c r="B320">
        <v>56601</v>
      </c>
    </row>
    <row r="321" spans="1:2">
      <c r="A321" t="str">
        <v>João Gabriel Garcia</v>
      </c>
      <c r="B321">
        <v>170464</v>
      </c>
    </row>
    <row r="322" spans="1:2">
      <c r="A322" t="str">
        <v>Maria Liz Caldeira</v>
      </c>
      <c r="B322">
        <v>159859</v>
      </c>
    </row>
    <row r="323" spans="1:2">
      <c r="A323" t="str">
        <v>Sra. Vitória Aparecida</v>
      </c>
      <c r="B323">
        <v>18834</v>
      </c>
    </row>
    <row r="324" spans="1:2">
      <c r="A324" t="str">
        <v>Sra. Maria Alice Farias</v>
      </c>
      <c r="B324">
        <v>109730</v>
      </c>
    </row>
    <row r="325" spans="1:2">
      <c r="A325" t="str">
        <v>Zoe Guerra</v>
      </c>
      <c r="B325">
        <v>292082</v>
      </c>
    </row>
    <row r="326" spans="1:2">
      <c r="A326" t="str">
        <v>Kamilly Rios</v>
      </c>
      <c r="B326">
        <v>59820</v>
      </c>
    </row>
    <row r="327" spans="1:2">
      <c r="A327" t="str">
        <v>Valentim Nascimento</v>
      </c>
      <c r="B327">
        <v>187423</v>
      </c>
    </row>
    <row r="328" spans="1:2">
      <c r="A328" t="str">
        <v>Luigi da Costa</v>
      </c>
      <c r="B328">
        <v>74459</v>
      </c>
    </row>
    <row r="329" spans="1:2">
      <c r="A329" t="str">
        <v>Bruno Farias</v>
      </c>
      <c r="B329">
        <v>105960</v>
      </c>
    </row>
    <row r="330" spans="1:2">
      <c r="A330" t="str">
        <v>Isabella Barbosa</v>
      </c>
      <c r="B330">
        <v>44474</v>
      </c>
    </row>
    <row r="331" spans="1:2">
      <c r="A331" t="str">
        <v>Rodrigo Camargo</v>
      </c>
      <c r="B331">
        <v>87956</v>
      </c>
    </row>
    <row r="332" spans="1:2">
      <c r="A332" t="str">
        <v>Júlia Aparecida</v>
      </c>
      <c r="B332">
        <v>243372</v>
      </c>
    </row>
    <row r="333" spans="1:2">
      <c r="A333" t="str">
        <v>Rael da Cunha</v>
      </c>
      <c r="B333">
        <v>116155</v>
      </c>
    </row>
    <row r="334" spans="1:2">
      <c r="A334" t="str">
        <v>Rafael Araújo</v>
      </c>
      <c r="B334">
        <v>131602</v>
      </c>
    </row>
    <row r="335" spans="1:2">
      <c r="A335" t="str">
        <v>Lavínia da Rosa</v>
      </c>
      <c r="B335">
        <v>148039</v>
      </c>
    </row>
    <row r="336" spans="1:2">
      <c r="A336" t="str">
        <v>Lavínia Mendonça</v>
      </c>
      <c r="B336">
        <v>12743</v>
      </c>
    </row>
    <row r="337" spans="1:2">
      <c r="A337" t="str">
        <v>Théo Campos</v>
      </c>
      <c r="B337">
        <v>86109</v>
      </c>
    </row>
    <row r="338" spans="1:2">
      <c r="A338" t="str">
        <v>Caio Pires</v>
      </c>
      <c r="B338">
        <v>137005</v>
      </c>
    </row>
    <row r="339" spans="1:2">
      <c r="A339" t="str">
        <v>Diego Rezende</v>
      </c>
      <c r="B339">
        <v>54690</v>
      </c>
    </row>
    <row r="340" spans="1:2">
      <c r="A340" t="str">
        <v>Dr. Samuel Alves</v>
      </c>
      <c r="B340">
        <v>53000</v>
      </c>
    </row>
    <row r="341" spans="1:2">
      <c r="A341" t="str">
        <v>Zoe Porto</v>
      </c>
      <c r="B341">
        <v>225518</v>
      </c>
    </row>
    <row r="342" spans="1:2">
      <c r="A342" t="str">
        <v>Bento Fonseca</v>
      </c>
      <c r="B342">
        <v>49408</v>
      </c>
    </row>
    <row r="343" spans="1:2">
      <c r="A343" t="str">
        <v>Pedro Câmara</v>
      </c>
      <c r="B343">
        <v>44674</v>
      </c>
    </row>
    <row r="344" spans="1:2">
      <c r="A344" t="str">
        <v>Benicio da Conceição</v>
      </c>
      <c r="B344">
        <v>24367</v>
      </c>
    </row>
    <row r="345" spans="1:2">
      <c r="A345" t="str">
        <v>Dante Melo</v>
      </c>
      <c r="B345">
        <v>5206</v>
      </c>
    </row>
    <row r="346" spans="1:2">
      <c r="A346" t="str">
        <v>Brayan Barbosa</v>
      </c>
      <c r="B346">
        <v>108357</v>
      </c>
    </row>
    <row r="347" spans="1:2">
      <c r="A347" t="str">
        <v>Luiz Gustavo Farias</v>
      </c>
      <c r="B347">
        <v>63902</v>
      </c>
    </row>
    <row r="348" spans="1:2">
      <c r="A348" t="str">
        <v>Maria Helena Araújo</v>
      </c>
      <c r="B348">
        <v>195879</v>
      </c>
    </row>
    <row r="349" spans="1:2">
      <c r="A349" t="str">
        <v>Arthur Fonseca</v>
      </c>
      <c r="B349">
        <v>43690</v>
      </c>
    </row>
    <row r="350" spans="1:2">
      <c r="A350" t="str">
        <v>Diogo Câmara</v>
      </c>
      <c r="B350">
        <v>149636</v>
      </c>
    </row>
    <row r="351" spans="1:2">
      <c r="A351" t="str">
        <v>Manuela Souza</v>
      </c>
      <c r="B351">
        <v>106880</v>
      </c>
    </row>
    <row r="352" spans="1:2">
      <c r="A352" t="str">
        <v>Maria Luiza Carvalho</v>
      </c>
      <c r="B352">
        <v>73377</v>
      </c>
    </row>
    <row r="353" spans="1:2">
      <c r="A353" t="str">
        <v>Léo Vieira</v>
      </c>
      <c r="B353">
        <v>152241</v>
      </c>
    </row>
    <row r="354" spans="1:2">
      <c r="A354" t="str">
        <v>Marcela da Mota</v>
      </c>
      <c r="B354">
        <v>49536</v>
      </c>
    </row>
    <row r="355" spans="1:2">
      <c r="A355" t="str">
        <v>João Lucas Melo</v>
      </c>
      <c r="B355">
        <v>93103</v>
      </c>
    </row>
    <row r="356" spans="1:2">
      <c r="A356" t="str">
        <v>Marina Andrade</v>
      </c>
      <c r="B356">
        <v>61815</v>
      </c>
    </row>
    <row r="357" spans="1:2">
      <c r="A357" t="str">
        <v>Juliana Farias</v>
      </c>
      <c r="B357">
        <v>95147</v>
      </c>
    </row>
    <row r="358" spans="1:2">
      <c r="A358" t="str">
        <v>Luiz Miguel Vieira</v>
      </c>
      <c r="B358">
        <v>112209</v>
      </c>
    </row>
    <row r="359" spans="1:2">
      <c r="A359" t="str">
        <v>Théo Machado</v>
      </c>
      <c r="B359">
        <v>7791</v>
      </c>
    </row>
    <row r="360" spans="1:2">
      <c r="A360" t="str">
        <v>Hellena Alves</v>
      </c>
      <c r="B360">
        <v>143361</v>
      </c>
    </row>
    <row r="361" spans="1:2">
      <c r="A361" t="str">
        <v>Dra. Heloísa Sales</v>
      </c>
      <c r="B361">
        <v>200702</v>
      </c>
    </row>
    <row r="362" spans="1:2">
      <c r="A362" t="str">
        <v>Theo Pires</v>
      </c>
      <c r="B362">
        <v>143669</v>
      </c>
    </row>
    <row r="363" spans="1:2">
      <c r="A363" t="str">
        <v>Lucas Cavalcanti</v>
      </c>
      <c r="B363">
        <v>26326</v>
      </c>
    </row>
    <row r="364" spans="1:2">
      <c r="A364" t="str">
        <v>Erick Pimenta</v>
      </c>
      <c r="B364">
        <v>47720</v>
      </c>
    </row>
    <row r="365" spans="1:2">
      <c r="A365" t="str">
        <v>Ágatha Rocha</v>
      </c>
      <c r="B365">
        <v>112214</v>
      </c>
    </row>
    <row r="366" spans="1:2">
      <c r="A366" t="str">
        <v>Gabriela Correia</v>
      </c>
      <c r="B366">
        <v>216254</v>
      </c>
    </row>
    <row r="367" spans="1:2">
      <c r="A367" t="str">
        <v>Anthony Martins</v>
      </c>
      <c r="B367">
        <v>155877</v>
      </c>
    </row>
    <row r="368" spans="1:2">
      <c r="A368" t="str">
        <v>Dr. Lucca Mendes</v>
      </c>
      <c r="B368">
        <v>33543</v>
      </c>
    </row>
    <row r="369" spans="1:2">
      <c r="A369" t="str">
        <v>Amanda Casa Grande</v>
      </c>
      <c r="B369">
        <v>127172</v>
      </c>
    </row>
    <row r="370" spans="1:2">
      <c r="A370" t="str">
        <v>Lucca Caldeira</v>
      </c>
      <c r="B370">
        <v>268566</v>
      </c>
    </row>
    <row r="371" spans="1:2">
      <c r="A371" t="str">
        <v>Luiz Miguel Pimenta</v>
      </c>
      <c r="B371">
        <v>231380</v>
      </c>
    </row>
    <row r="372" spans="1:2">
      <c r="A372" t="str">
        <v>Gabrielly Ribeiro</v>
      </c>
      <c r="B372">
        <v>154312</v>
      </c>
    </row>
    <row r="373" spans="1:2">
      <c r="A373" t="str">
        <v>Julia Castro</v>
      </c>
      <c r="B373">
        <v>45404</v>
      </c>
    </row>
    <row r="374" spans="1:2">
      <c r="A374" t="str">
        <v>Dra. Laís Alves</v>
      </c>
      <c r="B374">
        <v>183461</v>
      </c>
    </row>
    <row r="375" spans="1:2">
      <c r="A375" t="str">
        <v>Ravi Lucca Castro</v>
      </c>
      <c r="B375">
        <v>71842</v>
      </c>
    </row>
    <row r="376" spans="1:2">
      <c r="A376" t="str">
        <v>Sra. Rafaela Pimenta</v>
      </c>
      <c r="B376">
        <v>31832</v>
      </c>
    </row>
    <row r="377" spans="1:2">
      <c r="A377" t="str">
        <v>Matheus Guerra</v>
      </c>
      <c r="B377">
        <v>73462</v>
      </c>
    </row>
    <row r="378" spans="1:2">
      <c r="A378" t="str">
        <v>Arthur Miguel Monteiro</v>
      </c>
      <c r="B378">
        <v>20658</v>
      </c>
    </row>
    <row r="379" spans="1:2">
      <c r="A379" t="str">
        <v>Thiago Pastor</v>
      </c>
      <c r="B379">
        <v>172285</v>
      </c>
    </row>
    <row r="380" spans="1:2">
      <c r="A380" t="str">
        <v>Ísis Ramos</v>
      </c>
      <c r="B380">
        <v>324098</v>
      </c>
    </row>
    <row r="381" spans="1:2">
      <c r="A381" t="str">
        <v>Sra. Alice Rezende</v>
      </c>
      <c r="B381">
        <v>53861</v>
      </c>
    </row>
    <row r="382" spans="1:2">
      <c r="A382" t="str">
        <v>Dr. Nicolas Albuquerque</v>
      </c>
      <c r="B382">
        <v>119858</v>
      </c>
    </row>
    <row r="383" spans="1:2">
      <c r="A383" t="str">
        <v>Maria Sophia da Paz</v>
      </c>
      <c r="B383">
        <v>41098</v>
      </c>
    </row>
    <row r="384" spans="1:2">
      <c r="A384" t="str">
        <v>Ravy Montenegro</v>
      </c>
      <c r="B384">
        <v>124220</v>
      </c>
    </row>
    <row r="385" spans="1:2">
      <c r="A385" t="str">
        <v>Enzo Gabriel Vasconcelos</v>
      </c>
      <c r="B385">
        <v>35424</v>
      </c>
    </row>
    <row r="386" spans="1:2">
      <c r="A386" t="str">
        <v>Danilo Aparecida</v>
      </c>
      <c r="B386">
        <v>47870</v>
      </c>
    </row>
    <row r="387" spans="1:2">
      <c r="A387" t="str">
        <v>Dante Araújo</v>
      </c>
      <c r="B387">
        <v>222145</v>
      </c>
    </row>
    <row r="388" spans="1:2">
      <c r="A388" t="str">
        <v>Davi Lucca Moreira</v>
      </c>
      <c r="B388">
        <v>140916</v>
      </c>
    </row>
    <row r="389" spans="1:2">
      <c r="A389" t="str">
        <v>Ravy da Mata</v>
      </c>
      <c r="B389">
        <v>188224</v>
      </c>
    </row>
    <row r="390" spans="1:2">
      <c r="A390" t="str">
        <v>Sofia Camargo</v>
      </c>
      <c r="B390">
        <v>23386</v>
      </c>
    </row>
    <row r="391" spans="1:2">
      <c r="A391" t="str">
        <v>Gael Henrique Alves</v>
      </c>
      <c r="B391">
        <v>34000</v>
      </c>
    </row>
    <row r="392" spans="1:2">
      <c r="A392" t="str">
        <v>Vitor Gabriel da Rocha</v>
      </c>
      <c r="B392">
        <v>4997</v>
      </c>
    </row>
    <row r="393" spans="1:2">
      <c r="A393" t="str">
        <v>Srta. Cecilia Cavalcante</v>
      </c>
      <c r="B393">
        <v>66684</v>
      </c>
    </row>
    <row r="394" spans="1:2">
      <c r="A394" t="str">
        <v>Heloísa Novais</v>
      </c>
      <c r="B394">
        <v>132138</v>
      </c>
    </row>
    <row r="395" spans="1:2">
      <c r="A395" t="str">
        <v>Antônio Dias</v>
      </c>
      <c r="B395">
        <v>47844</v>
      </c>
    </row>
    <row r="396" spans="1:2">
      <c r="A396" t="str">
        <v>Benicio Machado</v>
      </c>
      <c r="B396">
        <v>158697</v>
      </c>
    </row>
    <row r="397" spans="1:2">
      <c r="A397" t="str">
        <v>Ravi Lucca Câmara</v>
      </c>
      <c r="B397">
        <v>121004</v>
      </c>
    </row>
    <row r="398" spans="1:2">
      <c r="A398" t="str">
        <v>Bárbara Cassiano</v>
      </c>
      <c r="B398">
        <v>139155</v>
      </c>
    </row>
    <row r="399" spans="1:2">
      <c r="A399" t="str">
        <v>Ana Lívia Porto</v>
      </c>
      <c r="B399">
        <v>130658</v>
      </c>
    </row>
    <row r="400" spans="1:2">
      <c r="A400" t="str">
        <v>Elisa Vargas</v>
      </c>
      <c r="B400">
        <v>32122</v>
      </c>
    </row>
    <row r="401" spans="1:2">
      <c r="A401" t="str">
        <v>Diogo Ramos</v>
      </c>
      <c r="B401">
        <v>251834</v>
      </c>
    </row>
    <row r="402" spans="1:2">
      <c r="A402" t="str">
        <v>Julia Vasconcelos</v>
      </c>
      <c r="B402">
        <v>155398</v>
      </c>
    </row>
    <row r="403" spans="1:2">
      <c r="A403" t="str">
        <v>Olivia Novaes</v>
      </c>
      <c r="B403">
        <v>115059</v>
      </c>
    </row>
    <row r="404" spans="1:2">
      <c r="A404" t="str">
        <v>Isabelly Dias</v>
      </c>
      <c r="B404">
        <v>96310</v>
      </c>
    </row>
    <row r="405" spans="1:2">
      <c r="A405" t="str">
        <v>Dr. Dom Gonçalves</v>
      </c>
      <c r="B405">
        <v>76251</v>
      </c>
    </row>
    <row r="406" spans="1:2">
      <c r="A406" t="str">
        <v>Isaac Santos</v>
      </c>
      <c r="B406">
        <v>88039</v>
      </c>
    </row>
    <row r="407" spans="1:2">
      <c r="A407" t="str">
        <v>Sra. Amanda Rodrigues</v>
      </c>
      <c r="B407">
        <v>25559</v>
      </c>
    </row>
    <row r="408" spans="1:2">
      <c r="A408" t="str">
        <v>Clarice Pastor</v>
      </c>
      <c r="B408">
        <v>145518</v>
      </c>
    </row>
    <row r="409" spans="1:2">
      <c r="A409" t="str">
        <v>Yasmin da Mota</v>
      </c>
      <c r="B409">
        <v>257841</v>
      </c>
    </row>
    <row r="410" spans="1:2">
      <c r="A410" t="str">
        <v>Benício Cunha</v>
      </c>
      <c r="B410">
        <v>158341</v>
      </c>
    </row>
    <row r="411" spans="1:2">
      <c r="A411" t="str">
        <v>Sara Nogueira</v>
      </c>
      <c r="B411">
        <v>17591</v>
      </c>
    </row>
    <row r="412" spans="1:2">
      <c r="A412" t="str">
        <v>Ana Sampaio</v>
      </c>
      <c r="B412">
        <v>207980</v>
      </c>
    </row>
    <row r="413" spans="1:2">
      <c r="A413" t="str">
        <v>Nicolas Rios</v>
      </c>
      <c r="B413">
        <v>11856</v>
      </c>
    </row>
    <row r="414" spans="1:2">
      <c r="A414" t="str">
        <v>Maria Liz da Paz</v>
      </c>
      <c r="B414">
        <v>59919</v>
      </c>
    </row>
    <row r="415" spans="1:2">
      <c r="A415" t="str">
        <v>Dr. Theo da Mota</v>
      </c>
      <c r="B415">
        <v>92394</v>
      </c>
    </row>
    <row r="416" spans="1:2">
      <c r="A416" t="str">
        <v>Lucas Cunha</v>
      </c>
      <c r="B416">
        <v>34652</v>
      </c>
    </row>
    <row r="417" spans="1:2">
      <c r="A417" t="str">
        <v>Caroline Dias</v>
      </c>
      <c r="B417">
        <v>11988</v>
      </c>
    </row>
    <row r="418" spans="1:2">
      <c r="A418" t="str">
        <v>Nicole Teixeira</v>
      </c>
      <c r="B418">
        <v>97502</v>
      </c>
    </row>
    <row r="419" spans="1:2">
      <c r="A419" t="str">
        <v>Heloisa Lima</v>
      </c>
      <c r="B419">
        <v>186536</v>
      </c>
    </row>
    <row r="420" spans="1:2">
      <c r="A420" t="str">
        <v>Milena Sampaio</v>
      </c>
      <c r="B420">
        <v>161367</v>
      </c>
    </row>
    <row r="421" spans="1:2">
      <c r="A421" t="str">
        <v>João Lucas Porto</v>
      </c>
      <c r="B421">
        <v>84459</v>
      </c>
    </row>
    <row r="422" spans="1:2">
      <c r="A422" t="str">
        <v>Dra. Eduarda Dias</v>
      </c>
      <c r="B422">
        <v>82873</v>
      </c>
    </row>
    <row r="423" spans="1:2">
      <c r="A423" t="str">
        <v>Sra. Ester da Conceição</v>
      </c>
      <c r="B423">
        <v>82793</v>
      </c>
    </row>
    <row r="424" spans="1:2">
      <c r="A424" t="str">
        <v>Sophie Porto</v>
      </c>
      <c r="B424">
        <v>186337</v>
      </c>
    </row>
    <row r="425" spans="1:2">
      <c r="A425" t="str">
        <v>Rael Guerra</v>
      </c>
      <c r="B425">
        <v>13640</v>
      </c>
    </row>
    <row r="426" spans="1:2">
      <c r="A426" t="str">
        <v>Caroline Martins</v>
      </c>
      <c r="B426">
        <v>175160</v>
      </c>
    </row>
    <row r="427" spans="1:2">
      <c r="A427" t="str">
        <v>Pietro Moura</v>
      </c>
      <c r="B427">
        <v>192365</v>
      </c>
    </row>
    <row r="428" spans="1:2">
      <c r="A428" t="str">
        <v>Maria Fernanda Casa Grande</v>
      </c>
      <c r="B428">
        <v>212689</v>
      </c>
    </row>
    <row r="429" spans="1:2">
      <c r="A429" t="str">
        <v>Ana Sophia Sá</v>
      </c>
      <c r="B429">
        <v>258429</v>
      </c>
    </row>
    <row r="430" spans="1:2">
      <c r="A430" t="str">
        <v>Sr. Levi Camargo</v>
      </c>
      <c r="B430">
        <v>43220</v>
      </c>
    </row>
    <row r="431" spans="1:2">
      <c r="A431" t="str">
        <v>Isaque Monteiro</v>
      </c>
      <c r="B431">
        <v>1697</v>
      </c>
    </row>
    <row r="432" spans="1:2">
      <c r="A432" t="str">
        <v>Dr. Leandro Leão</v>
      </c>
      <c r="B432">
        <v>190688</v>
      </c>
    </row>
    <row r="433" spans="1:2">
      <c r="A433" t="str">
        <v>Valentina Santos</v>
      </c>
      <c r="B433">
        <v>159969</v>
      </c>
    </row>
    <row r="434" spans="1:2">
      <c r="A434" t="str">
        <v>Erick Siqueira</v>
      </c>
      <c r="B434">
        <v>323239</v>
      </c>
    </row>
    <row r="435" spans="1:2">
      <c r="A435" t="str">
        <v>Ana Julia Viana</v>
      </c>
      <c r="B435">
        <v>12147</v>
      </c>
    </row>
    <row r="436" spans="1:2">
      <c r="A436" t="str">
        <v>Augusto Mendonça</v>
      </c>
      <c r="B436">
        <v>65640</v>
      </c>
    </row>
    <row r="437" spans="1:2">
      <c r="A437" t="str">
        <v>Paulo Machado</v>
      </c>
      <c r="B437">
        <v>69610</v>
      </c>
    </row>
    <row r="438" spans="1:2">
      <c r="A438" t="str">
        <v>Juan Pereira</v>
      </c>
      <c r="B438">
        <v>112476</v>
      </c>
    </row>
    <row r="439" spans="1:2">
      <c r="A439" t="str">
        <v>Amanda Nunes</v>
      </c>
      <c r="B439">
        <v>56454</v>
      </c>
    </row>
    <row r="440" spans="1:2">
      <c r="A440" t="str">
        <v>Henry Camargo</v>
      </c>
      <c r="B440">
        <v>169184</v>
      </c>
    </row>
    <row r="441" spans="1:2">
      <c r="A441" t="str">
        <v>Maya Camargo</v>
      </c>
      <c r="B441">
        <v>71020</v>
      </c>
    </row>
    <row r="442" spans="1:2">
      <c r="A442" t="str">
        <v>Maria Luiza Ribeiro</v>
      </c>
      <c r="B442">
        <v>114057</v>
      </c>
    </row>
    <row r="443" spans="1:2">
      <c r="A443" t="str">
        <v>Vitor Oliveira</v>
      </c>
      <c r="B443">
        <v>62680</v>
      </c>
    </row>
    <row r="444" spans="1:2">
      <c r="A444" t="str">
        <v>Ana Laura Sá</v>
      </c>
      <c r="B444">
        <v>124570</v>
      </c>
    </row>
    <row r="445" spans="1:2">
      <c r="A445" t="str">
        <v>Arthur Miguel Fonseca</v>
      </c>
      <c r="B445">
        <v>4464</v>
      </c>
    </row>
    <row r="446" spans="1:2">
      <c r="A446" t="str">
        <v>Srta. Fernanda Freitas</v>
      </c>
      <c r="B446">
        <v>58889</v>
      </c>
    </row>
    <row r="447" spans="1:2">
      <c r="A447" t="str">
        <v>Luiz Felipe Oliveira</v>
      </c>
      <c r="B447">
        <v>109913</v>
      </c>
    </row>
    <row r="448" spans="1:2">
      <c r="A448" t="str">
        <v>Vitor Hugo Novais</v>
      </c>
      <c r="B448">
        <v>87169</v>
      </c>
    </row>
    <row r="449" spans="1:2">
      <c r="A449" t="str">
        <v>Gabrielly Nunes</v>
      </c>
      <c r="B449">
        <v>36648</v>
      </c>
    </row>
    <row r="450" spans="1:2">
      <c r="A450" t="str">
        <v>Thales da Costa</v>
      </c>
      <c r="B450">
        <v>114201</v>
      </c>
    </row>
    <row r="451" spans="1:2">
      <c r="A451" t="str">
        <v>Maria Laura Campos</v>
      </c>
      <c r="B451">
        <v>202520</v>
      </c>
    </row>
    <row r="452" spans="1:2">
      <c r="A452" t="str">
        <v>Valentina Moraes</v>
      </c>
      <c r="B452">
        <v>155539</v>
      </c>
    </row>
    <row r="453" spans="1:2">
      <c r="A453" t="str">
        <v>Ágatha Borges</v>
      </c>
      <c r="B453">
        <v>172562</v>
      </c>
    </row>
    <row r="454" spans="1:2">
      <c r="A454" t="str">
        <v>Ana Carolina das Neves</v>
      </c>
      <c r="B454">
        <v>143699</v>
      </c>
    </row>
    <row r="455" spans="1:2">
      <c r="A455" t="str">
        <v>Henry Costela</v>
      </c>
      <c r="B455">
        <v>188613</v>
      </c>
    </row>
    <row r="456" spans="1:2">
      <c r="A456" t="str">
        <v>Ana Julia Duarte</v>
      </c>
      <c r="B456">
        <v>258344</v>
      </c>
    </row>
    <row r="457" spans="1:2">
      <c r="A457" t="str">
        <v>Srta. Emilly das Neves</v>
      </c>
      <c r="B457">
        <v>111334</v>
      </c>
    </row>
    <row r="458" spans="1:2">
      <c r="A458" t="str">
        <v>Gustavo Gomes</v>
      </c>
      <c r="B458">
        <v>34800</v>
      </c>
    </row>
    <row r="459" spans="1:2">
      <c r="A459" t="str">
        <v>João Gabriel Pacheco</v>
      </c>
      <c r="B459">
        <v>104705</v>
      </c>
    </row>
    <row r="460" spans="1:2">
      <c r="A460" t="str">
        <v>Ana Julia Novais</v>
      </c>
      <c r="B460">
        <v>225828</v>
      </c>
    </row>
    <row r="461" spans="1:2">
      <c r="A461" t="str">
        <v>Isabel da Mota</v>
      </c>
      <c r="B461">
        <v>137248</v>
      </c>
    </row>
    <row r="462" spans="1:2">
      <c r="A462" t="str">
        <v>Sra. Lívia Guerra</v>
      </c>
      <c r="B462">
        <v>95979</v>
      </c>
    </row>
    <row r="463" spans="1:2">
      <c r="A463" t="str">
        <v>Sara Castro</v>
      </c>
      <c r="B463">
        <v>70065</v>
      </c>
    </row>
    <row r="464" spans="1:2">
      <c r="A464" t="str">
        <v>Murilo Jesus</v>
      </c>
      <c r="B464">
        <v>110634</v>
      </c>
    </row>
    <row r="465" spans="1:2">
      <c r="A465" t="str">
        <v>Sra. Maria Fernanda Pacheco</v>
      </c>
      <c r="B465">
        <v>138760</v>
      </c>
    </row>
    <row r="466" spans="1:2">
      <c r="A466" t="str">
        <v>Carlos Eduardo Guerra</v>
      </c>
      <c r="B466">
        <v>95132</v>
      </c>
    </row>
    <row r="467" spans="1:2">
      <c r="A467" t="str">
        <v>Sra. Zoe Araújo</v>
      </c>
      <c r="B467">
        <v>137504</v>
      </c>
    </row>
    <row r="468" spans="1:2">
      <c r="A468" t="str">
        <v>Murilo Nascimento</v>
      </c>
      <c r="B468">
        <v>48320</v>
      </c>
    </row>
    <row r="469" spans="1:2">
      <c r="A469" t="str">
        <v>Sr. Enzo Cassiano</v>
      </c>
      <c r="B469">
        <v>162815</v>
      </c>
    </row>
    <row r="470" spans="1:2">
      <c r="A470" t="str">
        <v>Yan Novais</v>
      </c>
      <c r="B470">
        <v>133792</v>
      </c>
    </row>
    <row r="471" spans="1:2">
      <c r="A471" t="str">
        <v>Dra. Maria Vitória Nascimento</v>
      </c>
      <c r="B471">
        <v>85575</v>
      </c>
    </row>
    <row r="472" spans="1:2">
      <c r="A472" t="str">
        <v>Olivia Mendes</v>
      </c>
      <c r="B472">
        <v>64797</v>
      </c>
    </row>
    <row r="473" spans="1:2">
      <c r="A473" t="str">
        <v>Dra. Maria Fernanda Brito</v>
      </c>
      <c r="B473">
        <v>280049</v>
      </c>
    </row>
    <row r="474" spans="1:2">
      <c r="A474" t="str">
        <v>Nathan Duarte</v>
      </c>
      <c r="B474">
        <v>181365</v>
      </c>
    </row>
    <row r="475" spans="1:2">
      <c r="A475" t="str">
        <v>Vicente Ferreira</v>
      </c>
      <c r="B475">
        <v>61803</v>
      </c>
    </row>
    <row r="476" spans="1:2">
      <c r="A476" t="str">
        <v>Sr. João Guilherme Casa Grande</v>
      </c>
      <c r="B476">
        <v>70232</v>
      </c>
    </row>
    <row r="477" spans="1:2">
      <c r="A477" t="str">
        <v>Ana Lívia da Mota</v>
      </c>
      <c r="B477">
        <v>119218</v>
      </c>
    </row>
    <row r="478" spans="1:2">
      <c r="A478" t="str">
        <v>Srta. Ana Melo</v>
      </c>
      <c r="B478">
        <v>185477</v>
      </c>
    </row>
    <row r="479" spans="1:2">
      <c r="A479" t="str">
        <v>Ana Vitória Fogaça</v>
      </c>
      <c r="B479">
        <v>398160</v>
      </c>
    </row>
    <row r="480" spans="1:2">
      <c r="A480" t="str">
        <v>Luiza Pacheco</v>
      </c>
      <c r="B480">
        <v>19038</v>
      </c>
    </row>
    <row r="481" spans="1:2">
      <c r="A481" t="str">
        <v>Dr. Nicolas Caldeira</v>
      </c>
      <c r="B481">
        <v>82441</v>
      </c>
    </row>
    <row r="482" spans="1:2">
      <c r="A482" t="str">
        <v>Ravy Aragão</v>
      </c>
      <c r="B482">
        <v>71476</v>
      </c>
    </row>
    <row r="483" spans="1:2">
      <c r="A483" t="str">
        <v>Pietra Silva</v>
      </c>
      <c r="B483">
        <v>315376</v>
      </c>
    </row>
    <row r="484" spans="1:2">
      <c r="A484" t="str">
        <v>João Lucas Castro</v>
      </c>
      <c r="B484">
        <v>75464</v>
      </c>
    </row>
    <row r="485" spans="1:2">
      <c r="A485" t="str">
        <v>Rael da Mota</v>
      </c>
      <c r="B485">
        <v>140056</v>
      </c>
    </row>
    <row r="486" spans="1:2">
      <c r="A486" t="str">
        <v>Dra. Isabelly Campos</v>
      </c>
      <c r="B486">
        <v>180238</v>
      </c>
    </row>
    <row r="487" spans="1:2">
      <c r="A487" t="str">
        <v>Bruno Marques</v>
      </c>
      <c r="B487">
        <v>36114</v>
      </c>
    </row>
    <row r="488" spans="1:2">
      <c r="A488" t="str">
        <v>Vinicius Silva</v>
      </c>
      <c r="B488">
        <v>39738</v>
      </c>
    </row>
    <row r="489" spans="1:2">
      <c r="A489" t="str">
        <v>Luiz Gustavo Brito</v>
      </c>
      <c r="B489">
        <v>68873</v>
      </c>
    </row>
    <row r="490" spans="1:2">
      <c r="A490" t="str">
        <v>Catarina Cassiano</v>
      </c>
      <c r="B490">
        <v>96688</v>
      </c>
    </row>
    <row r="491" spans="1:2">
      <c r="A491" t="str">
        <v>Cauê Cirino</v>
      </c>
      <c r="B491">
        <v>53092</v>
      </c>
    </row>
    <row r="492" spans="1:2">
      <c r="A492" t="str">
        <v>Samuel das Neves</v>
      </c>
      <c r="B492">
        <v>27094</v>
      </c>
    </row>
    <row r="493" spans="1:2">
      <c r="A493" t="str">
        <v>Rafaela Lima</v>
      </c>
      <c r="B493">
        <v>81655</v>
      </c>
    </row>
    <row r="494" spans="1:2">
      <c r="A494" t="str">
        <v>Dra. Maria Liz Jesus</v>
      </c>
      <c r="B494">
        <v>44839</v>
      </c>
    </row>
    <row r="495" spans="1:2">
      <c r="A495" t="str">
        <v>Sra. Julia Ramos</v>
      </c>
      <c r="B495">
        <v>29462</v>
      </c>
    </row>
    <row r="496" spans="1:2">
      <c r="A496" t="str">
        <v>Asafe Novaes</v>
      </c>
      <c r="B496">
        <v>39426</v>
      </c>
    </row>
    <row r="497" spans="1:2">
      <c r="A497" t="str">
        <v>Alice Fogaça</v>
      </c>
      <c r="B497">
        <v>11529</v>
      </c>
    </row>
    <row r="498" spans="1:2">
      <c r="A498" t="str">
        <v>Ana Julia Fogaça</v>
      </c>
      <c r="B498">
        <v>21855</v>
      </c>
    </row>
    <row r="499" spans="1:2">
      <c r="A499" t="str">
        <v>Ana Luiza Nunes</v>
      </c>
      <c r="B499">
        <v>79460</v>
      </c>
    </row>
    <row r="500" spans="1:2">
      <c r="A500" t="str">
        <v>Clarice Barros</v>
      </c>
      <c r="B500">
        <v>36016</v>
      </c>
    </row>
    <row r="501" spans="1:2">
      <c r="A501" t="str">
        <v>Asafe Garcia</v>
      </c>
      <c r="B501">
        <v>296798</v>
      </c>
    </row>
    <row r="502" spans="1:2">
      <c r="A502" t="str">
        <v>Maria Julia Vasconcelos</v>
      </c>
      <c r="B502">
        <v>84320</v>
      </c>
    </row>
    <row r="503" spans="1:2">
      <c r="A503" t="str">
        <v>Alice Casa Grande</v>
      </c>
      <c r="B503">
        <v>66885</v>
      </c>
    </row>
    <row r="504" spans="1:2">
      <c r="A504" t="str">
        <v>Dr. João Pedro Siqueira</v>
      </c>
      <c r="B504">
        <v>55828</v>
      </c>
    </row>
    <row r="505" spans="1:2">
      <c r="A505" t="str">
        <v>Gustavo Henrique Vieira</v>
      </c>
      <c r="B505">
        <v>112889</v>
      </c>
    </row>
    <row r="506" spans="1:2">
      <c r="A506" t="str">
        <v>Srta. Lara Pastor</v>
      </c>
      <c r="B506">
        <v>83446</v>
      </c>
    </row>
    <row r="507" spans="1:2">
      <c r="A507" t="str">
        <v>Enzo Cirino</v>
      </c>
      <c r="B507">
        <v>92936</v>
      </c>
    </row>
    <row r="508" spans="1:2">
      <c r="A508" t="str">
        <v>Rael Nunes</v>
      </c>
      <c r="B508">
        <v>152054</v>
      </c>
    </row>
    <row r="509" spans="1:2">
      <c r="A509" t="str">
        <v>Ana Clara Caldeira</v>
      </c>
      <c r="B509">
        <v>50684</v>
      </c>
    </row>
    <row r="510" spans="1:2">
      <c r="A510" t="str">
        <v>Maria Macedo</v>
      </c>
      <c r="B510">
        <v>134747</v>
      </c>
    </row>
    <row r="511" spans="1:2">
      <c r="A511" t="str">
        <v>Ana Beatriz Abreu</v>
      </c>
      <c r="B511">
        <v>52822</v>
      </c>
    </row>
    <row r="512" spans="1:2">
      <c r="A512" t="str">
        <v>Dr. Thomas Santos</v>
      </c>
      <c r="B512">
        <v>58469</v>
      </c>
    </row>
    <row r="513" spans="1:2">
      <c r="A513" t="str">
        <v>Dra. Laura Rezende</v>
      </c>
      <c r="B513">
        <v>73465</v>
      </c>
    </row>
    <row r="514" spans="1:2">
      <c r="A514" t="str">
        <v>Agatha Almeida</v>
      </c>
      <c r="B514">
        <v>7395</v>
      </c>
    </row>
    <row r="515" spans="1:2">
      <c r="A515" t="str">
        <v>Maria Flor Silveira</v>
      </c>
      <c r="B515">
        <v>206851</v>
      </c>
    </row>
    <row r="516" spans="1:2">
      <c r="A516" t="str">
        <v>Daniel Costela</v>
      </c>
      <c r="B516">
        <v>82188</v>
      </c>
    </row>
    <row r="517" spans="1:2">
      <c r="A517" t="str">
        <v>Leandro Almeida</v>
      </c>
      <c r="B517">
        <v>58272</v>
      </c>
    </row>
    <row r="518" spans="1:2">
      <c r="A518" t="str">
        <v>José Santos</v>
      </c>
      <c r="B518">
        <v>96727</v>
      </c>
    </row>
    <row r="519" spans="1:2">
      <c r="A519" t="str">
        <v>Maria Sophia Fernandes</v>
      </c>
      <c r="B519">
        <v>90764</v>
      </c>
    </row>
    <row r="520" spans="1:2">
      <c r="A520" t="str">
        <v>Fernanda Pastor</v>
      </c>
      <c r="B520">
        <v>73416</v>
      </c>
    </row>
    <row r="521" spans="1:2">
      <c r="A521" t="str">
        <v>Calebe Costela</v>
      </c>
      <c r="B521">
        <v>80749</v>
      </c>
    </row>
    <row r="522" spans="1:2">
      <c r="A522" t="str">
        <v>João Vitor Azevedo</v>
      </c>
      <c r="B522">
        <v>32549</v>
      </c>
    </row>
    <row r="523" spans="1:2">
      <c r="A523" t="str">
        <v>Dra. Evelyn Câmara</v>
      </c>
      <c r="B523">
        <v>85697</v>
      </c>
    </row>
    <row r="524" spans="1:2">
      <c r="A524" t="str">
        <v>Daniel da Mota</v>
      </c>
      <c r="B524">
        <v>105658</v>
      </c>
    </row>
    <row r="525" spans="1:2">
      <c r="A525" t="str">
        <v>Lívia Mendonça</v>
      </c>
      <c r="B525">
        <v>102087</v>
      </c>
    </row>
    <row r="526" spans="1:2">
      <c r="A526" t="str">
        <v>Bryan Nascimento</v>
      </c>
      <c r="B526">
        <v>51183</v>
      </c>
    </row>
    <row r="527" spans="1:2">
      <c r="A527" t="str">
        <v>Emanuel Borges</v>
      </c>
      <c r="B527">
        <v>188021</v>
      </c>
    </row>
    <row r="528" spans="1:2">
      <c r="A528" t="str">
        <v>Valentim Souza</v>
      </c>
      <c r="B528">
        <v>66325</v>
      </c>
    </row>
    <row r="529" spans="1:2">
      <c r="A529" t="str">
        <v>Camila Cavalcanti</v>
      </c>
      <c r="B529">
        <v>5319</v>
      </c>
    </row>
    <row r="530" spans="1:2">
      <c r="A530" t="str">
        <v>Dra. Alice Campos</v>
      </c>
      <c r="B530">
        <v>14627</v>
      </c>
    </row>
    <row r="531" spans="1:2">
      <c r="A531" t="str">
        <v>Dr. Isaac da Rosa</v>
      </c>
      <c r="B531">
        <v>57090</v>
      </c>
    </row>
    <row r="532" spans="1:2">
      <c r="A532" t="str">
        <v>Bella Machado</v>
      </c>
      <c r="B532">
        <v>67843</v>
      </c>
    </row>
    <row r="533" spans="1:2">
      <c r="A533" t="str">
        <v>Manuela Rodrigues</v>
      </c>
      <c r="B533">
        <v>157949</v>
      </c>
    </row>
    <row r="534" spans="1:2">
      <c r="A534" t="str">
        <v>Caio Costa</v>
      </c>
      <c r="B534">
        <v>87561</v>
      </c>
    </row>
    <row r="535" spans="1:2">
      <c r="A535" t="str">
        <v>Nina Jesus</v>
      </c>
      <c r="B535">
        <v>169575</v>
      </c>
    </row>
    <row r="536" spans="1:2">
      <c r="A536" t="str">
        <v>Enrico Azevedo</v>
      </c>
      <c r="B536">
        <v>278737</v>
      </c>
    </row>
    <row r="537" spans="1:2">
      <c r="A537" t="str">
        <v>Larissa Cirino</v>
      </c>
      <c r="B537">
        <v>3348</v>
      </c>
    </row>
    <row r="538" spans="1:2">
      <c r="A538" t="str">
        <v>Gustavo Henrique Rodrigues</v>
      </c>
      <c r="B538">
        <v>159623</v>
      </c>
    </row>
    <row r="539" spans="1:2">
      <c r="A539" t="str">
        <v>Antony Guerra</v>
      </c>
      <c r="B539">
        <v>120625</v>
      </c>
    </row>
    <row r="540" spans="1:2">
      <c r="A540" t="str">
        <v>Cauê Guerra</v>
      </c>
      <c r="B540">
        <v>69844</v>
      </c>
    </row>
    <row r="541" spans="1:2">
      <c r="A541" t="str">
        <v>Luara Moura</v>
      </c>
      <c r="B541">
        <v>63243</v>
      </c>
    </row>
    <row r="542" spans="1:2">
      <c r="A542" t="str">
        <v>Sra. Luana da Mata</v>
      </c>
      <c r="B542">
        <v>55326</v>
      </c>
    </row>
    <row r="543" spans="1:2">
      <c r="A543" t="str">
        <v>Ana Sophia Vargas</v>
      </c>
      <c r="B543">
        <v>23708</v>
      </c>
    </row>
    <row r="544" spans="1:2">
      <c r="A544" t="str">
        <v>Ana Lívia Dias</v>
      </c>
      <c r="B544">
        <v>61394</v>
      </c>
    </row>
    <row r="545" spans="1:2">
      <c r="A545" t="str">
        <v>Davi Lucas da Costa</v>
      </c>
      <c r="B545">
        <v>8590</v>
      </c>
    </row>
    <row r="546" spans="1:2">
      <c r="A546" t="str">
        <v>Luan Vargas</v>
      </c>
      <c r="B546">
        <v>15801</v>
      </c>
    </row>
    <row r="547" spans="1:2">
      <c r="A547" t="str">
        <v>Sofia Leão</v>
      </c>
      <c r="B547">
        <v>126263</v>
      </c>
    </row>
    <row r="548" spans="1:2">
      <c r="A548" t="str">
        <v>Sr. Isaac Mendes</v>
      </c>
      <c r="B548">
        <v>31072</v>
      </c>
    </row>
    <row r="549" spans="1:2">
      <c r="A549" t="str">
        <v>Ryan Borges</v>
      </c>
      <c r="B549">
        <v>71892</v>
      </c>
    </row>
    <row r="550" spans="1:2">
      <c r="A550" t="str">
        <v>Ana Cavalcanti</v>
      </c>
      <c r="B550">
        <v>90904</v>
      </c>
    </row>
    <row r="551" spans="1:2">
      <c r="A551" t="str">
        <v>Joaquim Barbosa</v>
      </c>
      <c r="B551">
        <v>1472</v>
      </c>
    </row>
    <row r="552" spans="1:2">
      <c r="A552" t="str">
        <v>Bernardo Ribeiro</v>
      </c>
      <c r="B552">
        <v>89457</v>
      </c>
    </row>
    <row r="553" spans="1:2">
      <c r="A553" t="str">
        <v>Sr. João Gabriel Ramos</v>
      </c>
      <c r="B553">
        <v>43027</v>
      </c>
    </row>
    <row r="554" spans="1:2">
      <c r="A554" t="str">
        <v>Noah Câmara</v>
      </c>
      <c r="B554">
        <v>149985</v>
      </c>
    </row>
    <row r="555" spans="1:2">
      <c r="A555" t="str">
        <v>Anthony Brito</v>
      </c>
      <c r="B555">
        <v>88144</v>
      </c>
    </row>
    <row r="556" spans="1:2">
      <c r="A556" t="str">
        <v>Cauê Aragão</v>
      </c>
      <c r="B556">
        <v>113788</v>
      </c>
    </row>
    <row r="557" spans="1:2">
      <c r="A557" t="str">
        <v>Bento da Costa</v>
      </c>
      <c r="B557">
        <v>2558</v>
      </c>
    </row>
    <row r="558" spans="1:2">
      <c r="A558" t="str">
        <v>Guilherme Peixoto</v>
      </c>
      <c r="B558">
        <v>68797</v>
      </c>
    </row>
    <row r="559" spans="1:2">
      <c r="A559" t="str">
        <v>Clarice Mendonça</v>
      </c>
      <c r="B559">
        <v>80793</v>
      </c>
    </row>
    <row r="560" spans="1:2">
      <c r="A560" t="str">
        <v>João Guilherme Vasconcelos</v>
      </c>
      <c r="B560">
        <v>67173</v>
      </c>
    </row>
    <row r="561" spans="1:2">
      <c r="A561" t="str">
        <v>Liam Vieira</v>
      </c>
      <c r="B561">
        <v>45881</v>
      </c>
    </row>
    <row r="562" spans="1:2">
      <c r="A562" t="str">
        <v>Dr. Thiago Guerra</v>
      </c>
      <c r="B562">
        <v>146293</v>
      </c>
    </row>
    <row r="563" spans="1:2">
      <c r="A563" t="str">
        <v>Augusto da Luz</v>
      </c>
      <c r="B563">
        <v>138819</v>
      </c>
    </row>
    <row r="564" spans="1:2">
      <c r="A564" t="str">
        <v>Dra. Cecilia Dias</v>
      </c>
      <c r="B564">
        <v>266530</v>
      </c>
    </row>
    <row r="565" spans="1:2">
      <c r="A565" t="str">
        <v>Fernando Cardoso</v>
      </c>
      <c r="B565">
        <v>42683</v>
      </c>
    </row>
    <row r="566" spans="1:2">
      <c r="A566" t="str">
        <v>Pedro Lucas Andrade</v>
      </c>
      <c r="B566">
        <v>147753</v>
      </c>
    </row>
    <row r="567" spans="1:2">
      <c r="A567" t="str">
        <v>Pietro Rocha</v>
      </c>
      <c r="B567">
        <v>57126</v>
      </c>
    </row>
    <row r="568" spans="1:2">
      <c r="A568" t="str">
        <v>Isaque Gonçalves</v>
      </c>
      <c r="B568">
        <v>229779</v>
      </c>
    </row>
    <row r="569" spans="1:2">
      <c r="A569" t="str">
        <v>Ana Sophia Gonçalves</v>
      </c>
      <c r="B569">
        <v>169193</v>
      </c>
    </row>
    <row r="570" spans="1:2">
      <c r="A570" t="str">
        <v>Ana Liz Rezende</v>
      </c>
      <c r="B570">
        <v>3052</v>
      </c>
    </row>
    <row r="571" spans="1:2">
      <c r="A571" t="str">
        <v>Dr. Pietro Costela</v>
      </c>
      <c r="B571">
        <v>47748</v>
      </c>
    </row>
    <row r="572" spans="1:2">
      <c r="A572" t="str">
        <v>Gabriel Cardoso</v>
      </c>
      <c r="B572">
        <v>164469</v>
      </c>
    </row>
    <row r="573" spans="1:2">
      <c r="A573" t="str">
        <v>Olívia Moraes</v>
      </c>
      <c r="B573">
        <v>44164</v>
      </c>
    </row>
    <row r="574" spans="1:2">
      <c r="A574" t="str">
        <v>Theo da Mota</v>
      </c>
      <c r="B574">
        <v>90497</v>
      </c>
    </row>
    <row r="575" spans="1:2">
      <c r="A575" t="str">
        <v>Bella Costa</v>
      </c>
      <c r="B575">
        <v>102596</v>
      </c>
    </row>
    <row r="576" spans="1:2">
      <c r="A576" t="str">
        <v>Alícia Andrade</v>
      </c>
      <c r="B576">
        <v>88393</v>
      </c>
    </row>
    <row r="577" spans="1:2">
      <c r="A577" t="str">
        <v>Dr. Ravy da Rocha</v>
      </c>
      <c r="B577">
        <v>108035</v>
      </c>
    </row>
    <row r="578" spans="1:2">
      <c r="A578" t="str">
        <v>Diogo Sá</v>
      </c>
      <c r="B578">
        <v>147329</v>
      </c>
    </row>
    <row r="579" spans="1:2">
      <c r="A579" t="str">
        <v>Marcela Gonçalves</v>
      </c>
      <c r="B579">
        <v>65899</v>
      </c>
    </row>
    <row r="580" spans="1:2">
      <c r="A580" t="str">
        <v>Antonella Aragão</v>
      </c>
      <c r="B580">
        <v>80825</v>
      </c>
    </row>
    <row r="581" spans="1:2">
      <c r="A581" t="str">
        <v>Valentina Rios</v>
      </c>
      <c r="B581">
        <v>276975</v>
      </c>
    </row>
    <row r="582" spans="1:2">
      <c r="A582" t="str">
        <v>Breno da Rocha</v>
      </c>
      <c r="B582">
        <v>52869</v>
      </c>
    </row>
    <row r="583" spans="1:2">
      <c r="A583" t="str">
        <v>Maria Luiza Abreu</v>
      </c>
      <c r="B583">
        <v>41591</v>
      </c>
    </row>
    <row r="584" spans="1:2">
      <c r="A584" t="str">
        <v>Jade Oliveira</v>
      </c>
      <c r="B584">
        <v>20597</v>
      </c>
    </row>
    <row r="585" spans="1:2">
      <c r="A585" t="str">
        <v>Srta. Helena Novais</v>
      </c>
      <c r="B585">
        <v>2358</v>
      </c>
    </row>
    <row r="586" spans="1:2">
      <c r="A586" t="str">
        <v>Stella Martins</v>
      </c>
      <c r="B586">
        <v>264878</v>
      </c>
    </row>
    <row r="587" spans="1:2">
      <c r="A587" t="str">
        <v>Manuela Mendes</v>
      </c>
      <c r="B587">
        <v>58356</v>
      </c>
    </row>
    <row r="588" spans="1:2">
      <c r="A588" t="str">
        <v>Maria Helena Lopes</v>
      </c>
      <c r="B588">
        <v>56220</v>
      </c>
    </row>
    <row r="589" spans="1:2">
      <c r="A589" t="str">
        <v>Arthur Miguel Azevedo</v>
      </c>
      <c r="B589">
        <v>157100</v>
      </c>
    </row>
    <row r="590" spans="1:2">
      <c r="A590" t="str">
        <v>Anna Liz Vargas</v>
      </c>
      <c r="B590">
        <v>55526</v>
      </c>
    </row>
    <row r="591" spans="1:2">
      <c r="A591" t="str">
        <v>João Gabriel Costela</v>
      </c>
      <c r="B591">
        <v>140606</v>
      </c>
    </row>
    <row r="592" spans="1:2">
      <c r="A592" t="str">
        <v>Sra. Ester Casa Grande</v>
      </c>
      <c r="B592">
        <v>68252</v>
      </c>
    </row>
    <row r="593" spans="1:2">
      <c r="A593" t="str">
        <v>Ana Júlia Ribeiro</v>
      </c>
      <c r="B593">
        <v>21524</v>
      </c>
    </row>
    <row r="594" spans="1:2">
      <c r="A594" t="str">
        <v>Luiz Otávio Nunes</v>
      </c>
      <c r="B594">
        <v>82722</v>
      </c>
    </row>
    <row r="595" spans="1:2">
      <c r="A595" t="str">
        <v>Hadassa Garcia</v>
      </c>
      <c r="B595">
        <v>185661</v>
      </c>
    </row>
    <row r="596" spans="1:2">
      <c r="A596" t="str">
        <v>Pedro Lucas Fernandes</v>
      </c>
      <c r="B596">
        <v>12564</v>
      </c>
    </row>
    <row r="597" spans="1:2">
      <c r="A597" t="str">
        <v>Aurora Vargas</v>
      </c>
      <c r="B597">
        <v>83992</v>
      </c>
    </row>
    <row r="598" spans="1:2">
      <c r="A598" t="str">
        <v>Manuella Barros</v>
      </c>
      <c r="B598">
        <v>64639</v>
      </c>
    </row>
    <row r="599" spans="1:2">
      <c r="A599" t="str">
        <v>Olivia Vargas</v>
      </c>
      <c r="B599">
        <v>14586</v>
      </c>
    </row>
    <row r="600" spans="1:2">
      <c r="A600" t="str">
        <v>Maria Clara Nogueira</v>
      </c>
      <c r="B600">
        <v>71334</v>
      </c>
    </row>
    <row r="601" spans="1:2">
      <c r="A601" t="str">
        <v>Sr. Valentim da Paz</v>
      </c>
      <c r="B601">
        <v>103695</v>
      </c>
    </row>
    <row r="602" spans="1:2">
      <c r="A602" t="str">
        <v>Valentina Costela</v>
      </c>
      <c r="B602">
        <v>286922</v>
      </c>
    </row>
    <row r="603" spans="1:2">
      <c r="A603" t="str">
        <v>Carolina Macedo</v>
      </c>
      <c r="B603">
        <v>40160</v>
      </c>
    </row>
    <row r="604" spans="1:2">
      <c r="A604" t="str">
        <v>Luara Rocha</v>
      </c>
      <c r="B604">
        <v>49096</v>
      </c>
    </row>
    <row r="605" spans="1:2">
      <c r="A605" t="str">
        <v>Thales Casa Grande</v>
      </c>
      <c r="B605">
        <v>66471</v>
      </c>
    </row>
    <row r="606" spans="1:2">
      <c r="A606" t="str">
        <v>Brayan Sá</v>
      </c>
      <c r="B606">
        <v>49548</v>
      </c>
    </row>
    <row r="607" spans="1:2">
      <c r="A607" t="str">
        <v>Enzo Mendonça</v>
      </c>
      <c r="B607">
        <v>216676</v>
      </c>
    </row>
    <row r="608" spans="1:2">
      <c r="A608" t="str">
        <v>Rael Brito</v>
      </c>
      <c r="B608">
        <v>40084</v>
      </c>
    </row>
    <row r="609" spans="1:2">
      <c r="A609" t="str">
        <v>Otto Rocha</v>
      </c>
      <c r="B609">
        <v>128807</v>
      </c>
    </row>
    <row r="610" spans="1:2">
      <c r="A610" t="str">
        <v>Srta. Mariane Melo</v>
      </c>
      <c r="B610">
        <v>28068</v>
      </c>
    </row>
    <row r="611" spans="1:2">
      <c r="A611" t="str">
        <v>Cauã Sousa</v>
      </c>
      <c r="B611">
        <v>2567</v>
      </c>
    </row>
    <row r="612" spans="1:2">
      <c r="A612" t="str">
        <v>Enzo Costa</v>
      </c>
      <c r="B612">
        <v>168799</v>
      </c>
    </row>
    <row r="613" spans="1:2">
      <c r="A613" t="str">
        <v>Yasmin Souza</v>
      </c>
      <c r="B613">
        <v>25182</v>
      </c>
    </row>
    <row r="614" spans="1:2">
      <c r="A614" t="str">
        <v>Marcela Castro</v>
      </c>
      <c r="B614">
        <v>19740</v>
      </c>
    </row>
    <row r="615" spans="1:2">
      <c r="A615" t="str">
        <v>Mateus Cassiano</v>
      </c>
      <c r="B615">
        <v>15306</v>
      </c>
    </row>
    <row r="616" spans="1:2">
      <c r="A616" t="str">
        <v>Elisa Nogueira</v>
      </c>
      <c r="B616">
        <v>149244</v>
      </c>
    </row>
    <row r="617" spans="1:2">
      <c r="A617" t="str">
        <v>Dr. Luiz Felipe da Costa</v>
      </c>
      <c r="B617">
        <v>93085</v>
      </c>
    </row>
    <row r="618" spans="1:2">
      <c r="A618" t="str">
        <v>Emanuel da Cunha</v>
      </c>
      <c r="B618">
        <v>144016</v>
      </c>
    </row>
    <row r="619" spans="1:2">
      <c r="A619" t="str">
        <v>Guilherme Novaes</v>
      </c>
      <c r="B619">
        <v>105487</v>
      </c>
    </row>
    <row r="620" spans="1:2">
      <c r="A620" t="str">
        <v>Dra. Nina da Rosa</v>
      </c>
      <c r="B620">
        <v>129008</v>
      </c>
    </row>
    <row r="621" spans="1:2">
      <c r="A621" t="str">
        <v>Julia Brito</v>
      </c>
      <c r="B621">
        <v>234660</v>
      </c>
    </row>
    <row r="622" spans="1:2">
      <c r="A622" t="str">
        <v>João Pedro Pacheco</v>
      </c>
      <c r="B622">
        <v>148982</v>
      </c>
    </row>
    <row r="623" spans="1:2">
      <c r="A623" t="str">
        <v>Sr. Breno Viana</v>
      </c>
      <c r="B623">
        <v>36654</v>
      </c>
    </row>
    <row r="624" spans="1:2">
      <c r="A624" t="str">
        <v>Benjamin Pires</v>
      </c>
      <c r="B624">
        <v>17735</v>
      </c>
    </row>
    <row r="625" spans="1:2">
      <c r="A625" t="str">
        <v>Kamilly Costa</v>
      </c>
      <c r="B625">
        <v>38221</v>
      </c>
    </row>
    <row r="626" spans="1:2">
      <c r="A626" t="str">
        <v>Henrique Melo</v>
      </c>
      <c r="B626">
        <v>81338</v>
      </c>
    </row>
    <row r="627" spans="1:2">
      <c r="A627" t="str">
        <v>Thomas Lima</v>
      </c>
      <c r="B627">
        <v>3202</v>
      </c>
    </row>
    <row r="628" spans="1:2">
      <c r="A628" t="str">
        <v>Sophie Guerra</v>
      </c>
      <c r="B628">
        <v>25340</v>
      </c>
    </row>
    <row r="629" spans="1:2">
      <c r="A629" t="str">
        <v>Brenda Barros</v>
      </c>
      <c r="B629">
        <v>66496</v>
      </c>
    </row>
    <row r="630" spans="1:2">
      <c r="A630" t="str">
        <v>Pedro Lucas Guerra</v>
      </c>
      <c r="B630">
        <v>75145</v>
      </c>
    </row>
    <row r="631" spans="1:2">
      <c r="A631" t="str">
        <v>Clarice Rezende</v>
      </c>
      <c r="B631">
        <v>607</v>
      </c>
    </row>
    <row r="632" spans="1:2">
      <c r="A632" t="str">
        <v>Maria Júlia da Luz</v>
      </c>
      <c r="B632">
        <v>92783</v>
      </c>
    </row>
    <row r="633" spans="1:2">
      <c r="A633" t="str">
        <v>Srta. Ana Clara das Neves</v>
      </c>
      <c r="B633">
        <v>35186</v>
      </c>
    </row>
    <row r="634" spans="1:2">
      <c r="A634" t="str">
        <v>Luan Campos</v>
      </c>
      <c r="B634">
        <v>66277</v>
      </c>
    </row>
    <row r="635" spans="1:2">
      <c r="A635" t="str">
        <v>Luiz Otávio Pereira</v>
      </c>
      <c r="B635">
        <v>48139</v>
      </c>
    </row>
    <row r="636" spans="1:2">
      <c r="A636" t="str">
        <v>Arthur Silveira</v>
      </c>
      <c r="B636">
        <v>112693</v>
      </c>
    </row>
    <row r="637" spans="1:2">
      <c r="A637" t="str">
        <v>Maitê Mendonça</v>
      </c>
      <c r="B637">
        <v>88529</v>
      </c>
    </row>
    <row r="638" spans="1:2">
      <c r="A638" t="str">
        <v>Sr. Rael Fernandes</v>
      </c>
      <c r="B638">
        <v>10953</v>
      </c>
    </row>
    <row r="639" spans="1:2">
      <c r="A639" t="str">
        <v>Sr. Yago Pimenta</v>
      </c>
      <c r="B639">
        <v>112124</v>
      </c>
    </row>
    <row r="640" spans="1:2">
      <c r="A640" t="str">
        <v>Miguel da Rosa</v>
      </c>
      <c r="B640">
        <v>60453</v>
      </c>
    </row>
    <row r="641" spans="1:2">
      <c r="A641" t="str">
        <v>Helena Cassiano</v>
      </c>
      <c r="B641">
        <v>30712</v>
      </c>
    </row>
    <row r="642" spans="1:2">
      <c r="A642" t="str">
        <v>José Caldeira</v>
      </c>
      <c r="B642">
        <v>152196</v>
      </c>
    </row>
    <row r="643" spans="1:2">
      <c r="A643" t="str">
        <v>Sr. Benicio das Neves</v>
      </c>
      <c r="B643">
        <v>155065</v>
      </c>
    </row>
    <row r="644" spans="1:2">
      <c r="A644" t="str">
        <v>Ana Júlia da Rosa</v>
      </c>
      <c r="B644">
        <v>18998</v>
      </c>
    </row>
    <row r="645" spans="1:2">
      <c r="A645" t="str">
        <v>Bella Vargas</v>
      </c>
      <c r="B645">
        <v>159248</v>
      </c>
    </row>
    <row r="646" spans="1:2">
      <c r="A646" t="str">
        <v>Sarah Garcia</v>
      </c>
      <c r="B646">
        <v>81376</v>
      </c>
    </row>
    <row r="647" spans="1:2">
      <c r="A647" t="str">
        <v>Davi Miguel Brito</v>
      </c>
      <c r="B647">
        <v>98149</v>
      </c>
    </row>
    <row r="648" spans="1:2">
      <c r="A648" t="str">
        <v>Mariane Sampaio</v>
      </c>
      <c r="B648">
        <v>179396</v>
      </c>
    </row>
    <row r="649" spans="1:2">
      <c r="A649" t="str">
        <v>Raul Nunes</v>
      </c>
      <c r="B649">
        <v>137293</v>
      </c>
    </row>
    <row r="650" spans="1:2">
      <c r="A650" t="str">
        <v>Daniela da Rosa</v>
      </c>
      <c r="B650">
        <v>263814</v>
      </c>
    </row>
    <row r="651" spans="1:2">
      <c r="A651" t="str">
        <v>Lucas Gabriel Mendonça</v>
      </c>
      <c r="B651">
        <v>46793</v>
      </c>
    </row>
    <row r="652" spans="1:2">
      <c r="A652" t="str">
        <v>Bárbara Vasconcelos</v>
      </c>
      <c r="B652">
        <v>74810</v>
      </c>
    </row>
    <row r="653" spans="1:2">
      <c r="A653" t="str">
        <v>Dom Macedo</v>
      </c>
      <c r="B653">
        <v>53787</v>
      </c>
    </row>
    <row r="654" spans="1:2">
      <c r="A654" t="str">
        <v>Luiza Ferreira</v>
      </c>
      <c r="B654">
        <v>137217</v>
      </c>
    </row>
    <row r="655" spans="1:2">
      <c r="A655" t="str">
        <v>Lara Rodrigues</v>
      </c>
      <c r="B655">
        <v>379230</v>
      </c>
    </row>
    <row r="656" spans="1:2">
      <c r="A656" t="str">
        <v>Erick Mendonça</v>
      </c>
      <c r="B656">
        <v>236107</v>
      </c>
    </row>
    <row r="657" spans="1:2">
      <c r="A657" t="str">
        <v>Srta. Evelyn Ferreira</v>
      </c>
      <c r="B657">
        <v>121693</v>
      </c>
    </row>
    <row r="658" spans="1:2">
      <c r="A658" t="str">
        <v>Thomas Aragão</v>
      </c>
      <c r="B658">
        <v>146702</v>
      </c>
    </row>
    <row r="659" spans="1:2">
      <c r="A659" t="str">
        <v>Gael Henrique Câmara</v>
      </c>
      <c r="B659">
        <v>120243</v>
      </c>
    </row>
    <row r="660" spans="1:2">
      <c r="A660" t="str">
        <v>Dr. Davi Lucca Martins</v>
      </c>
      <c r="B660">
        <v>117473</v>
      </c>
    </row>
    <row r="661" spans="1:2">
      <c r="A661" t="str">
        <v>Dra. Maria Júlia da Rocha</v>
      </c>
      <c r="B661">
        <v>854</v>
      </c>
    </row>
    <row r="662" spans="1:2">
      <c r="A662" t="str">
        <v>Vitória Porto</v>
      </c>
      <c r="B662">
        <v>170107</v>
      </c>
    </row>
    <row r="663" spans="1:2">
      <c r="A663" t="str">
        <v>Henry Gabriel Cassiano</v>
      </c>
      <c r="B663">
        <v>44694</v>
      </c>
    </row>
    <row r="664" spans="1:2">
      <c r="A664" t="str">
        <v>Srta. Beatriz Marques</v>
      </c>
      <c r="B664">
        <v>51618</v>
      </c>
    </row>
    <row r="665" spans="1:2">
      <c r="A665" t="str">
        <v>Heloisa Fogaça</v>
      </c>
      <c r="B665">
        <v>130868</v>
      </c>
    </row>
    <row r="666" spans="1:2">
      <c r="A666" t="str">
        <v>Enzo Gabriel da Cunha</v>
      </c>
      <c r="B666">
        <v>159994</v>
      </c>
    </row>
    <row r="667" spans="1:2">
      <c r="A667" t="str">
        <v>Vinicius da Cunha</v>
      </c>
      <c r="B667">
        <v>205798</v>
      </c>
    </row>
    <row r="668" spans="1:2">
      <c r="A668" t="str">
        <v>Benjamim Rodrigues</v>
      </c>
      <c r="B668">
        <v>75236</v>
      </c>
    </row>
    <row r="669" spans="1:2">
      <c r="A669" t="str">
        <v>Eloah Aragão</v>
      </c>
      <c r="B669">
        <v>25071</v>
      </c>
    </row>
    <row r="670" spans="1:2">
      <c r="A670" t="str">
        <v>Léo Oliveira</v>
      </c>
      <c r="B670">
        <v>45354</v>
      </c>
    </row>
    <row r="671" spans="1:2">
      <c r="A671" t="str">
        <v>Cecilia Pimenta</v>
      </c>
      <c r="B671">
        <v>311575</v>
      </c>
    </row>
    <row r="672" spans="1:2">
      <c r="A672" t="str">
        <v>Srta. Carolina da Conceição</v>
      </c>
      <c r="B672">
        <v>82050</v>
      </c>
    </row>
    <row r="673" spans="1:2">
      <c r="A673" t="str">
        <v>Dra. Valentina Albuquerque</v>
      </c>
      <c r="B673">
        <v>71600</v>
      </c>
    </row>
    <row r="674" spans="1:2">
      <c r="A674" t="str">
        <v>Ana Laura Moura</v>
      </c>
      <c r="B674">
        <v>61712</v>
      </c>
    </row>
    <row r="675" spans="1:2">
      <c r="A675" t="str">
        <v>João Felipe Moreira</v>
      </c>
      <c r="B675">
        <v>8167</v>
      </c>
    </row>
    <row r="676" spans="1:2">
      <c r="A676" t="str">
        <v>Dr. Luiz Henrique Sá</v>
      </c>
      <c r="B676">
        <v>4361</v>
      </c>
    </row>
    <row r="677" spans="1:2">
      <c r="A677" t="str">
        <v>Gustavo Novais</v>
      </c>
      <c r="B677">
        <v>61203</v>
      </c>
    </row>
    <row r="678" spans="1:2">
      <c r="A678" t="str">
        <v>Agatha Moura</v>
      </c>
      <c r="B678">
        <v>111169</v>
      </c>
    </row>
    <row r="679" spans="1:2">
      <c r="A679" t="str">
        <v>Luiz Henrique Ribeiro</v>
      </c>
      <c r="B679">
        <v>192986</v>
      </c>
    </row>
    <row r="680" spans="1:2">
      <c r="A680" t="str">
        <v>Lívia Farias</v>
      </c>
      <c r="B680">
        <v>96268</v>
      </c>
    </row>
    <row r="681" spans="1:2">
      <c r="A681" t="str">
        <v>Catarina da Conceição</v>
      </c>
      <c r="B681">
        <v>77356</v>
      </c>
    </row>
    <row r="682" spans="1:2">
      <c r="A682" t="str">
        <v>Amanda Mendonça</v>
      </c>
      <c r="B682">
        <v>121075</v>
      </c>
    </row>
    <row r="683" spans="1:2">
      <c r="A683" t="str">
        <v>Leonardo Pinto</v>
      </c>
      <c r="B683">
        <v>93218</v>
      </c>
    </row>
    <row r="684" spans="1:2">
      <c r="A684" t="str">
        <v>Antonella Cavalcanti</v>
      </c>
      <c r="B684">
        <v>49926</v>
      </c>
    </row>
    <row r="685" spans="1:2">
      <c r="A685" t="str">
        <v>Ana Vitória Silveira</v>
      </c>
      <c r="B685">
        <v>36915</v>
      </c>
    </row>
    <row r="686" spans="1:2">
      <c r="A686" t="str">
        <v>Srta. Gabrielly Pimenta</v>
      </c>
      <c r="B686">
        <v>108529</v>
      </c>
    </row>
    <row r="687" spans="1:2">
      <c r="A687" t="str">
        <v>Ayla Carvalho</v>
      </c>
      <c r="B687">
        <v>122711</v>
      </c>
    </row>
    <row r="688" spans="1:2">
      <c r="A688" t="str">
        <v>Sr. Arthur Miguel Cassiano</v>
      </c>
      <c r="B688">
        <v>33299</v>
      </c>
    </row>
    <row r="689" spans="1:2">
      <c r="A689" t="str">
        <v>Raul Ramos</v>
      </c>
      <c r="B689">
        <v>112671</v>
      </c>
    </row>
    <row r="690" spans="1:2">
      <c r="A690" t="str">
        <v>Maria Helena Moura</v>
      </c>
      <c r="B690">
        <v>111056</v>
      </c>
    </row>
    <row r="691" spans="1:2">
      <c r="A691" t="str">
        <v>Dra. Natália Rios</v>
      </c>
      <c r="B691">
        <v>113751</v>
      </c>
    </row>
    <row r="692" spans="1:2">
      <c r="A692" t="str">
        <v>Valentina Macedo</v>
      </c>
      <c r="B692">
        <v>229726</v>
      </c>
    </row>
    <row r="693" spans="1:2">
      <c r="A693" t="str">
        <v>Enzo Costela</v>
      </c>
      <c r="B693">
        <v>79305</v>
      </c>
    </row>
    <row r="694" spans="1:2">
      <c r="A694" t="str">
        <v>Marcela Macedo</v>
      </c>
      <c r="B694">
        <v>121648</v>
      </c>
    </row>
    <row r="695" spans="1:2">
      <c r="A695" t="str">
        <v>Vinicius Melo</v>
      </c>
      <c r="B695">
        <v>24845</v>
      </c>
    </row>
    <row r="696" spans="1:2">
      <c r="A696" t="str">
        <v>Théo Cavalcanti</v>
      </c>
      <c r="B696">
        <v>156836</v>
      </c>
    </row>
    <row r="697" spans="1:2">
      <c r="A697" t="str">
        <v>Sra. Cecília Carvalho</v>
      </c>
      <c r="B697">
        <v>211011</v>
      </c>
    </row>
    <row r="698" spans="1:2">
      <c r="A698" t="str">
        <v>Dr. Rhavi da Rocha</v>
      </c>
      <c r="B698">
        <v>21946</v>
      </c>
    </row>
    <row r="699" spans="1:2">
      <c r="A699" t="str">
        <v>Camila Casa Grande</v>
      </c>
      <c r="B699">
        <v>738</v>
      </c>
    </row>
    <row r="700" spans="1:2">
      <c r="A700" t="str">
        <v>Allana da Costa</v>
      </c>
      <c r="B700">
        <v>15420</v>
      </c>
    </row>
    <row r="701" spans="1:2">
      <c r="A701" t="str">
        <v>Lucas da Rocha</v>
      </c>
      <c r="B701">
        <v>38151</v>
      </c>
    </row>
    <row r="702" spans="1:2">
      <c r="A702" t="str">
        <v>Bruna da Conceição</v>
      </c>
      <c r="B702">
        <v>30994</v>
      </c>
    </row>
    <row r="703" spans="1:2">
      <c r="A703" t="str">
        <v>Dr. Breno Costa</v>
      </c>
      <c r="B703">
        <v>62292</v>
      </c>
    </row>
    <row r="704" spans="1:2">
      <c r="A704" t="str">
        <v>Nicolas da Cunha</v>
      </c>
      <c r="B704">
        <v>8055</v>
      </c>
    </row>
    <row r="705" spans="1:2">
      <c r="A705" t="str">
        <v>Melina Souza</v>
      </c>
      <c r="B705">
        <v>195440</v>
      </c>
    </row>
    <row r="706" spans="1:2">
      <c r="A706" t="str">
        <v>Luiza Santos</v>
      </c>
      <c r="B706">
        <v>40724</v>
      </c>
    </row>
    <row r="707" spans="1:2">
      <c r="A707" t="str">
        <v>Enzo Lima</v>
      </c>
      <c r="B707">
        <v>151906</v>
      </c>
    </row>
    <row r="708" spans="1:2">
      <c r="A708" t="str">
        <v>Hellena Marques</v>
      </c>
      <c r="B708">
        <v>156789</v>
      </c>
    </row>
    <row r="709" spans="1:2">
      <c r="A709" t="str">
        <v>Alícia das Neves</v>
      </c>
      <c r="B709">
        <v>33576</v>
      </c>
    </row>
    <row r="710" spans="1:2">
      <c r="A710" t="str">
        <v>João Castro</v>
      </c>
      <c r="B710">
        <v>219793</v>
      </c>
    </row>
    <row r="711" spans="1:2">
      <c r="A711" t="str">
        <v>Maria Sophia Carvalho</v>
      </c>
      <c r="B711">
        <v>96040</v>
      </c>
    </row>
    <row r="712" spans="1:2">
      <c r="A712" t="str">
        <v>Laís Santos</v>
      </c>
      <c r="B712">
        <v>37589</v>
      </c>
    </row>
    <row r="713" spans="1:2">
      <c r="A713" t="str">
        <v>Srta. Ana Cecília Lima</v>
      </c>
      <c r="B713">
        <v>37525</v>
      </c>
    </row>
    <row r="714" spans="1:2">
      <c r="A714" t="str">
        <v>Mateus Ribeiro</v>
      </c>
      <c r="B714">
        <v>87047</v>
      </c>
    </row>
    <row r="715" spans="1:2">
      <c r="A715" t="str">
        <v>Sara Ramos</v>
      </c>
      <c r="B715">
        <v>19276</v>
      </c>
    </row>
    <row r="716" spans="1:2">
      <c r="A716" t="str">
        <v>Sra. Ana Lívia Brito</v>
      </c>
      <c r="B716">
        <v>165755</v>
      </c>
    </row>
    <row r="717" spans="1:2">
      <c r="A717" t="str">
        <v>Theodoro Lopes</v>
      </c>
      <c r="B717">
        <v>41749</v>
      </c>
    </row>
    <row r="718" spans="1:2">
      <c r="A718" t="str">
        <v>Samuel Teixeira</v>
      </c>
      <c r="B718">
        <v>159508</v>
      </c>
    </row>
    <row r="719" spans="1:2">
      <c r="A719" t="str">
        <v>Dr. Miguel Sousa</v>
      </c>
      <c r="B719">
        <v>135866</v>
      </c>
    </row>
    <row r="720" spans="1:2">
      <c r="A720" t="str">
        <v>Sra. Carolina Andrade</v>
      </c>
      <c r="B720">
        <v>42387</v>
      </c>
    </row>
    <row r="721" spans="1:2">
      <c r="A721" t="str">
        <v>Noah Novais</v>
      </c>
      <c r="B721">
        <v>71346</v>
      </c>
    </row>
    <row r="722" spans="1:2">
      <c r="A722" t="str">
        <v>Lavínia Oliveira</v>
      </c>
      <c r="B722">
        <v>68460</v>
      </c>
    </row>
    <row r="723" spans="1:2">
      <c r="A723" t="str">
        <v>Cecilia Silveira</v>
      </c>
      <c r="B723">
        <v>32895</v>
      </c>
    </row>
    <row r="724" spans="1:2">
      <c r="A724" t="str">
        <v>Thiago da Luz</v>
      </c>
      <c r="B724">
        <v>33015</v>
      </c>
    </row>
    <row r="725" spans="1:2">
      <c r="A725" t="str">
        <v>Sra. Ana Julia Andrade</v>
      </c>
      <c r="B725">
        <v>33904</v>
      </c>
    </row>
    <row r="726" spans="1:2">
      <c r="A726" t="str">
        <v>Srta. Alícia Ramos</v>
      </c>
      <c r="B726">
        <v>148448</v>
      </c>
    </row>
    <row r="727" spans="1:2">
      <c r="A727" t="str">
        <v>Milena Leão</v>
      </c>
      <c r="B727">
        <v>136729</v>
      </c>
    </row>
    <row r="728" spans="1:2">
      <c r="A728" t="str">
        <v>Ian Viana</v>
      </c>
      <c r="B728">
        <v>177147</v>
      </c>
    </row>
    <row r="729" spans="1:2">
      <c r="A729" t="str">
        <v>Danilo Cirino</v>
      </c>
      <c r="B729">
        <v>62755</v>
      </c>
    </row>
    <row r="730" spans="1:2">
      <c r="A730" t="str">
        <v>Nicole Jesus</v>
      </c>
      <c r="B730">
        <v>64865</v>
      </c>
    </row>
    <row r="731" spans="1:2">
      <c r="A731" t="str">
        <v>Marina Pires</v>
      </c>
      <c r="B731">
        <v>5455</v>
      </c>
    </row>
    <row r="732" spans="1:2">
      <c r="A732" t="str">
        <v>Nicolas Leão</v>
      </c>
      <c r="B732">
        <v>139550</v>
      </c>
    </row>
    <row r="733" spans="1:2">
      <c r="A733" t="str">
        <v>Thiago da Paz</v>
      </c>
      <c r="B733">
        <v>19936</v>
      </c>
    </row>
    <row r="734" spans="1:2">
      <c r="A734" t="str">
        <v>Catarina Teixeira</v>
      </c>
      <c r="B734">
        <v>12183</v>
      </c>
    </row>
    <row r="735" spans="1:2">
      <c r="A735" t="str">
        <v>Lucas Gabriel Oliveira</v>
      </c>
      <c r="B735">
        <v>125583</v>
      </c>
    </row>
    <row r="736" spans="1:2">
      <c r="A736" t="str">
        <v>Maria Sophia Porto</v>
      </c>
      <c r="B736">
        <v>2638</v>
      </c>
    </row>
    <row r="737" spans="1:2">
      <c r="A737" t="str">
        <v>Dr. Felipe Pires</v>
      </c>
      <c r="B737">
        <v>215634</v>
      </c>
    </row>
    <row r="738" spans="1:2">
      <c r="A738" t="str">
        <v>Rafaela Monteiro</v>
      </c>
      <c r="B738">
        <v>61353</v>
      </c>
    </row>
    <row r="739" spans="1:2">
      <c r="A739" t="str">
        <v>Thomas Pastor</v>
      </c>
      <c r="B739">
        <v>51900</v>
      </c>
    </row>
    <row r="740" spans="1:2">
      <c r="A740" t="str">
        <v>Benjamin Nogueira</v>
      </c>
      <c r="B740">
        <v>226083</v>
      </c>
    </row>
    <row r="741" spans="1:2">
      <c r="A741" t="str">
        <v>Igor Montenegro</v>
      </c>
      <c r="B741">
        <v>1848</v>
      </c>
    </row>
    <row r="742" spans="1:2">
      <c r="A742" t="str">
        <v>Ayla Peixoto</v>
      </c>
      <c r="B742">
        <v>23733</v>
      </c>
    </row>
    <row r="743" spans="1:2">
      <c r="A743" t="str">
        <v>Helena Duarte</v>
      </c>
      <c r="B743">
        <v>20516</v>
      </c>
    </row>
    <row r="744" spans="1:2">
      <c r="A744" t="str">
        <v>Enzo Marques</v>
      </c>
      <c r="B744">
        <v>112384</v>
      </c>
    </row>
    <row r="745" spans="1:2">
      <c r="A745" t="str">
        <v>Gael das Neves</v>
      </c>
      <c r="B745">
        <v>29089</v>
      </c>
    </row>
    <row r="746" spans="1:2">
      <c r="A746" t="str">
        <v>Sophia Santos</v>
      </c>
      <c r="B746">
        <v>69894</v>
      </c>
    </row>
    <row r="747" spans="1:2">
      <c r="A747" t="str">
        <v>Yan Costa</v>
      </c>
      <c r="B747">
        <v>71043</v>
      </c>
    </row>
    <row r="748" spans="1:2">
      <c r="A748" t="str">
        <v>José Pedro Novais</v>
      </c>
      <c r="B748">
        <v>96695</v>
      </c>
    </row>
    <row r="749" spans="1:2">
      <c r="A749" t="str">
        <v>Raquel Rodrigues</v>
      </c>
      <c r="B749">
        <v>79789</v>
      </c>
    </row>
    <row r="750" spans="1:2">
      <c r="A750" t="str">
        <v>Mariana da Luz</v>
      </c>
      <c r="B750">
        <v>72793</v>
      </c>
    </row>
    <row r="751" spans="1:2">
      <c r="A751" t="str">
        <v>Isadora Cassiano</v>
      </c>
      <c r="B751">
        <v>74584</v>
      </c>
    </row>
    <row r="752" spans="1:2">
      <c r="A752" t="str">
        <v>Renan Nunes</v>
      </c>
      <c r="B752">
        <v>59805</v>
      </c>
    </row>
    <row r="753" spans="1:2">
      <c r="A753" t="str">
        <v>Mathias Nunes</v>
      </c>
      <c r="B753">
        <v>55073</v>
      </c>
    </row>
    <row r="754" spans="1:2">
      <c r="A754" t="str">
        <v>Olivia Vieira</v>
      </c>
      <c r="B754">
        <v>69271</v>
      </c>
    </row>
    <row r="755" spans="1:2">
      <c r="A755" t="str">
        <v>Mirella das Neves</v>
      </c>
      <c r="B755">
        <v>133565</v>
      </c>
    </row>
    <row r="756" spans="1:2">
      <c r="A756" t="str">
        <v>Sra. Ana Vitória Cirino</v>
      </c>
      <c r="B756">
        <v>79552</v>
      </c>
    </row>
    <row r="757" spans="1:2">
      <c r="A757" t="str">
        <v>Laura Siqueira</v>
      </c>
      <c r="B757">
        <v>3654</v>
      </c>
    </row>
    <row r="758" spans="1:2">
      <c r="A758" t="str">
        <v>Maria Isis da Mota</v>
      </c>
      <c r="B758">
        <v>36844</v>
      </c>
    </row>
    <row r="759" spans="1:2">
      <c r="A759" t="str">
        <v>Rebeca Caldeira</v>
      </c>
      <c r="B759">
        <v>12780</v>
      </c>
    </row>
    <row r="760" spans="1:2">
      <c r="A760" t="str">
        <v>Ana Lívia Monteiro</v>
      </c>
      <c r="B760">
        <v>63060</v>
      </c>
    </row>
    <row r="761" spans="1:2">
      <c r="A761" t="str">
        <v>Thales Campos</v>
      </c>
      <c r="B761">
        <v>20790</v>
      </c>
    </row>
    <row r="762" spans="1:2">
      <c r="A762" t="str">
        <v>Vinicius Pastor</v>
      </c>
      <c r="B762">
        <v>208778</v>
      </c>
    </row>
    <row r="763" spans="1:2">
      <c r="A763" t="str">
        <v>Noah Cunha</v>
      </c>
      <c r="B763">
        <v>110453</v>
      </c>
    </row>
    <row r="764" spans="1:2">
      <c r="A764" t="str">
        <v>Sr. Arthur Gabriel Freitas</v>
      </c>
      <c r="B764">
        <v>22884</v>
      </c>
    </row>
    <row r="765" spans="1:2">
      <c r="A765" t="str">
        <v>Samuel da Mata</v>
      </c>
      <c r="B765">
        <v>10116</v>
      </c>
    </row>
    <row r="766" spans="1:2">
      <c r="A766" t="str">
        <v>Sr. Gabriel Cardoso</v>
      </c>
      <c r="B766">
        <v>44468</v>
      </c>
    </row>
    <row r="767" spans="1:2">
      <c r="A767" t="str">
        <v>Dr. Cauê Porto</v>
      </c>
      <c r="B767">
        <v>41110</v>
      </c>
    </row>
    <row r="768" spans="1:2">
      <c r="A768" t="str">
        <v>José Pedro Pinto</v>
      </c>
      <c r="B768">
        <v>2031</v>
      </c>
    </row>
    <row r="769" spans="1:2">
      <c r="A769" t="str">
        <v>Srta. Maria Luísa Azevedo</v>
      </c>
      <c r="B769">
        <v>32186</v>
      </c>
    </row>
    <row r="770" spans="1:2">
      <c r="A770" t="str">
        <v>Miguel Mendonça</v>
      </c>
      <c r="B770">
        <v>7085</v>
      </c>
    </row>
    <row r="771" spans="1:2">
      <c r="A771" t="str">
        <v>Luiz Miguel Almeida</v>
      </c>
      <c r="B771">
        <v>7278</v>
      </c>
    </row>
    <row r="772" spans="1:2">
      <c r="A772" t="str">
        <v>Sofia da Mata</v>
      </c>
      <c r="B772">
        <v>13425</v>
      </c>
    </row>
    <row r="773" spans="1:2">
      <c r="A773" t="str">
        <v>Hadassa Pires</v>
      </c>
      <c r="B773">
        <v>122668</v>
      </c>
    </row>
    <row r="774" spans="1:2">
      <c r="A774" t="str">
        <v>Sra. Brenda Castro</v>
      </c>
      <c r="B774">
        <v>123815</v>
      </c>
    </row>
    <row r="775" spans="1:2">
      <c r="A775" t="str">
        <v>Thomas Viana</v>
      </c>
      <c r="B775">
        <v>83030</v>
      </c>
    </row>
    <row r="776" spans="1:2">
      <c r="A776" t="str">
        <v>Sr. Kaique Alves</v>
      </c>
      <c r="B776">
        <v>57422</v>
      </c>
    </row>
    <row r="777" spans="1:2">
      <c r="A777" t="str">
        <v>Isadora Ramos</v>
      </c>
      <c r="B777">
        <v>46728</v>
      </c>
    </row>
    <row r="778" spans="1:2">
      <c r="A778" t="str">
        <v>Rafael Vargas</v>
      </c>
      <c r="B778">
        <v>62640</v>
      </c>
    </row>
    <row r="779" spans="1:2">
      <c r="A779" t="str">
        <v>Thiago Freitas</v>
      </c>
      <c r="B779">
        <v>48434</v>
      </c>
    </row>
    <row r="780" spans="1:2">
      <c r="A780" t="str">
        <v>Sr. Nicolas Oliveira</v>
      </c>
      <c r="B780">
        <v>44253</v>
      </c>
    </row>
    <row r="781" spans="1:2">
      <c r="A781" t="str">
        <v>Breno Sousa</v>
      </c>
      <c r="B781">
        <v>51896</v>
      </c>
    </row>
    <row r="782" spans="1:2">
      <c r="A782" t="str">
        <v>Marcelo da Luz</v>
      </c>
      <c r="B782">
        <v>156268</v>
      </c>
    </row>
    <row r="783" spans="1:2">
      <c r="A783" t="str">
        <v>Cauê Cunha</v>
      </c>
      <c r="B783">
        <v>105919</v>
      </c>
    </row>
    <row r="784" spans="1:2">
      <c r="A784" t="str">
        <v>Manuela da Mota</v>
      </c>
      <c r="B784">
        <v>125341</v>
      </c>
    </row>
    <row r="785" spans="1:2">
      <c r="A785" t="str">
        <v>Anna Liz Correia</v>
      </c>
      <c r="B785">
        <v>70836</v>
      </c>
    </row>
    <row r="786" spans="1:2">
      <c r="A786" t="str">
        <v>Luiz Gustavo Barbosa</v>
      </c>
      <c r="B786">
        <v>77226</v>
      </c>
    </row>
    <row r="787" spans="1:2">
      <c r="A787" t="str">
        <v>Isabelly Fonseca</v>
      </c>
      <c r="B787">
        <v>8722</v>
      </c>
    </row>
    <row r="788" spans="1:2">
      <c r="A788" t="str">
        <v>Luna da Luz</v>
      </c>
      <c r="B788">
        <v>72480</v>
      </c>
    </row>
    <row r="789" spans="1:2">
      <c r="A789" t="str">
        <v>Melina Sousa</v>
      </c>
      <c r="B789">
        <v>211600</v>
      </c>
    </row>
    <row r="790" spans="1:2">
      <c r="A790" t="str">
        <v>Mathias Costa</v>
      </c>
      <c r="B790">
        <v>41875</v>
      </c>
    </row>
    <row r="791" spans="1:2">
      <c r="A791" t="str">
        <v>Ana Moraes</v>
      </c>
      <c r="B791">
        <v>123630</v>
      </c>
    </row>
    <row r="792" spans="1:2">
      <c r="A792" t="str">
        <v>Sophia Câmara</v>
      </c>
      <c r="B792">
        <v>123560</v>
      </c>
    </row>
    <row r="793" spans="1:2">
      <c r="A793" t="str">
        <v>Levi Dias</v>
      </c>
      <c r="B793">
        <v>135088</v>
      </c>
    </row>
    <row r="794" spans="1:2">
      <c r="A794" t="str">
        <v>Dra. Mariah Rodrigues</v>
      </c>
      <c r="B794">
        <v>32960</v>
      </c>
    </row>
    <row r="795" spans="1:2">
      <c r="A795" t="str">
        <v>Fernando Araújo</v>
      </c>
      <c r="B795">
        <v>183671</v>
      </c>
    </row>
    <row r="796" spans="1:2">
      <c r="A796" t="str">
        <v>Maria Luísa Almeida</v>
      </c>
      <c r="B796">
        <v>80100</v>
      </c>
    </row>
    <row r="797" spans="1:2">
      <c r="A797" t="str">
        <v>Gustavo Novaes</v>
      </c>
      <c r="B797">
        <v>15865</v>
      </c>
    </row>
    <row r="798" spans="1:2">
      <c r="A798" t="str">
        <v>Nicolas Pimenta</v>
      </c>
      <c r="B798">
        <v>117370</v>
      </c>
    </row>
    <row r="799" spans="1:2">
      <c r="A799" t="str">
        <v>Natália Alves</v>
      </c>
      <c r="B799">
        <v>18820</v>
      </c>
    </row>
    <row r="800" spans="1:2">
      <c r="A800" t="str">
        <v>Manuela Moreira</v>
      </c>
      <c r="B800">
        <v>14287</v>
      </c>
    </row>
    <row r="801" spans="1:2">
      <c r="A801" t="str">
        <v>Sr. Enzo Novaes</v>
      </c>
      <c r="B801">
        <v>24624</v>
      </c>
    </row>
    <row r="802" spans="1:2">
      <c r="A802" t="str">
        <v>Dr. Pedro Vasconcelos</v>
      </c>
      <c r="B802">
        <v>133766</v>
      </c>
    </row>
    <row r="803" spans="1:2">
      <c r="A803" t="str">
        <v>Evelyn Caldeira</v>
      </c>
      <c r="B803">
        <v>141137</v>
      </c>
    </row>
    <row r="804" spans="1:2">
      <c r="A804" t="str">
        <v>Marina Silva</v>
      </c>
      <c r="B804">
        <v>16536</v>
      </c>
    </row>
    <row r="805" spans="1:2">
      <c r="A805" t="str">
        <v>Sra. Maria Clara Freitas</v>
      </c>
      <c r="B805">
        <v>14288</v>
      </c>
    </row>
    <row r="806" spans="1:2">
      <c r="A806" t="str">
        <v>Dr. João Guilherme Peixoto</v>
      </c>
      <c r="B806">
        <v>78185</v>
      </c>
    </row>
    <row r="807" spans="1:2">
      <c r="A807" t="str">
        <v>Maria Cecília Cavalcanti</v>
      </c>
      <c r="B807">
        <v>170495</v>
      </c>
    </row>
    <row r="808" spans="1:2">
      <c r="A808" t="str">
        <v>Natália Costela</v>
      </c>
      <c r="B808">
        <v>90303</v>
      </c>
    </row>
    <row r="809" spans="1:2">
      <c r="A809" t="str">
        <v>Maria Helena da Luz</v>
      </c>
      <c r="B809">
        <v>55045</v>
      </c>
    </row>
    <row r="810" spans="1:2">
      <c r="A810" t="str">
        <v>Raul Correia</v>
      </c>
      <c r="B810">
        <v>90072</v>
      </c>
    </row>
    <row r="811" spans="1:2">
      <c r="A811" t="str">
        <v>Srta. Maitê Moreira</v>
      </c>
      <c r="B811">
        <v>25899</v>
      </c>
    </row>
    <row r="812" spans="1:2">
      <c r="A812" t="str">
        <v>Dr. Bernardo Jesus</v>
      </c>
      <c r="B812">
        <v>45884</v>
      </c>
    </row>
    <row r="813" spans="1:2">
      <c r="A813" t="str">
        <v>Bella da Conceição</v>
      </c>
      <c r="B813">
        <v>137299</v>
      </c>
    </row>
    <row r="814" spans="1:2">
      <c r="A814" t="str">
        <v>Dr. Samuel Pires</v>
      </c>
      <c r="B814">
        <v>26212</v>
      </c>
    </row>
    <row r="815" spans="1:2">
      <c r="A815" t="str">
        <v>Sarah Moraes</v>
      </c>
      <c r="B815">
        <v>48591</v>
      </c>
    </row>
    <row r="816" spans="1:2">
      <c r="A816" t="str">
        <v>Jade Barbosa</v>
      </c>
      <c r="B816">
        <v>101550</v>
      </c>
    </row>
    <row r="817" spans="1:2">
      <c r="A817" t="str">
        <v>Luiza da Costa</v>
      </c>
      <c r="B817">
        <v>8098</v>
      </c>
    </row>
    <row r="818" spans="1:2">
      <c r="A818" t="str">
        <v>Ian Machado</v>
      </c>
      <c r="B818">
        <v>112973</v>
      </c>
    </row>
    <row r="819" spans="1:2">
      <c r="A819" t="str">
        <v>Cauã Aparecida</v>
      </c>
      <c r="B819">
        <v>25684</v>
      </c>
    </row>
    <row r="820" spans="1:2">
      <c r="A820" t="str">
        <v>Nicole Cunha</v>
      </c>
      <c r="B820">
        <v>137996</v>
      </c>
    </row>
    <row r="821" spans="1:2">
      <c r="A821" t="str">
        <v>Luan Duarte</v>
      </c>
      <c r="B821">
        <v>113855</v>
      </c>
    </row>
    <row r="822" spans="1:2">
      <c r="A822" t="str">
        <v>Kaique Alves</v>
      </c>
      <c r="B822">
        <v>27776</v>
      </c>
    </row>
    <row r="823" spans="1:2">
      <c r="A823" t="str">
        <v>Srta. Ana Clara Ferreira</v>
      </c>
      <c r="B823">
        <v>20605</v>
      </c>
    </row>
    <row r="824" spans="1:2">
      <c r="A824" t="str">
        <v>Gabrielly Guerra</v>
      </c>
      <c r="B824">
        <v>51696</v>
      </c>
    </row>
    <row r="825" spans="1:2">
      <c r="A825" t="str">
        <v>João Miguel Moreira</v>
      </c>
      <c r="B825">
        <v>155750</v>
      </c>
    </row>
    <row r="826" spans="1:2">
      <c r="A826" t="str">
        <v>Maria Cecília Macedo</v>
      </c>
      <c r="B826">
        <v>61310</v>
      </c>
    </row>
    <row r="827" spans="1:2">
      <c r="A827" t="str">
        <v>Murilo Martins</v>
      </c>
      <c r="B827">
        <v>59868</v>
      </c>
    </row>
    <row r="828" spans="1:2">
      <c r="A828" t="str">
        <v>Yuri Pastor</v>
      </c>
      <c r="B828">
        <v>183848</v>
      </c>
    </row>
    <row r="829" spans="1:2">
      <c r="A829" t="str">
        <v>Sra. Bárbara da Rosa</v>
      </c>
      <c r="B829">
        <v>85669</v>
      </c>
    </row>
    <row r="830" spans="1:2">
      <c r="A830" t="str">
        <v>Dr. Mateus Sampaio</v>
      </c>
      <c r="B830">
        <v>103978</v>
      </c>
    </row>
    <row r="831" spans="1:2">
      <c r="A831" t="str">
        <v>Fernanda Viana</v>
      </c>
      <c r="B831">
        <v>72620</v>
      </c>
    </row>
    <row r="832" spans="1:2">
      <c r="A832" t="str">
        <v>Mariane da Rocha</v>
      </c>
      <c r="B832">
        <v>68624</v>
      </c>
    </row>
    <row r="833" spans="1:2">
      <c r="A833" t="str">
        <v>Ísis Martins</v>
      </c>
      <c r="B833">
        <v>124615</v>
      </c>
    </row>
    <row r="834" spans="1:2">
      <c r="A834" t="str">
        <v>Dra. Stephany Silva</v>
      </c>
      <c r="B834">
        <v>146332</v>
      </c>
    </row>
    <row r="835" spans="1:2">
      <c r="A835" t="str">
        <v>Dr. Arthur Gabriel da Mota</v>
      </c>
      <c r="B835">
        <v>129778</v>
      </c>
    </row>
    <row r="836" spans="1:2">
      <c r="A836" t="str">
        <v>Dr. Ravi Silva</v>
      </c>
      <c r="B836">
        <v>92576</v>
      </c>
    </row>
    <row r="837" spans="1:2">
      <c r="A837" t="str">
        <v>Matheus Dias</v>
      </c>
      <c r="B837">
        <v>63965</v>
      </c>
    </row>
    <row r="838" spans="1:2">
      <c r="A838" t="str">
        <v>Benício Pires</v>
      </c>
      <c r="B838">
        <v>115083</v>
      </c>
    </row>
    <row r="839" spans="1:2">
      <c r="A839" t="str">
        <v>João da Mota</v>
      </c>
      <c r="B839">
        <v>135099</v>
      </c>
    </row>
    <row r="840" spans="1:2">
      <c r="A840" t="str">
        <v>Luiz Felipe Borges</v>
      </c>
      <c r="B840">
        <v>109473</v>
      </c>
    </row>
    <row r="841" spans="1:2">
      <c r="A841" t="str">
        <v>Sr. Gustavo Vasconcelos</v>
      </c>
      <c r="B841">
        <v>27838</v>
      </c>
    </row>
    <row r="842" spans="1:2">
      <c r="A842" t="str">
        <v>Fernando Ribeiro</v>
      </c>
      <c r="B842">
        <v>94720</v>
      </c>
    </row>
    <row r="843" spans="1:2">
      <c r="A843" t="str">
        <v>Lucas Gabriel Nogueira</v>
      </c>
      <c r="B843">
        <v>121085</v>
      </c>
    </row>
    <row r="844" spans="1:2">
      <c r="A844" t="str">
        <v>Anna Liz Pastor</v>
      </c>
      <c r="B844">
        <v>130935</v>
      </c>
    </row>
    <row r="845" spans="1:2">
      <c r="A845" t="str">
        <v>Alícia Machado</v>
      </c>
      <c r="B845">
        <v>10855</v>
      </c>
    </row>
    <row r="846" spans="1:2">
      <c r="A846" t="str">
        <v>Larissa Fogaça</v>
      </c>
      <c r="B846">
        <v>163903</v>
      </c>
    </row>
    <row r="847" spans="1:2">
      <c r="A847" t="str">
        <v>José Miguel Campos</v>
      </c>
      <c r="B847">
        <v>74251</v>
      </c>
    </row>
    <row r="848" spans="1:2">
      <c r="A848" t="str">
        <v>Ana Sophia Siqueira</v>
      </c>
      <c r="B848">
        <v>20376</v>
      </c>
    </row>
    <row r="849" spans="1:2">
      <c r="A849" t="str">
        <v>Pedro Miguel Cavalcanti</v>
      </c>
      <c r="B849">
        <v>155053</v>
      </c>
    </row>
    <row r="850" spans="1:2">
      <c r="A850" t="str">
        <v>José Barbosa</v>
      </c>
      <c r="B850">
        <v>83744</v>
      </c>
    </row>
    <row r="851" spans="1:2">
      <c r="A851" t="str">
        <v>Isaque Vasconcelos</v>
      </c>
      <c r="B851">
        <v>62589</v>
      </c>
    </row>
    <row r="852" spans="1:2">
      <c r="A852" t="str">
        <v>Sr. Gael Henrique Cardoso</v>
      </c>
      <c r="B852">
        <v>223100</v>
      </c>
    </row>
    <row r="853" spans="1:2">
      <c r="A853" t="str">
        <v>Sr. Paulo Barros</v>
      </c>
      <c r="B853">
        <v>21599</v>
      </c>
    </row>
    <row r="854" spans="1:2">
      <c r="A854" t="str">
        <v>Daniela Pereira</v>
      </c>
      <c r="B854">
        <v>95992</v>
      </c>
    </row>
    <row r="855" spans="1:2">
      <c r="A855" t="str">
        <v>Maya Leão</v>
      </c>
      <c r="B855">
        <v>89702</v>
      </c>
    </row>
    <row r="856" spans="1:2">
      <c r="A856" t="str">
        <v>Arthur Gabriel da Paz</v>
      </c>
      <c r="B856">
        <v>38253</v>
      </c>
    </row>
    <row r="857" spans="1:2">
      <c r="A857" t="str">
        <v>Levi Mendes</v>
      </c>
      <c r="B857">
        <v>26578</v>
      </c>
    </row>
    <row r="858" spans="1:2">
      <c r="A858" t="str">
        <v>Caleb Farias</v>
      </c>
      <c r="B858">
        <v>22548</v>
      </c>
    </row>
    <row r="859" spans="1:2">
      <c r="A859" t="str">
        <v>Alice da Cruz</v>
      </c>
      <c r="B859">
        <v>139789</v>
      </c>
    </row>
    <row r="860" spans="1:2">
      <c r="A860" t="str">
        <v>Ágatha Andrade</v>
      </c>
      <c r="B860">
        <v>821</v>
      </c>
    </row>
    <row r="861" spans="1:2">
      <c r="A861" t="str">
        <v>Júlia Azevedo</v>
      </c>
      <c r="B861">
        <v>158146</v>
      </c>
    </row>
    <row r="862" spans="1:2">
      <c r="A862" t="str">
        <v>João Vitor Gomes</v>
      </c>
      <c r="B862">
        <v>39455</v>
      </c>
    </row>
    <row r="863" spans="1:2">
      <c r="A863" t="str">
        <v>Sr. Fernando Cavalcanti</v>
      </c>
      <c r="B863">
        <v>5668</v>
      </c>
    </row>
    <row r="864" spans="1:2">
      <c r="A864" t="str">
        <v>Maria Fernanda Araújo</v>
      </c>
      <c r="B864">
        <v>207962</v>
      </c>
    </row>
    <row r="865" spans="1:2">
      <c r="A865" t="str">
        <v>Luísa Araújo</v>
      </c>
      <c r="B865">
        <v>186606</v>
      </c>
    </row>
    <row r="866" spans="1:2">
      <c r="A866" t="str">
        <v>Arthur Gabriel Moreira</v>
      </c>
      <c r="B866">
        <v>137357</v>
      </c>
    </row>
    <row r="867" spans="1:2">
      <c r="A867" t="str">
        <v>Ana Cecília da Cruz</v>
      </c>
      <c r="B867">
        <v>13503</v>
      </c>
    </row>
    <row r="868" spans="1:2">
      <c r="A868" t="str">
        <v>Mathias Castro</v>
      </c>
      <c r="B868">
        <v>149725</v>
      </c>
    </row>
    <row r="869" spans="1:2">
      <c r="A869" t="str">
        <v>Arthur Miguel Viana</v>
      </c>
      <c r="B869">
        <v>45480</v>
      </c>
    </row>
    <row r="870" spans="1:2">
      <c r="A870" t="str">
        <v>José Pedro Silva</v>
      </c>
      <c r="B870">
        <v>96952</v>
      </c>
    </row>
    <row r="871" spans="1:2">
      <c r="A871" t="str">
        <v>Dr. Dante Melo</v>
      </c>
      <c r="B871">
        <v>46336</v>
      </c>
    </row>
    <row r="872" spans="1:2">
      <c r="A872" t="str">
        <v>Ravy Monteiro</v>
      </c>
      <c r="B872">
        <v>35736</v>
      </c>
    </row>
    <row r="873" spans="1:2">
      <c r="A873" t="str">
        <v>Levi da Mata</v>
      </c>
      <c r="B873">
        <v>34898</v>
      </c>
    </row>
    <row r="874" spans="1:2">
      <c r="A874" t="str">
        <v>Paulo Araújo</v>
      </c>
      <c r="B874">
        <v>91690</v>
      </c>
    </row>
    <row r="875" spans="1:2">
      <c r="A875" t="str">
        <v>Sr. Lorenzo Albuquerque</v>
      </c>
      <c r="B875">
        <v>27694</v>
      </c>
    </row>
    <row r="876" spans="1:2">
      <c r="A876" t="str">
        <v>Liam Almeida</v>
      </c>
      <c r="B876">
        <v>150548</v>
      </c>
    </row>
    <row r="877" spans="1:2">
      <c r="A877" t="str">
        <v>Maria Julia Ribeiro</v>
      </c>
      <c r="B877">
        <v>93570</v>
      </c>
    </row>
    <row r="878" spans="1:2">
      <c r="A878" t="str">
        <v>Antonella Pimenta</v>
      </c>
      <c r="B878">
        <v>91752</v>
      </c>
    </row>
    <row r="879" spans="1:2">
      <c r="A879" t="str">
        <v>Arthur Miguel Cavalcante</v>
      </c>
      <c r="B879">
        <v>42695</v>
      </c>
    </row>
    <row r="880" spans="1:2">
      <c r="A880" t="str">
        <v>Henrique Nascimento</v>
      </c>
      <c r="B880">
        <v>79422</v>
      </c>
    </row>
    <row r="881" spans="1:2">
      <c r="A881" t="str">
        <v>Ana Liz Aragão</v>
      </c>
      <c r="B881">
        <v>17502</v>
      </c>
    </row>
    <row r="882" spans="1:2">
      <c r="A882" t="str">
        <v>Olívia Oliveira</v>
      </c>
      <c r="B882">
        <v>33252</v>
      </c>
    </row>
    <row r="883" spans="1:2">
      <c r="A883" t="str">
        <v>Dr. Davi Lucas Silva</v>
      </c>
      <c r="B883">
        <v>34</v>
      </c>
    </row>
    <row r="884" spans="1:2">
      <c r="A884" t="str">
        <v>Marina Ribeiro</v>
      </c>
      <c r="B884">
        <v>76944</v>
      </c>
    </row>
    <row r="885" spans="1:2">
      <c r="A885" t="str">
        <v>Léo da Conceição</v>
      </c>
      <c r="B885">
        <v>30315</v>
      </c>
    </row>
    <row r="886" spans="1:2">
      <c r="A886" t="str">
        <v>Davi Miguel Cunha</v>
      </c>
      <c r="B886">
        <v>40135</v>
      </c>
    </row>
    <row r="887" spans="1:2">
      <c r="A887" t="str">
        <v>Yuri Nascimento</v>
      </c>
      <c r="B887">
        <v>65755</v>
      </c>
    </row>
    <row r="888" spans="1:2">
      <c r="A888" t="str">
        <v>Nicolas Pereira</v>
      </c>
      <c r="B888">
        <v>116480</v>
      </c>
    </row>
    <row r="889" spans="1:2">
      <c r="A889" t="str">
        <v>Zoe Aparecida</v>
      </c>
      <c r="B889">
        <v>56335</v>
      </c>
    </row>
    <row r="890" spans="1:2">
      <c r="A890" t="str">
        <v>Rafael Barbosa</v>
      </c>
      <c r="B890">
        <v>119784</v>
      </c>
    </row>
    <row r="891" spans="1:2">
      <c r="A891" t="str">
        <v>Vitor Lima</v>
      </c>
      <c r="B891">
        <v>54062</v>
      </c>
    </row>
    <row r="892" spans="1:2">
      <c r="A892" t="str">
        <v>Henrique Brito</v>
      </c>
      <c r="B892">
        <v>9384</v>
      </c>
    </row>
    <row r="893" spans="1:2">
      <c r="A893" t="str">
        <v>Fernanda Camargo</v>
      </c>
      <c r="B893">
        <v>51455</v>
      </c>
    </row>
    <row r="894" spans="1:2">
      <c r="A894" t="str">
        <v>Luiz Gustavo Silva</v>
      </c>
      <c r="B894">
        <v>86549</v>
      </c>
    </row>
    <row r="895" spans="1:2">
      <c r="A895" t="str">
        <v>Dr. Antony Andrade</v>
      </c>
      <c r="B895">
        <v>122209</v>
      </c>
    </row>
    <row r="896" spans="1:2">
      <c r="A896" t="str">
        <v>Henrique das Neves</v>
      </c>
      <c r="B896">
        <v>78553</v>
      </c>
    </row>
    <row r="897" spans="1:2">
      <c r="A897" t="str">
        <v>Otávio Souza</v>
      </c>
      <c r="B897">
        <v>62056</v>
      </c>
    </row>
    <row r="898" spans="1:2">
      <c r="A898" t="str">
        <v>Maria Fernanda Câmara</v>
      </c>
      <c r="B898">
        <v>94962</v>
      </c>
    </row>
    <row r="899" spans="1:2">
      <c r="A899" t="str">
        <v>Enzo Gabriel Barbosa</v>
      </c>
      <c r="B899">
        <v>10118</v>
      </c>
    </row>
    <row r="900" spans="1:2">
      <c r="A900" t="str">
        <v>Juliana Fonseca</v>
      </c>
      <c r="B900">
        <v>70588</v>
      </c>
    </row>
    <row r="901" spans="1:2">
      <c r="A901" t="str">
        <v>Sra. Alice Jesus</v>
      </c>
      <c r="B901">
        <v>104761</v>
      </c>
    </row>
    <row r="902" spans="1:2">
      <c r="A902" t="str">
        <v>Rhavi Machado</v>
      </c>
      <c r="B902">
        <v>90806</v>
      </c>
    </row>
    <row r="903" spans="1:2">
      <c r="A903" t="str">
        <v>Bianca Silveira</v>
      </c>
      <c r="B903">
        <v>24210</v>
      </c>
    </row>
    <row r="904" spans="1:2">
      <c r="A904" t="str">
        <v>Mathias Teixeira</v>
      </c>
      <c r="B904">
        <v>117979</v>
      </c>
    </row>
    <row r="905" spans="1:2">
      <c r="A905" t="str">
        <v>Valentina Camargo</v>
      </c>
      <c r="B905">
        <v>10452</v>
      </c>
    </row>
    <row r="906" spans="1:2">
      <c r="A906" t="str">
        <v>Srta. Amanda Fogaça</v>
      </c>
      <c r="B906">
        <v>30806</v>
      </c>
    </row>
    <row r="907" spans="1:2">
      <c r="A907" t="str">
        <v>Ágatha Nogueira</v>
      </c>
      <c r="B907">
        <v>2483</v>
      </c>
    </row>
    <row r="908" spans="1:2">
      <c r="A908" t="str">
        <v>Sr. Ravi Nogueira</v>
      </c>
      <c r="B908">
        <v>164026</v>
      </c>
    </row>
    <row r="909" spans="1:2">
      <c r="A909" t="str">
        <v>Dr. Caio Fernandes</v>
      </c>
      <c r="B909">
        <v>53384</v>
      </c>
    </row>
    <row r="910" spans="1:2">
      <c r="A910" t="str">
        <v>Nina da Costa</v>
      </c>
      <c r="B910">
        <v>4039</v>
      </c>
    </row>
    <row r="911" spans="1:2">
      <c r="A911" t="str">
        <v>Isis Caldeira</v>
      </c>
      <c r="B911">
        <v>83508</v>
      </c>
    </row>
    <row r="912" spans="1:2">
      <c r="A912" t="str">
        <v>Nicole Vasconcelos</v>
      </c>
      <c r="B912">
        <v>41722</v>
      </c>
    </row>
    <row r="913" spans="1:2">
      <c r="A913" t="str">
        <v>Dra. Maria Fernanda Castro</v>
      </c>
      <c r="B913">
        <v>53592</v>
      </c>
    </row>
    <row r="914" spans="1:2">
      <c r="A914" t="str">
        <v>Ester Viana</v>
      </c>
      <c r="B914">
        <v>11351</v>
      </c>
    </row>
    <row r="915" spans="1:2">
      <c r="A915" t="str">
        <v>Benjamim Ribeiro</v>
      </c>
      <c r="B915">
        <v>98061</v>
      </c>
    </row>
    <row r="916" spans="1:2">
      <c r="A916" t="str">
        <v>Srta. Sarah da Conceição</v>
      </c>
      <c r="B916">
        <v>20646</v>
      </c>
    </row>
    <row r="917" spans="1:2">
      <c r="A917" t="str">
        <v>Sra. Ana Júlia Aragão</v>
      </c>
      <c r="B917">
        <v>42762</v>
      </c>
    </row>
    <row r="918" spans="1:2">
      <c r="A918" t="str">
        <v>Olívia Lopes</v>
      </c>
      <c r="B918">
        <v>88579</v>
      </c>
    </row>
    <row r="919" spans="1:2">
      <c r="A919" t="str">
        <v>Cauã Machado</v>
      </c>
      <c r="B919">
        <v>131439</v>
      </c>
    </row>
    <row r="920" spans="1:2">
      <c r="A920" t="str">
        <v>Eloá Marques</v>
      </c>
      <c r="B920">
        <v>63664</v>
      </c>
    </row>
    <row r="921" spans="1:2">
      <c r="A921" t="str">
        <v>Sr. Heitor Lima</v>
      </c>
      <c r="B921">
        <v>59526</v>
      </c>
    </row>
    <row r="922" spans="1:2">
      <c r="A922" t="str">
        <v>Dr. Diogo Rocha</v>
      </c>
      <c r="B922">
        <v>105801</v>
      </c>
    </row>
    <row r="923" spans="1:2">
      <c r="A923" t="str">
        <v>Ravi Leão</v>
      </c>
      <c r="B923">
        <v>5751</v>
      </c>
    </row>
    <row r="924" spans="1:2">
      <c r="A924" t="str">
        <v>Gustavo Henrique Cunha</v>
      </c>
      <c r="B924">
        <v>78365</v>
      </c>
    </row>
    <row r="925" spans="1:2">
      <c r="A925" t="str">
        <v>Letícia Nascimento</v>
      </c>
      <c r="B925">
        <v>30144</v>
      </c>
    </row>
    <row r="926" spans="1:2">
      <c r="A926" t="str">
        <v>Isabela Abreu</v>
      </c>
      <c r="B926">
        <v>93420</v>
      </c>
    </row>
    <row r="927" spans="1:2">
      <c r="A927" t="str">
        <v>Brayan Vargas</v>
      </c>
      <c r="B927">
        <v>23922</v>
      </c>
    </row>
    <row r="928" spans="1:2">
      <c r="A928" t="str">
        <v>Vicente Pacheco</v>
      </c>
      <c r="B928">
        <v>73557</v>
      </c>
    </row>
    <row r="929" spans="1:2">
      <c r="A929" t="str">
        <v>Cecília Carvalho</v>
      </c>
      <c r="B929">
        <v>36580</v>
      </c>
    </row>
    <row r="930" spans="1:2">
      <c r="A930" t="str">
        <v>Sra. Agatha Moraes</v>
      </c>
      <c r="B930">
        <v>251391</v>
      </c>
    </row>
    <row r="931" spans="1:2">
      <c r="A931" t="str">
        <v>Luiz Fernando da Mata</v>
      </c>
      <c r="B931">
        <v>68862</v>
      </c>
    </row>
    <row r="932" spans="1:2">
      <c r="A932" t="str">
        <v>Sr. Guilherme da Costa</v>
      </c>
      <c r="B932">
        <v>26825</v>
      </c>
    </row>
    <row r="933" spans="1:2">
      <c r="A933" t="str">
        <v>Luiz Felipe Jesus</v>
      </c>
      <c r="B933">
        <v>91296</v>
      </c>
    </row>
    <row r="934" spans="1:2">
      <c r="A934" t="str">
        <v>Ravi Cunha</v>
      </c>
      <c r="B934">
        <v>37952</v>
      </c>
    </row>
    <row r="935" spans="1:2">
      <c r="A935" t="str">
        <v>Enzo Rocha</v>
      </c>
      <c r="B935">
        <v>237150</v>
      </c>
    </row>
    <row r="936" spans="1:2">
      <c r="A936" t="str">
        <v>Calebe Vargas</v>
      </c>
      <c r="B936">
        <v>98787</v>
      </c>
    </row>
    <row r="937" spans="1:2">
      <c r="A937" t="str">
        <v>Maria Liz Peixoto</v>
      </c>
      <c r="B937">
        <v>28350</v>
      </c>
    </row>
    <row r="938" spans="1:2">
      <c r="A938" t="str">
        <v>Fernando Lima</v>
      </c>
      <c r="B938">
        <v>45529</v>
      </c>
    </row>
    <row r="939" spans="1:2">
      <c r="A939" t="str">
        <v>Maria Vitória Garcia</v>
      </c>
      <c r="B939">
        <v>92825</v>
      </c>
    </row>
    <row r="940" spans="1:2">
      <c r="A940" t="str">
        <v>Bento Gonçalves</v>
      </c>
      <c r="B940">
        <v>18109</v>
      </c>
    </row>
    <row r="941" spans="1:2">
      <c r="A941" t="str">
        <v>Bárbara Sampaio</v>
      </c>
      <c r="B941">
        <v>126864</v>
      </c>
    </row>
    <row r="942" spans="1:2">
      <c r="A942" t="str">
        <v>Mariah Casa Grande</v>
      </c>
      <c r="B942">
        <v>58772</v>
      </c>
    </row>
    <row r="943" spans="1:2">
      <c r="A943" t="str">
        <v>Srta. Sophie Fogaça</v>
      </c>
      <c r="B943">
        <v>51090</v>
      </c>
    </row>
    <row r="944" spans="1:2">
      <c r="A944" t="str">
        <v>Rodrigo Carvalho</v>
      </c>
      <c r="B944">
        <v>53620</v>
      </c>
    </row>
    <row r="945" spans="1:2">
      <c r="A945" t="str">
        <v>Gustavo Henrique Azevedo</v>
      </c>
      <c r="B945">
        <v>65249</v>
      </c>
    </row>
    <row r="946" spans="1:2">
      <c r="A946" t="str">
        <v>Sabrina Jesus</v>
      </c>
      <c r="B946">
        <v>31725</v>
      </c>
    </row>
    <row r="947" spans="1:2">
      <c r="A947" t="str">
        <v>Sr. Pedro Lucas Cavalcanti</v>
      </c>
      <c r="B947">
        <v>59166</v>
      </c>
    </row>
    <row r="948" spans="1:2">
      <c r="A948" t="str">
        <v>Srta. Ágatha Vieira</v>
      </c>
      <c r="B948">
        <v>5536</v>
      </c>
    </row>
    <row r="949" spans="1:2">
      <c r="A949" t="str">
        <v>Srta. Maria Helena Cavalcante</v>
      </c>
      <c r="B949">
        <v>63290</v>
      </c>
    </row>
    <row r="950" spans="1:2">
      <c r="A950" t="str">
        <v>Brayan da Costa</v>
      </c>
      <c r="B950">
        <v>4361</v>
      </c>
    </row>
    <row r="951" spans="1:2">
      <c r="A951" t="str">
        <v>Evelyn Rodrigues</v>
      </c>
      <c r="B951">
        <v>39535</v>
      </c>
    </row>
    <row r="952" spans="1:2">
      <c r="A952" t="str">
        <v>Antony Castro</v>
      </c>
      <c r="B952">
        <v>18374</v>
      </c>
    </row>
    <row r="953" spans="1:2">
      <c r="A953" t="str">
        <v>Evelyn Melo</v>
      </c>
      <c r="B953">
        <v>39448</v>
      </c>
    </row>
    <row r="954" spans="1:2">
      <c r="A954" t="str">
        <v>Sr. Luiz Fernando Pinto</v>
      </c>
      <c r="B954">
        <v>8253</v>
      </c>
    </row>
    <row r="955" spans="1:2">
      <c r="A955" t="str">
        <v>Isadora Pinto</v>
      </c>
      <c r="B955">
        <v>101719</v>
      </c>
    </row>
    <row r="956" spans="1:2">
      <c r="A956" t="str">
        <v>Caleb Mendonça</v>
      </c>
      <c r="B956">
        <v>15640</v>
      </c>
    </row>
    <row r="957" spans="1:2">
      <c r="A957" t="str">
        <v>Larissa Duarte</v>
      </c>
      <c r="B957">
        <v>104400</v>
      </c>
    </row>
    <row r="958" spans="1:2">
      <c r="A958" t="str">
        <v>Ísis Sousa</v>
      </c>
      <c r="B958">
        <v>47076</v>
      </c>
    </row>
    <row r="959" spans="1:2">
      <c r="A959" t="str">
        <v>Isabela Vieira</v>
      </c>
      <c r="B959">
        <v>43860</v>
      </c>
    </row>
    <row r="960" spans="1:2">
      <c r="A960" t="str">
        <v>José Pedro Cavalcante</v>
      </c>
      <c r="B960">
        <v>80633</v>
      </c>
    </row>
    <row r="961" spans="1:2">
      <c r="A961" t="str">
        <v>Stephany Duarte</v>
      </c>
      <c r="B961">
        <v>71840</v>
      </c>
    </row>
    <row r="962" spans="1:2">
      <c r="A962" t="str">
        <v>Aylla Vieira</v>
      </c>
      <c r="B962">
        <v>104145</v>
      </c>
    </row>
    <row r="963" spans="1:2">
      <c r="A963" t="str">
        <v>Gabrielly Câmara</v>
      </c>
      <c r="B963">
        <v>42359</v>
      </c>
    </row>
    <row r="964" spans="1:2">
      <c r="A964" t="str">
        <v>Sra. Bianca Oliveira</v>
      </c>
      <c r="B964">
        <v>25223</v>
      </c>
    </row>
    <row r="965" spans="1:2">
      <c r="A965" t="str">
        <v>Kamilly Cavalcanti</v>
      </c>
      <c r="B965">
        <v>34128</v>
      </c>
    </row>
    <row r="966" spans="1:2">
      <c r="A966" t="str">
        <v>Isabelly Aparecida</v>
      </c>
      <c r="B966">
        <v>4848</v>
      </c>
    </row>
    <row r="967" spans="1:2">
      <c r="A967" t="str">
        <v>Luna Silveira</v>
      </c>
      <c r="B967">
        <v>79733</v>
      </c>
    </row>
    <row r="968" spans="1:2">
      <c r="A968" t="str">
        <v>Mathias Mendonça</v>
      </c>
      <c r="B968">
        <v>99516</v>
      </c>
    </row>
    <row r="969" spans="1:2">
      <c r="A969" t="str">
        <v>Heloísa Costa</v>
      </c>
      <c r="B969">
        <v>6002</v>
      </c>
    </row>
    <row r="970" spans="1:2">
      <c r="A970" t="str">
        <v>Davi Lucca Jesus</v>
      </c>
      <c r="B970">
        <v>121705</v>
      </c>
    </row>
    <row r="971" spans="1:2">
      <c r="A971" t="str">
        <v>Helena Silveira</v>
      </c>
      <c r="B971">
        <v>75162</v>
      </c>
    </row>
    <row r="972" spans="1:2">
      <c r="A972" t="str">
        <v>Benjamim Abreu</v>
      </c>
      <c r="B972">
        <v>75776</v>
      </c>
    </row>
    <row r="973" spans="1:2">
      <c r="A973" t="str">
        <v>Stephany Casa Grande</v>
      </c>
      <c r="B973">
        <v>36580</v>
      </c>
    </row>
    <row r="974" spans="1:2">
      <c r="A974" t="str">
        <v>Gabrielly Montenegro</v>
      </c>
      <c r="B974">
        <v>482</v>
      </c>
    </row>
    <row r="975" spans="1:2">
      <c r="A975" t="str">
        <v>Nina Cavalcanti</v>
      </c>
      <c r="B975">
        <v>16196</v>
      </c>
    </row>
    <row r="976" spans="1:2">
      <c r="A976" t="str">
        <v>Ana Luiza Mendes</v>
      </c>
      <c r="B976">
        <v>33840</v>
      </c>
    </row>
    <row r="977" spans="1:2">
      <c r="A977" t="str">
        <v>Olívia Macedo</v>
      </c>
      <c r="B977">
        <v>8541</v>
      </c>
    </row>
    <row r="978" spans="1:2">
      <c r="A978" t="str">
        <v>Ana Júlia Souza</v>
      </c>
      <c r="B978">
        <v>128549</v>
      </c>
    </row>
    <row r="979" spans="1:2">
      <c r="A979" t="str">
        <v>Daniela Campos</v>
      </c>
      <c r="B979">
        <v>63002</v>
      </c>
    </row>
    <row r="980" spans="1:2">
      <c r="A980" t="str">
        <v>Nina Ferreira</v>
      </c>
      <c r="B980">
        <v>8934</v>
      </c>
    </row>
    <row r="981" spans="1:2">
      <c r="A981" t="str">
        <v>Enrico Vieira</v>
      </c>
      <c r="B981">
        <v>33313</v>
      </c>
    </row>
    <row r="982" spans="1:2">
      <c r="A982" t="str">
        <v>Dr. Raul Moreira</v>
      </c>
      <c r="B982">
        <v>32434</v>
      </c>
    </row>
    <row r="983" spans="1:2">
      <c r="A983" t="str">
        <v>João Felipe Castro</v>
      </c>
      <c r="B983">
        <v>65920</v>
      </c>
    </row>
    <row r="984" spans="1:2">
      <c r="A984" t="str">
        <v>Ana Luiza Rodrigues</v>
      </c>
      <c r="B984">
        <v>95351</v>
      </c>
    </row>
    <row r="985" spans="1:2">
      <c r="A985" t="str">
        <v>Otávio Alves</v>
      </c>
      <c r="B985">
        <v>64478</v>
      </c>
    </row>
    <row r="986" spans="1:2">
      <c r="A986" t="str">
        <v>Ana Júlia Mendonça</v>
      </c>
      <c r="B986">
        <v>73368</v>
      </c>
    </row>
    <row r="987" spans="1:2">
      <c r="A987" t="str">
        <v>Paulo Pacheco</v>
      </c>
      <c r="B987">
        <v>74689</v>
      </c>
    </row>
    <row r="988" spans="1:2">
      <c r="A988" t="str">
        <v>Rebeca Martins</v>
      </c>
      <c r="B988">
        <v>24316</v>
      </c>
    </row>
    <row r="989" spans="1:2">
      <c r="A989" t="str">
        <v>Sr. João Pedro Costela</v>
      </c>
      <c r="B989">
        <v>50389</v>
      </c>
    </row>
    <row r="990" spans="1:2">
      <c r="A990" t="str">
        <v>Enzo Melo</v>
      </c>
      <c r="B990">
        <v>41288</v>
      </c>
    </row>
    <row r="991" spans="1:2">
      <c r="A991" t="str">
        <v>Isaque Freitas</v>
      </c>
      <c r="B991">
        <v>13530</v>
      </c>
    </row>
    <row r="992" spans="1:2">
      <c r="A992" t="str">
        <v>Anthony Gabriel Machado</v>
      </c>
      <c r="B992">
        <v>76132</v>
      </c>
    </row>
    <row r="993" spans="1:2">
      <c r="A993" t="str">
        <v>Luan Silveira</v>
      </c>
      <c r="B993">
        <v>106695</v>
      </c>
    </row>
    <row r="994" spans="1:2">
      <c r="A994" t="str">
        <v>Guilherme da Mata</v>
      </c>
      <c r="B994">
        <v>10850</v>
      </c>
    </row>
    <row r="995" spans="1:2">
      <c r="A995" t="str">
        <v>Dr. Leandro da Cruz</v>
      </c>
      <c r="B995">
        <v>6002</v>
      </c>
    </row>
    <row r="996" spans="1:2">
      <c r="A996" t="str">
        <v>Davi Carvalho</v>
      </c>
      <c r="B996">
        <v>66804</v>
      </c>
    </row>
    <row r="997" spans="1:2">
      <c r="A997" t="str">
        <v>Eloá Câmara</v>
      </c>
      <c r="B997">
        <v>103281</v>
      </c>
    </row>
    <row r="998" spans="1:2">
      <c r="A998" t="str">
        <v>José Miguel Gomes</v>
      </c>
      <c r="B998">
        <v>58584</v>
      </c>
    </row>
    <row r="999" spans="1:2">
      <c r="A999" t="str">
        <v>Fernanda Campos</v>
      </c>
      <c r="B999">
        <v>14556</v>
      </c>
    </row>
    <row r="1000" spans="1:2">
      <c r="A1000" t="str">
        <v>Luigi Barros</v>
      </c>
      <c r="B1000">
        <v>173994</v>
      </c>
    </row>
    <row r="1001" spans="1:2">
      <c r="A1001" t="str">
        <v>Lívia Rios</v>
      </c>
      <c r="B1001">
        <v>22164</v>
      </c>
    </row>
    <row r="1002" spans="1:2">
      <c r="A1002" t="str">
        <v>Matteo Viana</v>
      </c>
      <c r="B1002">
        <v>142051</v>
      </c>
    </row>
    <row r="1003" spans="1:2">
      <c r="A1003" t="str">
        <v>Maria Luiza Rezende</v>
      </c>
      <c r="B1003">
        <v>58850</v>
      </c>
    </row>
    <row r="1004" spans="1:2">
      <c r="A1004" t="str">
        <v>Pedro Lucas Castro</v>
      </c>
      <c r="B1004">
        <v>1635</v>
      </c>
    </row>
    <row r="1005" spans="1:2">
      <c r="A1005" t="str">
        <v>Vinicius Albuquerque</v>
      </c>
      <c r="B1005">
        <v>39463</v>
      </c>
    </row>
    <row r="1006" spans="1:2">
      <c r="A1006" t="str">
        <v>João Gabriel da Conceição</v>
      </c>
      <c r="B1006">
        <v>21460</v>
      </c>
    </row>
    <row r="1007" spans="1:2">
      <c r="A1007" t="str">
        <v>Asafe Peixoto</v>
      </c>
      <c r="B1007">
        <v>45556</v>
      </c>
    </row>
    <row r="1008" spans="1:2">
      <c r="A1008" t="str">
        <v>Francisco Almeida</v>
      </c>
      <c r="B1008">
        <v>23355</v>
      </c>
    </row>
    <row r="1009" spans="1:2">
      <c r="A1009" t="str">
        <v>Camila da Cruz</v>
      </c>
      <c r="B1009">
        <v>49006</v>
      </c>
    </row>
    <row r="1010" spans="1:2">
      <c r="A1010" t="str">
        <v>Sr. Ravy Sales</v>
      </c>
      <c r="B1010">
        <v>13104</v>
      </c>
    </row>
    <row r="1011" spans="1:2">
      <c r="A1011" t="str">
        <v>Bella Pastor</v>
      </c>
      <c r="B1011">
        <v>32728</v>
      </c>
    </row>
    <row r="1012" spans="1:2">
      <c r="A1012" t="str">
        <v>Maria Sophia Melo</v>
      </c>
      <c r="B1012">
        <v>23455</v>
      </c>
    </row>
    <row r="1013" spans="1:2">
      <c r="A1013" t="str">
        <v>Carolina Pires</v>
      </c>
      <c r="B1013">
        <v>67005</v>
      </c>
    </row>
    <row r="1014" spans="1:2">
      <c r="A1014" t="str">
        <v>Marcela Pereira</v>
      </c>
      <c r="B1014">
        <v>6552</v>
      </c>
    </row>
    <row r="1015" spans="1:2">
      <c r="A1015" t="str">
        <v>Benjamim Siqueira</v>
      </c>
      <c r="B1015">
        <v>7308</v>
      </c>
    </row>
    <row r="1016" spans="1:2">
      <c r="A1016" t="str">
        <v>Isaac Vargas</v>
      </c>
      <c r="B1016">
        <v>40788</v>
      </c>
    </row>
    <row r="1017" spans="1:2">
      <c r="A1017" t="str">
        <v>Apollo Garcia</v>
      </c>
      <c r="B1017">
        <v>620</v>
      </c>
    </row>
    <row r="1018" spans="1:2">
      <c r="A1018" t="str">
        <v>Nicole Cardoso</v>
      </c>
      <c r="B1018">
        <v>22590</v>
      </c>
    </row>
    <row r="1019" spans="1:2">
      <c r="A1019" t="str">
        <v>Sra. Maria Cecília Jesus</v>
      </c>
      <c r="B1019">
        <v>57743</v>
      </c>
    </row>
    <row r="1020" spans="1:2">
      <c r="A1020" t="str">
        <v>Luiz Felipe Pires</v>
      </c>
      <c r="B1020">
        <v>30404</v>
      </c>
    </row>
    <row r="1021" spans="1:2">
      <c r="A1021" t="str">
        <v>Apollo Leão</v>
      </c>
      <c r="B1021">
        <v>82394</v>
      </c>
    </row>
    <row r="1022" spans="1:2">
      <c r="A1022" t="str">
        <v>Bento Peixoto</v>
      </c>
      <c r="B1022">
        <v>70424</v>
      </c>
    </row>
    <row r="1023" spans="1:2">
      <c r="A1023" t="str">
        <v>Ana Júlia Campos</v>
      </c>
      <c r="B1023">
        <v>6095</v>
      </c>
    </row>
    <row r="1024" spans="1:2">
      <c r="A1024" t="str">
        <v>Srta. Fernanda Gonçalves</v>
      </c>
      <c r="B1024">
        <v>49536</v>
      </c>
    </row>
    <row r="1025" spans="1:2">
      <c r="A1025" t="str">
        <v>Noah Aparecida</v>
      </c>
      <c r="B1025">
        <v>1919</v>
      </c>
    </row>
    <row r="1026" spans="1:2">
      <c r="A1026" t="str">
        <v>Eduardo Pimenta</v>
      </c>
      <c r="B1026">
        <v>9029</v>
      </c>
    </row>
    <row r="1027" spans="1:2">
      <c r="A1027" t="str">
        <v>Antônio Câmara</v>
      </c>
      <c r="B1027">
        <v>3558</v>
      </c>
    </row>
    <row r="1028" spans="1:2">
      <c r="A1028" t="str">
        <v>Dr. José da Rocha</v>
      </c>
      <c r="B1028">
        <v>10127</v>
      </c>
    </row>
    <row r="1029" spans="1:2">
      <c r="A1029" t="str">
        <v>Manuela Cassiano</v>
      </c>
      <c r="B1029">
        <v>30484</v>
      </c>
    </row>
    <row r="1030" spans="1:2">
      <c r="A1030" t="str">
        <v>Isabelly Machado</v>
      </c>
      <c r="B1030">
        <v>17184</v>
      </c>
    </row>
    <row r="1031" spans="1:2">
      <c r="A1031" t="str">
        <v>Marina Sampaio</v>
      </c>
      <c r="B1031">
        <v>77273</v>
      </c>
    </row>
    <row r="1032" spans="1:2">
      <c r="A1032" t="str">
        <v>Luiz Henrique Pinto</v>
      </c>
      <c r="B1032">
        <v>22038</v>
      </c>
    </row>
    <row r="1033" spans="1:2">
      <c r="A1033" t="str">
        <v>Maria Fernanda Abreu</v>
      </c>
      <c r="B1033">
        <v>24429</v>
      </c>
    </row>
    <row r="1034" spans="1:2">
      <c r="A1034" t="str">
        <v>Srta. Ana Beatriz da Mata</v>
      </c>
      <c r="B1034">
        <v>18434</v>
      </c>
    </row>
    <row r="1035" spans="1:2">
      <c r="A1035" t="str">
        <v>João Pedro Aparecida</v>
      </c>
      <c r="B1035">
        <v>98212</v>
      </c>
    </row>
    <row r="1036" spans="1:2">
      <c r="A1036" t="str">
        <v>Sra. Alexia Gomes</v>
      </c>
      <c r="B1036">
        <v>43038</v>
      </c>
    </row>
    <row r="1037" spans="1:2">
      <c r="A1037" t="str">
        <v>Lucca Sousa</v>
      </c>
      <c r="B1037">
        <v>59805</v>
      </c>
    </row>
    <row r="1038" spans="1:2">
      <c r="A1038" t="str">
        <v>Isabella Alves</v>
      </c>
      <c r="B1038">
        <v>8485</v>
      </c>
    </row>
    <row r="1039" spans="1:2">
      <c r="A1039" t="str">
        <v>Dr. Pedro Lucas Nogueira</v>
      </c>
      <c r="B1039">
        <v>14519</v>
      </c>
    </row>
    <row r="1040" spans="1:2">
      <c r="A1040" t="str">
        <v>Breno Ramos</v>
      </c>
      <c r="B1040">
        <v>17312</v>
      </c>
    </row>
    <row r="1041" spans="1:2">
      <c r="A1041" t="str">
        <v>Carolina Castro</v>
      </c>
      <c r="B1041">
        <v>7149</v>
      </c>
    </row>
    <row r="1042" spans="1:2">
      <c r="A1042" t="str">
        <v>Arthur Lima</v>
      </c>
      <c r="B1042">
        <v>36730</v>
      </c>
    </row>
    <row r="1043" spans="1:2">
      <c r="A1043" t="str">
        <v>Sabrina da Rosa</v>
      </c>
      <c r="B1043">
        <v>67251</v>
      </c>
    </row>
    <row r="1044" spans="1:2">
      <c r="A1044" t="str">
        <v>Erick Araújo</v>
      </c>
      <c r="B1044">
        <v>115757</v>
      </c>
    </row>
    <row r="1045" spans="1:2">
      <c r="A1045" t="str">
        <v>Ana Julia Nunes</v>
      </c>
      <c r="B1045">
        <v>109070</v>
      </c>
    </row>
    <row r="1046" spans="1:2">
      <c r="A1046" t="str">
        <v>Ísis Mendes</v>
      </c>
      <c r="B1046">
        <v>63740</v>
      </c>
    </row>
    <row r="1047" spans="1:2">
      <c r="A1047" t="str">
        <v>Clarice Guerra</v>
      </c>
      <c r="B1047">
        <v>49879</v>
      </c>
    </row>
    <row r="1048" spans="1:2">
      <c r="A1048" t="str">
        <v>Caroline Camargo</v>
      </c>
      <c r="B1048">
        <v>124655</v>
      </c>
    </row>
    <row r="1049" spans="1:2">
      <c r="A1049" t="str">
        <v>Jade Almeida</v>
      </c>
      <c r="B1049">
        <v>44544</v>
      </c>
    </row>
    <row r="1050" spans="1:2">
      <c r="A1050" t="str">
        <v>Catarina Brito</v>
      </c>
      <c r="B1050">
        <v>3256</v>
      </c>
    </row>
    <row r="1051" spans="1:2">
      <c r="A1051" t="str">
        <v>Luiza Sampaio</v>
      </c>
      <c r="B1051">
        <v>83473</v>
      </c>
    </row>
    <row r="1052" spans="1:2">
      <c r="A1052" t="str">
        <v>Cecília Cirino</v>
      </c>
      <c r="B1052">
        <v>137654</v>
      </c>
    </row>
    <row r="1053" spans="1:2">
      <c r="A1053" t="str">
        <v>Bryan Santos</v>
      </c>
      <c r="B1053">
        <v>72844</v>
      </c>
    </row>
    <row r="1054" spans="1:2">
      <c r="A1054" t="str">
        <v>Rael Martins</v>
      </c>
      <c r="B1054">
        <v>65920</v>
      </c>
    </row>
    <row r="1055" spans="1:2">
      <c r="A1055" t="str">
        <v>Maria Liz Novaes</v>
      </c>
      <c r="B1055">
        <v>31764</v>
      </c>
    </row>
    <row r="1056" spans="1:2">
      <c r="A1056" t="str">
        <v>Olivia Pinto</v>
      </c>
      <c r="B1056">
        <v>73230</v>
      </c>
    </row>
    <row r="1057" spans="1:2">
      <c r="A1057" t="str">
        <v>José da Luz</v>
      </c>
      <c r="B1057">
        <v>30225</v>
      </c>
    </row>
    <row r="1058" spans="1:2">
      <c r="A1058" t="str">
        <v>Sophia Campos</v>
      </c>
      <c r="B1058">
        <v>23980</v>
      </c>
    </row>
    <row r="1059" spans="1:2">
      <c r="A1059" t="str">
        <v>Dra. Lara Rios</v>
      </c>
      <c r="B1059">
        <v>74912</v>
      </c>
    </row>
    <row r="1060" spans="1:2">
      <c r="A1060" t="str">
        <v>Vitor Gabriel Rezende</v>
      </c>
      <c r="B1060">
        <v>9652</v>
      </c>
    </row>
    <row r="1061" spans="1:2">
      <c r="A1061" t="str">
        <v>Lavínia Peixoto</v>
      </c>
      <c r="B1061">
        <v>25452</v>
      </c>
    </row>
    <row r="1062" spans="1:2">
      <c r="A1062" t="str">
        <v>Valentim Carvalho</v>
      </c>
      <c r="B1062">
        <v>18195</v>
      </c>
    </row>
    <row r="1063" spans="1:2">
      <c r="A1063" t="str">
        <v>Mariah Pimenta</v>
      </c>
      <c r="B1063">
        <v>54048</v>
      </c>
    </row>
    <row r="1064" spans="1:2">
      <c r="A1064" t="str">
        <v>Catarina Peixoto</v>
      </c>
      <c r="B1064">
        <v>125334</v>
      </c>
    </row>
    <row r="1065" spans="1:2">
      <c r="A1065" t="str">
        <v>Isaac Leão</v>
      </c>
      <c r="B1065">
        <v>54795</v>
      </c>
    </row>
    <row r="1066" spans="1:2">
      <c r="A1066" t="str">
        <v>Maria Helena Cunha</v>
      </c>
      <c r="B1066">
        <v>66051</v>
      </c>
    </row>
    <row r="1067" spans="1:2">
      <c r="A1067" t="str">
        <v>Bernardo Vasconcelos</v>
      </c>
      <c r="B1067">
        <v>187120</v>
      </c>
    </row>
    <row r="1068" spans="1:2">
      <c r="A1068" t="str">
        <v>Sr. Oliver Siqueira</v>
      </c>
      <c r="B1068">
        <v>39213</v>
      </c>
    </row>
    <row r="1069" spans="1:2">
      <c r="A1069" t="str">
        <v>Juan Montenegro</v>
      </c>
      <c r="B1069">
        <v>17326</v>
      </c>
    </row>
    <row r="1070" spans="1:2">
      <c r="A1070" t="str">
        <v>Luiza Porto</v>
      </c>
      <c r="B1070">
        <v>35010</v>
      </c>
    </row>
    <row r="1071" spans="1:2">
      <c r="A1071" t="str">
        <v>Sra. Zoe Santos</v>
      </c>
      <c r="B1071">
        <v>2428</v>
      </c>
    </row>
    <row r="1072" spans="1:2">
      <c r="A1072" t="str">
        <v>Dr. Daniel Viana</v>
      </c>
      <c r="B1072">
        <v>59565</v>
      </c>
    </row>
    <row r="1073" spans="1:2">
      <c r="A1073" t="str">
        <v>Dr. Benicio Almeida</v>
      </c>
      <c r="B1073">
        <v>22884</v>
      </c>
    </row>
    <row r="1074" spans="1:2">
      <c r="A1074" t="str">
        <v>Davi Lucca Machado</v>
      </c>
      <c r="B1074">
        <v>48262</v>
      </c>
    </row>
    <row r="1075" spans="1:2">
      <c r="A1075" t="str">
        <v>Lucas Rodrigues</v>
      </c>
      <c r="B1075">
        <v>112180</v>
      </c>
    </row>
    <row r="1076" spans="1:2">
      <c r="A1076" t="str">
        <v>Daniela Santos</v>
      </c>
      <c r="B1076">
        <v>15188</v>
      </c>
    </row>
    <row r="1077" spans="1:2">
      <c r="A1077" t="str">
        <v>Olivia Lopes</v>
      </c>
      <c r="B1077">
        <v>85152</v>
      </c>
    </row>
    <row r="1078" spans="1:2">
      <c r="A1078" t="str">
        <v>João Vitor Rodrigues</v>
      </c>
      <c r="B1078">
        <v>109137</v>
      </c>
    </row>
    <row r="1079" spans="1:2">
      <c r="A1079" t="str">
        <v>Thiago Borges</v>
      </c>
      <c r="B1079">
        <v>67089</v>
      </c>
    </row>
    <row r="1080" spans="1:2">
      <c r="A1080" t="str">
        <v>Milena Nunes</v>
      </c>
      <c r="B1080">
        <v>45812</v>
      </c>
    </row>
    <row r="1081" spans="1:2">
      <c r="A1081" t="str">
        <v>Isaque Abreu</v>
      </c>
      <c r="B1081">
        <v>15372</v>
      </c>
    </row>
    <row r="1082" spans="1:2">
      <c r="A1082" t="str">
        <v>Lucas Gabriel Borges</v>
      </c>
      <c r="B1082">
        <v>56755</v>
      </c>
    </row>
    <row r="1083" spans="1:2">
      <c r="A1083" t="str">
        <v>Laís Araújo</v>
      </c>
      <c r="B1083">
        <v>402</v>
      </c>
    </row>
    <row r="1084" spans="1:2">
      <c r="A1084" t="str">
        <v>Ana Liz Gomes</v>
      </c>
      <c r="B1084">
        <v>15397</v>
      </c>
    </row>
    <row r="1085" spans="1:2">
      <c r="A1085" t="str">
        <v>Lavínia Novaes</v>
      </c>
      <c r="B1085">
        <v>8005</v>
      </c>
    </row>
    <row r="1086" spans="1:2">
      <c r="A1086" t="str">
        <v>Raul Lopes</v>
      </c>
      <c r="B1086">
        <v>59166</v>
      </c>
    </row>
    <row r="1087" spans="1:2">
      <c r="A1087" t="str">
        <v>Joaquim das Neves</v>
      </c>
      <c r="B1087">
        <v>61641</v>
      </c>
    </row>
    <row r="1088" spans="1:2">
      <c r="A1088" t="str">
        <v>Srta. Juliana Duarte</v>
      </c>
      <c r="B1088">
        <v>10905</v>
      </c>
    </row>
    <row r="1089" spans="1:2">
      <c r="A1089" t="str">
        <v>Davi Pimenta</v>
      </c>
      <c r="B1089">
        <v>17604</v>
      </c>
    </row>
    <row r="1090" spans="1:2">
      <c r="A1090" t="str">
        <v>Pedro Miguel Campos</v>
      </c>
      <c r="B1090">
        <v>67156</v>
      </c>
    </row>
    <row r="1091" spans="1:2">
      <c r="A1091" t="str">
        <v>Gustavo Silveira</v>
      </c>
      <c r="B1091">
        <v>88675</v>
      </c>
    </row>
    <row r="1092" spans="1:2">
      <c r="A1092" t="str">
        <v>Sr. Luiz Fernando Cunha</v>
      </c>
      <c r="B1092">
        <v>17929</v>
      </c>
    </row>
    <row r="1093" spans="1:2">
      <c r="A1093" t="str">
        <v>Miguel Moreira</v>
      </c>
      <c r="B1093">
        <v>20394</v>
      </c>
    </row>
    <row r="1094" spans="1:2">
      <c r="A1094" t="str">
        <v>Nicolas das Neves</v>
      </c>
      <c r="B1094">
        <v>36764</v>
      </c>
    </row>
    <row r="1095" spans="1:2">
      <c r="A1095" t="str">
        <v>Kevin Monteiro</v>
      </c>
      <c r="B1095">
        <v>384</v>
      </c>
    </row>
    <row r="1096" spans="1:2">
      <c r="A1096" t="str">
        <v>Maria Luísa da Rocha</v>
      </c>
      <c r="B1096">
        <v>118910</v>
      </c>
    </row>
    <row r="1097" spans="1:2">
      <c r="A1097" t="str">
        <v>Sara Câmara</v>
      </c>
      <c r="B1097">
        <v>97395</v>
      </c>
    </row>
    <row r="1098" spans="1:2">
      <c r="A1098" t="str">
        <v>Caleb da Mota</v>
      </c>
      <c r="B1098">
        <v>67655</v>
      </c>
    </row>
    <row r="1099" spans="1:2">
      <c r="A1099" t="str">
        <v>Rodrigo Araújo</v>
      </c>
      <c r="B1099">
        <v>20305</v>
      </c>
    </row>
    <row r="1100" spans="1:2">
      <c r="A1100" t="str">
        <v>Heloisa Leão</v>
      </c>
      <c r="B1100">
        <v>4992</v>
      </c>
    </row>
    <row r="1101" spans="1:2">
      <c r="A1101" t="str">
        <v>André Leão</v>
      </c>
      <c r="B1101">
        <v>54795</v>
      </c>
    </row>
    <row r="1102" spans="1:2">
      <c r="A1102" t="str">
        <v>Davi Miguel Andrade</v>
      </c>
      <c r="B1102">
        <v>8663</v>
      </c>
    </row>
    <row r="1103" spans="1:2">
      <c r="A1103" t="str">
        <v>Erick Costa</v>
      </c>
      <c r="B1103">
        <v>88500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993F74-4C6C-4B0F-8EB3-31F36C044F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receitas</vt:lpstr>
      <vt:lpstr>despesas</vt:lpstr>
      <vt:lpstr>ReceitaDespesa</vt:lpstr>
      <vt:lpstr>TopLucros</vt:lpstr>
      <vt:lpstr>DashBoard</vt:lpstr>
      <vt:lpstr>DistDespesa</vt:lpstr>
      <vt:lpstr>Planilha5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murilo granemann</dc:creator>
  <cp:lastModifiedBy>murilo granemann</cp:lastModifiedBy>
  <dcterms:created xsi:type="dcterms:W3CDTF">2026-09-13T16:21:43Z</dcterms:created>
  <dcterms:modified xsi:type="dcterms:W3CDTF">2026-09-14T01:18:12Z</dcterms:modified>
</cp:coreProperties>
</file>